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6188" yWindow="2352" windowWidth="23256" windowHeight="12456" tabRatio="711" firstSheet="3" activeTab="3" autoFilterDateGrouping="1"/>
  </bookViews>
  <sheets>
    <sheet xmlns:r="http://schemas.openxmlformats.org/officeDocument/2006/relationships" name="人員一覧・判定" sheetId="1" state="visible" r:id="rId1"/>
    <sheet xmlns:r="http://schemas.openxmlformats.org/officeDocument/2006/relationships" name="動態表(日別)" sheetId="2" state="visible" r:id="rId2"/>
    <sheet xmlns:r="http://schemas.openxmlformats.org/officeDocument/2006/relationships" name="27Oct(Day0)" sheetId="3" state="visible" r:id="rId3"/>
    <sheet xmlns:r="http://schemas.openxmlformats.org/officeDocument/2006/relationships" name="28Oct(Day1)" sheetId="4" state="visible" r:id="rId4"/>
    <sheet xmlns:r="http://schemas.openxmlformats.org/officeDocument/2006/relationships" name="29Oct(Day2)" sheetId="5" state="visible" r:id="rId5"/>
    <sheet xmlns:r="http://schemas.openxmlformats.org/officeDocument/2006/relationships" name="30Oct(Day3)" sheetId="6" state="visible" r:id="rId6"/>
    <sheet xmlns:r="http://schemas.openxmlformats.org/officeDocument/2006/relationships" name="人員ギャップ分析" sheetId="7" state="visible" r:id="rId7"/>
    <sheet xmlns:r="http://schemas.openxmlformats.org/officeDocument/2006/relationships" name="COSEM協議事項" sheetId="8" state="visible" r:id="rId8"/>
    <sheet xmlns:r="http://schemas.openxmlformats.org/officeDocument/2006/relationships" name="参加者到着・出発(9月24日更新)" sheetId="9" state="visible" r:id="rId9"/>
    <sheet xmlns:r="http://schemas.openxmlformats.org/officeDocument/2006/relationships" name="参加者登録状況(9-25)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charset val="1"/>
      <family val="2"/>
      <color theme="1"/>
      <sz val="11"/>
    </font>
    <font>
      <name val="Arial"/>
      <charset val="1"/>
      <family val="2"/>
      <b val="1"/>
      <color rgb="FF1F4E78"/>
      <sz val="14"/>
    </font>
    <font>
      <name val="WenQuanYi Zen Hei"/>
      <charset val="1"/>
      <family val="2"/>
      <i val="1"/>
      <color rgb="FF555555"/>
      <sz val="9"/>
    </font>
    <font>
      <name val="Arial"/>
      <charset val="1"/>
      <family val="2"/>
      <b val="1"/>
      <color rgb="FFFFFFFF"/>
      <sz val="10"/>
    </font>
    <font>
      <name val="WenQuanYi Zen Hei"/>
      <charset val="1"/>
      <family val="2"/>
      <b val="1"/>
      <color rgb="FFFFFFFF"/>
      <sz val="10"/>
    </font>
    <font>
      <name val="Arial"/>
      <charset val="1"/>
      <family val="2"/>
      <color rgb="FF000000"/>
      <sz val="10"/>
    </font>
    <font>
      <name val="WenQuanYi Zen Hei"/>
      <charset val="1"/>
      <family val="2"/>
      <color rgb="FF000000"/>
      <sz val="10"/>
    </font>
    <font>
      <name val="WenQuanYi Zen Hei"/>
      <charset val="128"/>
      <family val="3"/>
      <color rgb="FF000000"/>
      <sz val="10"/>
    </font>
    <font>
      <name val="WenQuanYi Zen Hei"/>
      <charset val="1"/>
      <family val="2"/>
      <b val="1"/>
      <color rgb="FF000000"/>
      <sz val="10"/>
    </font>
    <font>
      <name val="WenQuanYi Zen Hei"/>
      <charset val="1"/>
      <family val="2"/>
      <color theme="1"/>
      <sz val="11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color rgb="FF555555"/>
      <sz val="9"/>
    </font>
    <font>
      <name val="WenQuanYi Zen Hei"/>
      <charset val="1"/>
      <family val="2"/>
      <color rgb="FF000000"/>
      <sz val="9"/>
    </font>
    <font>
      <name val="Arial"/>
      <charset val="1"/>
      <family val="2"/>
      <b val="1"/>
      <color rgb="FF1F4E78"/>
      <sz val="12"/>
    </font>
    <font>
      <name val="ＭＳ Ｐゴシック"/>
      <charset val="128"/>
      <family val="2"/>
      <color theme="1"/>
      <sz val="11"/>
    </font>
    <font>
      <name val="Arial"/>
      <charset val="1"/>
      <family val="2"/>
      <b val="1"/>
      <color rgb="FF000000"/>
      <sz val="10"/>
    </font>
    <font>
      <name val="Arial"/>
      <charset val="1"/>
      <family val="2"/>
      <color rgb="FF000000"/>
      <sz val="8"/>
    </font>
    <font>
      <name val="WenQuanYi Zen Hei"/>
      <charset val="1"/>
      <family val="2"/>
      <color rgb="FF000000"/>
      <sz val="8"/>
    </font>
    <font>
      <name val="WenQuanYi Zen Hei"/>
      <family val="2"/>
      <color rgb="FF000000"/>
      <sz val="8"/>
    </font>
    <font>
      <name val="Arial"/>
      <charset val="1"/>
      <family val="2"/>
      <b val="1"/>
      <color rgb="FFC00000"/>
      <sz val="10"/>
    </font>
    <font>
      <name val="Arial"/>
      <charset val="1"/>
      <family val="2"/>
      <b val="1"/>
      <color rgb="FF000000"/>
      <sz val="8"/>
    </font>
    <font>
      <name val="WenQuanYi Zen Hei"/>
      <charset val="1"/>
      <family val="2"/>
      <b val="1"/>
      <color rgb="FF000000"/>
      <sz val="9"/>
    </font>
    <font>
      <name val="WenQuanYi Zen Hei"/>
      <charset val="1"/>
      <family val="2"/>
      <sz val="8"/>
    </font>
    <font>
      <name val="Arial"/>
      <family val="2"/>
      <sz val="8"/>
    </font>
    <font>
      <name val="WenQuanYi Zen Hei"/>
      <charset val="1"/>
      <family val="2"/>
      <i val="1"/>
      <color rgb="FF555555"/>
      <sz val="8"/>
    </font>
    <font>
      <name val="WenQuanYi Zen Hei"/>
      <charset val="1"/>
      <family val="2"/>
      <color rgb="FFC00000"/>
      <sz val="9"/>
    </font>
    <font>
      <name val="WenQuanYi Zen Hei"/>
      <charset val="1"/>
      <family val="2"/>
      <b val="1"/>
      <color rgb="FFFFFFFF"/>
      <sz val="9"/>
    </font>
    <font>
      <name val="Arial"/>
      <charset val="1"/>
      <family val="2"/>
      <sz val="8"/>
    </font>
    <font>
      <name val="WenQuanYi Zen Hei"/>
      <charset val="128"/>
      <family val="3"/>
      <color rgb="FF000000"/>
      <sz val="8"/>
    </font>
    <font>
      <name val="WenQuanYi Zen Hei"/>
      <charset val="1"/>
      <family val="2"/>
      <b val="1"/>
      <color rgb="FF1F4E78"/>
      <sz val="12"/>
    </font>
    <font>
      <name val="WenQuanYi Zen Hei"/>
      <charset val="1"/>
      <family val="2"/>
      <b val="1"/>
      <color rgb="FF1F4E78"/>
      <sz val="11"/>
    </font>
    <font>
      <name val="WenQuanYi Zen Hei"/>
      <charset val="1"/>
      <family val="2"/>
      <sz val="10"/>
    </font>
    <font>
      <name val="Arial"/>
      <family val="2"/>
      <b val="1"/>
      <color rgb="FF1F4E78"/>
      <sz val="13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WenQuanYi Zen Hei"/>
      <charset val="1"/>
      <family val="2"/>
      <sz val="9"/>
    </font>
    <font>
      <name val="WenQuanYi Zen Hei"/>
      <charset val="1"/>
      <family val="2"/>
      <b val="1"/>
      <sz val="10"/>
    </font>
    <font>
      <name val="Arial"/>
      <family val="2"/>
      <b val="1"/>
      <sz val="9"/>
    </font>
    <font>
      <name val="Arial"/>
      <charset val="1"/>
      <family val="2"/>
      <color rgb="FFC00000"/>
      <sz val="9"/>
    </font>
    <font>
      <name val="ＭＳ Ｐゴシック"/>
      <charset val="128"/>
      <family val="3"/>
      <sz val="6"/>
    </font>
    <font>
      <name val="WenQuanYi Zen Hei"/>
      <charset val="128"/>
      <family val="2"/>
      <color rgb="FFC00000"/>
      <sz val="9"/>
    </font>
    <font>
      <name val="WenQuanYi Zen Hei"/>
      <charset val="128"/>
      <family val="3"/>
      <color rgb="FFC00000"/>
      <sz val="9"/>
    </font>
    <font>
      <name val="ＭＳ ゴシック"/>
      <charset val="128"/>
      <family val="3"/>
      <color rgb="FF000000"/>
      <sz val="8"/>
    </font>
    <font>
      <name val="ＭＳ ゴシック"/>
      <charset val="128"/>
      <family val="3"/>
      <color rgb="FF000000"/>
      <sz val="10"/>
    </font>
    <font>
      <name val="WenQuanYi Zen Hei"/>
      <charset val="1"/>
      <family val="2"/>
      <color rgb="FF000000"/>
      <sz val="6"/>
    </font>
    <font>
      <name val="Arial"/>
      <charset val="1"/>
      <family val="2"/>
      <color rgb="FF000000"/>
      <sz val="6"/>
    </font>
    <font>
      <name val="ＭＳ ゴシック"/>
      <charset val="128"/>
      <family val="3"/>
      <color rgb="FF000000"/>
      <sz val="6"/>
    </font>
    <font>
      <name val="WenQuanYi Zen Hei"/>
      <charset val="1"/>
      <family val="2"/>
      <sz val="6"/>
    </font>
    <font>
      <name val="WenQuanYi Zen Hei"/>
      <charset val="128"/>
      <family val="3"/>
      <i val="1"/>
      <color rgb="FF555555"/>
      <sz val="8"/>
    </font>
    <font>
      <name val="Arial"/>
      <charset val="1"/>
      <family val="2"/>
      <sz val="6"/>
    </font>
    <font>
      <name val="WenQuanYi Zen Hei"/>
      <charset val="128"/>
      <family val="3"/>
      <sz val="8"/>
    </font>
    <font>
      <name val="WenQuanYi Zen Hei"/>
      <charset val="128"/>
      <family val="3"/>
      <sz val="6"/>
    </font>
    <font>
      <name val="Calibri"/>
      <family val="2"/>
      <b val="1"/>
      <sz val="12"/>
    </font>
    <font>
      <name val="Calibri"/>
      <family val="2"/>
      <b val="1"/>
      <color rgb="FFFFFFFF"/>
      <sz val="11"/>
    </font>
  </fonts>
  <fills count="19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6E0B4"/>
      </patternFill>
    </fill>
    <fill>
      <patternFill patternType="solid">
        <fgColor rgb="FFFFEB9C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C7CE"/>
        <bgColor rgb="FFF8CBAD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EB9C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B4C6E7"/>
      </patternFill>
    </fill>
    <fill>
      <patternFill patternType="solid">
        <fgColor rgb="FFFFF2CC"/>
        <bgColor rgb="FFFCE4D6"/>
      </patternFill>
    </fill>
    <fill>
      <patternFill patternType="solid">
        <fgColor rgb="FFC6E0B4"/>
        <bgColor rgb="FFC6EFCE"/>
      </patternFill>
    </fill>
    <fill>
      <patternFill patternType="solid">
        <fgColor rgb="FFD9D2E9"/>
        <bgColor rgb="FFBDD7EE"/>
      </patternFill>
    </fill>
    <fill>
      <patternFill patternType="solid">
        <fgColor rgb="FFF8CBAD"/>
        <bgColor rgb="FFFFC7CE"/>
      </patternFill>
    </fill>
    <fill>
      <patternFill patternType="solid">
        <fgColor rgb="FFB4C6E7"/>
        <bgColor rgb="FFBDD7EE"/>
      </patternFill>
    </fill>
    <fill>
      <patternFill patternType="solid">
        <fgColor rgb="FFE2EFDA"/>
        <bgColor rgb="FFDDEBF7"/>
      </patternFill>
    </fill>
    <fill>
      <patternFill patternType="solid">
        <fgColor rgb="FF1F3864"/>
      </patternFill>
    </fill>
  </fills>
  <borders count="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204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12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13" fillId="7" borderId="0" pivotButton="0" quotePrefix="0" xfId="0"/>
    <xf numFmtId="0" fontId="14" fillId="8" borderId="0" pivotButton="0" quotePrefix="0" xfId="0"/>
    <xf numFmtId="0" fontId="15" fillId="7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vertical="top" wrapText="1"/>
    </xf>
    <xf numFmtId="0" fontId="17" fillId="10" borderId="0" applyAlignment="1" pivotButton="0" quotePrefix="0" xfId="0">
      <alignment vertical="top" wrapText="1"/>
    </xf>
    <xf numFmtId="0" fontId="16" fillId="10" borderId="0" applyAlignment="1" pivotButton="0" quotePrefix="0" xfId="0">
      <alignment vertical="top" wrapText="1"/>
    </xf>
    <xf numFmtId="0" fontId="8" fillId="8" borderId="1" applyAlignment="1" pivotButton="0" quotePrefix="0" xfId="0">
      <alignment wrapText="1"/>
    </xf>
    <xf numFmtId="0" fontId="16" fillId="0" borderId="1" applyAlignment="1" pivotButton="0" quotePrefix="0" xfId="0">
      <alignment vertical="top" wrapText="1"/>
    </xf>
    <xf numFmtId="0" fontId="16" fillId="11" borderId="1" applyAlignment="1" pivotButton="0" quotePrefix="0" xfId="0">
      <alignment vertical="top" wrapText="1"/>
    </xf>
    <xf numFmtId="0" fontId="16" fillId="12" borderId="1" applyAlignment="1" pivotButton="0" quotePrefix="0" xfId="0">
      <alignment vertical="top" wrapText="1"/>
    </xf>
    <xf numFmtId="0" fontId="17" fillId="12" borderId="1" applyAlignment="1" pivotButton="0" quotePrefix="0" xfId="0">
      <alignment vertical="top" wrapText="1"/>
    </xf>
    <xf numFmtId="0" fontId="17" fillId="10" borderId="1" applyAlignment="1" pivotButton="0" quotePrefix="0" xfId="0">
      <alignment vertical="top" wrapText="1"/>
    </xf>
    <xf numFmtId="0" fontId="16" fillId="13" borderId="1" applyAlignment="1" pivotButton="0" quotePrefix="0" xfId="0">
      <alignment vertical="top" wrapText="1"/>
    </xf>
    <xf numFmtId="0" fontId="16" fillId="10" borderId="1" applyAlignment="1" pivotButton="0" quotePrefix="0" xfId="0">
      <alignment vertical="top" wrapText="1"/>
    </xf>
    <xf numFmtId="0" fontId="17" fillId="14" borderId="1" applyAlignment="1" pivotButton="0" quotePrefix="0" xfId="0">
      <alignment vertical="top" wrapText="1"/>
    </xf>
    <xf numFmtId="0" fontId="17" fillId="13" borderId="1" applyAlignment="1" pivotButton="0" quotePrefix="0" xfId="0">
      <alignment vertical="top" wrapText="1"/>
    </xf>
    <xf numFmtId="0" fontId="16" fillId="15" borderId="1" applyAlignment="1" pivotButton="0" quotePrefix="0" xfId="0">
      <alignment vertical="top" wrapText="1"/>
    </xf>
    <xf numFmtId="0" fontId="17" fillId="11" borderId="1" applyAlignment="1" pivotButton="0" quotePrefix="0" xfId="0">
      <alignment vertical="top" wrapText="1"/>
    </xf>
    <xf numFmtId="0" fontId="8" fillId="7" borderId="1" applyAlignment="1" pivotButton="0" quotePrefix="0" xfId="0">
      <alignment wrapText="1"/>
    </xf>
    <xf numFmtId="0" fontId="17" fillId="15" borderId="1" applyAlignment="1" pivotButton="0" quotePrefix="0" xfId="0">
      <alignment vertical="top" wrapText="1"/>
    </xf>
    <xf numFmtId="0" fontId="16" fillId="4" borderId="1" applyAlignment="1" pivotButton="0" quotePrefix="0" xfId="0">
      <alignment vertical="top" wrapText="1"/>
    </xf>
    <xf numFmtId="0" fontId="17" fillId="4" borderId="1" applyAlignment="1" pivotButton="0" quotePrefix="0" xfId="0">
      <alignment vertical="top" wrapText="1"/>
    </xf>
    <xf numFmtId="0" fontId="18" fillId="15" borderId="1" applyAlignment="1" pivotButton="0" quotePrefix="0" xfId="0">
      <alignment vertical="top" wrapText="1"/>
    </xf>
    <xf numFmtId="0" fontId="8" fillId="7" borderId="0" pivotButton="0" quotePrefix="0" xfId="0"/>
    <xf numFmtId="0" fontId="15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2" fillId="7" borderId="0" pivotButton="0" quotePrefix="0" xfId="0"/>
    <xf numFmtId="0" fontId="8" fillId="5" borderId="1" applyAlignment="1" pivotButton="0" quotePrefix="0" xfId="0">
      <alignment wrapText="1"/>
    </xf>
    <xf numFmtId="0" fontId="16" fillId="16" borderId="1" applyAlignment="1" pivotButton="0" quotePrefix="0" xfId="0">
      <alignment vertical="top" wrapText="1"/>
    </xf>
    <xf numFmtId="0" fontId="17" fillId="16" borderId="1" applyAlignment="1" pivotButton="0" quotePrefix="0" xfId="0">
      <alignment vertical="top" wrapText="1"/>
    </xf>
    <xf numFmtId="0" fontId="13" fillId="0" borderId="0" pivotButton="0" quotePrefix="0" xfId="0"/>
    <xf numFmtId="0" fontId="20" fillId="0" borderId="0" applyAlignment="1" pivotButton="0" quotePrefix="0" xfId="0">
      <alignment horizontal="left"/>
    </xf>
    <xf numFmtId="0" fontId="15" fillId="0" borderId="0" pivotButton="0" quotePrefix="0" xfId="0"/>
    <xf numFmtId="0" fontId="17" fillId="10" borderId="1" applyAlignment="1" pivotButton="0" quotePrefix="0" xfId="0">
      <alignment vertical="center"/>
    </xf>
    <xf numFmtId="0" fontId="17" fillId="10" borderId="0" applyAlignment="1" pivotButton="0" quotePrefix="0" xfId="0">
      <alignment vertical="center"/>
    </xf>
    <xf numFmtId="0" fontId="17" fillId="14" borderId="1" applyAlignment="1" pivotButton="0" quotePrefix="0" xfId="0">
      <alignment vertical="center"/>
    </xf>
    <xf numFmtId="0" fontId="21" fillId="7" borderId="1" applyAlignment="1" pivotButton="0" quotePrefix="0" xfId="0">
      <alignment wrapText="1"/>
    </xf>
    <xf numFmtId="0" fontId="20" fillId="0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16" fillId="10" borderId="1" applyAlignment="1" pivotButton="0" quotePrefix="0" xfId="0">
      <alignment vertical="center"/>
    </xf>
    <xf numFmtId="0" fontId="16" fillId="10" borderId="0" applyAlignment="1" pivotButton="0" quotePrefix="0" xfId="0">
      <alignment vertical="center"/>
    </xf>
    <xf numFmtId="0" fontId="16" fillId="13" borderId="1" applyAlignment="1" pivotButton="0" quotePrefix="0" xfId="0">
      <alignment vertical="center"/>
    </xf>
    <xf numFmtId="0" fontId="0" fillId="8" borderId="0" pivotButton="0" quotePrefix="0" xfId="0"/>
    <xf numFmtId="0" fontId="29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0" fillId="0" borderId="0" pivotButton="0" quotePrefix="0" xfId="0"/>
    <xf numFmtId="0" fontId="32" fillId="0" borderId="0" pivotButton="0" quotePrefix="0" xfId="0"/>
    <xf numFmtId="0" fontId="33" fillId="2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vertical="top" wrapText="1"/>
    </xf>
    <xf numFmtId="0" fontId="35" fillId="9" borderId="1" applyAlignment="1" pivotButton="0" quotePrefix="0" xfId="0">
      <alignment vertical="top" wrapText="1"/>
    </xf>
    <xf numFmtId="0" fontId="35" fillId="4" borderId="1" applyAlignment="1" pivotButton="0" quotePrefix="0" xfId="0">
      <alignment horizontal="center" vertical="top"/>
    </xf>
    <xf numFmtId="0" fontId="34" fillId="0" borderId="1" applyAlignment="1" pivotButton="0" quotePrefix="0" xfId="0">
      <alignment vertical="top" wrapText="1"/>
    </xf>
    <xf numFmtId="0" fontId="35" fillId="0" borderId="1" applyAlignment="1" pivotButton="0" quotePrefix="0" xfId="0">
      <alignment vertical="top" wrapText="1"/>
    </xf>
    <xf numFmtId="0" fontId="35" fillId="6" borderId="1" applyAlignment="1" pivotButton="0" quotePrefix="0" xfId="0">
      <alignment horizontal="center" vertical="top"/>
    </xf>
    <xf numFmtId="0" fontId="36" fillId="0" borderId="0" pivotButton="0" quotePrefix="0" xfId="0"/>
    <xf numFmtId="0" fontId="35" fillId="0" borderId="0" pivotButton="0" quotePrefix="0" xfId="0"/>
    <xf numFmtId="0" fontId="37" fillId="0" borderId="0" pivotButton="0" quotePrefix="0" xfId="0"/>
    <xf numFmtId="0" fontId="8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38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43" fillId="0" borderId="1" applyAlignment="1" pivotButton="0" quotePrefix="0" xfId="0">
      <alignment vertical="top" wrapText="1"/>
    </xf>
    <xf numFmtId="0" fontId="48" fillId="0" borderId="0" pivotButton="0" quotePrefix="0" xfId="0"/>
    <xf numFmtId="0" fontId="45" fillId="10" borderId="1" applyAlignment="1" pivotButton="0" quotePrefix="0" xfId="0">
      <alignment vertical="center" wrapText="1"/>
    </xf>
    <xf numFmtId="0" fontId="16" fillId="10" borderId="1" applyAlignment="1" pivotButton="0" quotePrefix="0" xfId="0">
      <alignment vertical="center" wrapText="1"/>
    </xf>
    <xf numFmtId="0" fontId="14" fillId="0" borderId="0" pivotButton="0" quotePrefix="0" xfId="0"/>
    <xf numFmtId="0" fontId="52" fillId="0" borderId="0" pivotButton="0" quotePrefix="0" xfId="0"/>
    <xf numFmtId="0" fontId="53" fillId="18" borderId="0" pivotButton="0" quotePrefix="0" xfId="0"/>
    <xf numFmtId="0" fontId="0" fillId="0" borderId="5" applyAlignment="1" pivotButton="0" quotePrefix="0" xfId="0">
      <alignment vertical="top" wrapText="1"/>
    </xf>
    <xf numFmtId="0" fontId="16" fillId="17" borderId="1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0" fontId="17" fillId="12" borderId="1" applyAlignment="1" pivotButton="0" quotePrefix="0" xfId="0">
      <alignment vertical="center" wrapText="1"/>
    </xf>
    <xf numFmtId="0" fontId="16" fillId="10" borderId="1" applyAlignment="1" pivotButton="0" quotePrefix="0" xfId="0">
      <alignment vertical="center"/>
    </xf>
    <xf numFmtId="0" fontId="16" fillId="10" borderId="1" applyAlignment="1" pivotButton="0" quotePrefix="0" xfId="0">
      <alignment vertical="center" wrapText="1"/>
    </xf>
    <xf numFmtId="0" fontId="27" fillId="4" borderId="1" applyAlignment="1" pivotButton="0" quotePrefix="0" xfId="0">
      <alignment vertical="center"/>
    </xf>
    <xf numFmtId="0" fontId="16" fillId="13" borderId="1" applyAlignment="1" pivotButton="0" quotePrefix="0" xfId="0">
      <alignment vertical="center"/>
    </xf>
    <xf numFmtId="0" fontId="17" fillId="16" borderId="1" applyAlignment="1" pivotButton="0" quotePrefix="0" xfId="0">
      <alignment vertical="center"/>
    </xf>
    <xf numFmtId="0" fontId="17" fillId="10" borderId="1" applyAlignment="1" pivotButton="0" quotePrefix="0" xfId="0">
      <alignment vertical="center"/>
    </xf>
    <xf numFmtId="0" fontId="17" fillId="16" borderId="1" applyAlignment="1" pivotButton="0" quotePrefix="0" xfId="0">
      <alignment vertical="center" wrapText="1"/>
    </xf>
    <xf numFmtId="0" fontId="22" fillId="15" borderId="1" applyAlignment="1" pivotButton="0" quotePrefix="0" xfId="0">
      <alignment vertical="center"/>
    </xf>
    <xf numFmtId="0" fontId="17" fillId="12" borderId="1" applyAlignment="1" pivotButton="0" quotePrefix="0" xfId="0">
      <alignment vertical="center"/>
    </xf>
    <xf numFmtId="0" fontId="41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6" fillId="2" borderId="0" pivotButton="0" quotePrefix="0" xfId="0"/>
    <xf numFmtId="0" fontId="17" fillId="15" borderId="1" applyAlignment="1" pivotButton="0" quotePrefix="0" xfId="0">
      <alignment vertical="center"/>
    </xf>
    <xf numFmtId="0" fontId="17" fillId="17" borderId="1" applyAlignment="1" pivotButton="0" quotePrefix="0" xfId="0">
      <alignment vertical="center"/>
    </xf>
    <xf numFmtId="0" fontId="22" fillId="16" borderId="1" applyAlignment="1" pivotButton="0" quotePrefix="0" xfId="0">
      <alignment vertical="center"/>
    </xf>
    <xf numFmtId="0" fontId="16" fillId="12" borderId="1" applyAlignment="1" pivotButton="0" quotePrefix="0" xfId="0">
      <alignment vertical="center" wrapText="1"/>
    </xf>
    <xf numFmtId="0" fontId="28" fillId="13" borderId="1" applyAlignment="1" pivotButton="0" quotePrefix="0" xfId="0">
      <alignment vertical="center" wrapText="1"/>
    </xf>
    <xf numFmtId="0" fontId="16" fillId="16" borderId="1" applyAlignment="1" pivotButton="0" quotePrefix="0" xfId="0">
      <alignment vertical="center"/>
    </xf>
    <xf numFmtId="0" fontId="27" fillId="16" borderId="1" applyAlignment="1" pivotButton="0" quotePrefix="0" xfId="0">
      <alignment vertical="center"/>
    </xf>
    <xf numFmtId="0" fontId="46" fillId="16" borderId="1" applyAlignment="1" pivotButton="0" quotePrefix="0" xfId="0">
      <alignment vertical="center" wrapText="1"/>
    </xf>
    <xf numFmtId="0" fontId="44" fillId="10" borderId="1" applyAlignment="1" pivotButton="0" quotePrefix="0" xfId="0">
      <alignment vertical="center" wrapText="1"/>
    </xf>
    <xf numFmtId="0" fontId="22" fillId="4" borderId="1" applyAlignment="1" pivotButton="0" quotePrefix="0" xfId="0">
      <alignment vertical="center"/>
    </xf>
    <xf numFmtId="0" fontId="45" fillId="16" borderId="1" applyAlignment="1" pivotButton="0" quotePrefix="0" xfId="0">
      <alignment vertical="center" wrapText="1"/>
    </xf>
    <xf numFmtId="0" fontId="28" fillId="12" borderId="1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15" fillId="9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17" fillId="14" borderId="1" applyAlignment="1" pivotButton="0" quotePrefix="0" xfId="0">
      <alignment vertical="center"/>
    </xf>
    <xf numFmtId="0" fontId="42" fillId="12" borderId="4" applyAlignment="1" pivotButton="0" quotePrefix="0" xfId="0">
      <alignment horizontal="center" vertical="center"/>
    </xf>
    <xf numFmtId="0" fontId="17" fillId="10" borderId="1" applyAlignment="1" pivotButton="0" quotePrefix="0" xfId="0">
      <alignment vertical="center" wrapText="1"/>
    </xf>
    <xf numFmtId="0" fontId="16" fillId="15" borderId="1" applyAlignment="1" pivotButton="0" quotePrefix="0" xfId="0">
      <alignment vertical="center"/>
    </xf>
    <xf numFmtId="0" fontId="51" fillId="16" borderId="1" applyAlignment="1" pivotButton="0" quotePrefix="0" xfId="0">
      <alignment vertical="center" wrapText="1"/>
    </xf>
    <xf numFmtId="0" fontId="40" fillId="0" borderId="0" applyAlignment="1" pivotButton="0" quotePrefix="0" xfId="0">
      <alignment horizontal="left" vertical="top" wrapText="1"/>
    </xf>
    <xf numFmtId="0" fontId="50" fillId="4" borderId="1" applyAlignment="1" pivotButton="0" quotePrefix="0" xfId="0">
      <alignment vertical="center"/>
    </xf>
    <xf numFmtId="0" fontId="22" fillId="16" borderId="1" applyAlignment="1" pivotButton="0" quotePrefix="0" xfId="0">
      <alignment vertical="center" wrapText="1"/>
    </xf>
    <xf numFmtId="0" fontId="45" fillId="12" borderId="1" applyAlignment="1" pivotButton="0" quotePrefix="0" xfId="0">
      <alignment vertical="center" wrapText="1"/>
    </xf>
    <xf numFmtId="0" fontId="42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44" fillId="16" borderId="1" applyAlignment="1" pivotButton="0" quotePrefix="0" xfId="0">
      <alignment vertical="center" wrapText="1"/>
    </xf>
    <xf numFmtId="0" fontId="16" fillId="14" borderId="1" applyAlignment="1" pivotButton="0" quotePrefix="0" xfId="0">
      <alignment vertical="center"/>
    </xf>
    <xf numFmtId="0" fontId="27" fillId="4" borderId="1" applyAlignment="1" pivotButton="0" quotePrefix="0" xfId="0">
      <alignment vertical="center" wrapText="1"/>
    </xf>
    <xf numFmtId="0" fontId="45" fillId="13" borderId="1" applyAlignment="1" pivotButton="0" quotePrefix="0" xfId="0">
      <alignment vertical="center" wrapText="1"/>
    </xf>
    <xf numFmtId="0" fontId="27" fillId="16" borderId="1" applyAlignment="1" pivotButton="0" quotePrefix="0" xfId="0">
      <alignment vertical="center" wrapText="1"/>
    </xf>
    <xf numFmtId="0" fontId="49" fillId="16" borderId="1" applyAlignment="1" pivotButton="0" quotePrefix="0" xfId="0">
      <alignment vertical="center" wrapText="1"/>
    </xf>
    <xf numFmtId="0" fontId="28" fillId="15" borderId="1" applyAlignment="1" pivotButton="0" quotePrefix="0" xfId="0">
      <alignment horizontal="left" vertical="center"/>
    </xf>
    <xf numFmtId="0" fontId="16" fillId="12" borderId="1" applyAlignment="1" pivotButton="0" quotePrefix="0" xfId="0">
      <alignment vertical="center"/>
    </xf>
    <xf numFmtId="0" fontId="17" fillId="13" borderId="1" applyAlignment="1" pivotButton="0" quotePrefix="0" xfId="0">
      <alignment vertical="center"/>
    </xf>
    <xf numFmtId="0" fontId="17" fillId="13" borderId="1" applyAlignment="1" pivotButton="0" quotePrefix="0" xfId="0">
      <alignment vertical="center" wrapText="1"/>
    </xf>
    <xf numFmtId="0" fontId="47" fillId="16" borderId="1" applyAlignment="1" pivotButton="0" quotePrefix="0" xfId="0">
      <alignment vertical="center" wrapText="1"/>
    </xf>
    <xf numFmtId="0" fontId="17" fillId="11" borderId="1" applyAlignment="1" pivotButton="0" quotePrefix="0" xfId="0">
      <alignment vertical="center" wrapText="1"/>
    </xf>
    <xf numFmtId="0" fontId="23" fillId="15" borderId="1" applyAlignment="1" pivotButton="0" quotePrefix="0" xfId="0">
      <alignment vertical="center"/>
    </xf>
    <xf numFmtId="0" fontId="17" fillId="11" borderId="1" applyAlignment="1" pivotButton="0" quotePrefix="0" xfId="0">
      <alignment vertical="center"/>
    </xf>
    <xf numFmtId="0" fontId="22" fillId="11" borderId="1" applyAlignment="1" pivotButton="0" quotePrefix="0" xfId="0">
      <alignment vertical="center" wrapText="1"/>
    </xf>
    <xf numFmtId="0" fontId="16" fillId="16" borderId="1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top" wrapText="1"/>
    </xf>
    <xf numFmtId="0" fontId="17" fillId="10" borderId="5" applyAlignment="1" pivotButton="0" quotePrefix="0" xfId="0">
      <alignment vertical="center" wrapText="1"/>
    </xf>
    <xf numFmtId="0" fontId="17" fillId="12" borderId="5" applyAlignment="1" pivotButton="0" quotePrefix="0" xfId="0">
      <alignment vertical="center"/>
    </xf>
    <xf numFmtId="0" fontId="17" fillId="14" borderId="5" applyAlignment="1" pivotButton="0" quotePrefix="0" xfId="0">
      <alignment vertical="center"/>
    </xf>
    <xf numFmtId="0" fontId="17" fillId="16" borderId="5" applyAlignment="1" pivotButton="0" quotePrefix="0" xfId="0">
      <alignment vertical="center"/>
    </xf>
    <xf numFmtId="0" fontId="16" fillId="16" borderId="5" applyAlignment="1" pivotButton="0" quotePrefix="0" xfId="0">
      <alignment vertical="center"/>
    </xf>
    <xf numFmtId="0" fontId="17" fillId="15" borderId="5" applyAlignment="1" pivotButton="0" quotePrefix="0" xfId="0">
      <alignment vertical="center"/>
    </xf>
    <xf numFmtId="0" fontId="16" fillId="15" borderId="5" applyAlignment="1" pivotButton="0" quotePrefix="0" xfId="0">
      <alignment vertical="center"/>
    </xf>
    <xf numFmtId="0" fontId="17" fillId="10" borderId="5" applyAlignment="1" pivotButton="0" quotePrefix="0" xfId="0">
      <alignment vertical="center"/>
    </xf>
    <xf numFmtId="0" fontId="22" fillId="16" borderId="5" applyAlignment="1" pivotButton="0" quotePrefix="0" xfId="0">
      <alignment vertical="center"/>
    </xf>
    <xf numFmtId="0" fontId="27" fillId="16" borderId="5" applyAlignment="1" pivotButton="0" quotePrefix="0" xfId="0">
      <alignment vertical="center"/>
    </xf>
    <xf numFmtId="0" fontId="51" fillId="16" borderId="5" applyAlignment="1" pivotButton="0" quotePrefix="0" xfId="0">
      <alignment vertical="center" wrapText="1"/>
    </xf>
    <xf numFmtId="0" fontId="22" fillId="16" borderId="5" applyAlignment="1" pivotButton="0" quotePrefix="0" xfId="0">
      <alignment vertical="center" wrapText="1"/>
    </xf>
    <xf numFmtId="0" fontId="50" fillId="4" borderId="5" applyAlignment="1" pivotButton="0" quotePrefix="0" xfId="0">
      <alignment vertical="center"/>
    </xf>
    <xf numFmtId="0" fontId="27" fillId="4" borderId="5" applyAlignment="1" pivotButton="0" quotePrefix="0" xfId="0">
      <alignment vertical="center"/>
    </xf>
    <xf numFmtId="0" fontId="16" fillId="10" borderId="5" applyAlignment="1" pivotButton="0" quotePrefix="0" xfId="0">
      <alignment vertical="center"/>
    </xf>
    <xf numFmtId="0" fontId="16" fillId="14" borderId="5" applyAlignment="1" pivotButton="0" quotePrefix="0" xfId="0">
      <alignment vertical="center"/>
    </xf>
    <xf numFmtId="0" fontId="16" fillId="13" borderId="5" applyAlignment="1" pivotButton="0" quotePrefix="0" xfId="0">
      <alignment vertical="center"/>
    </xf>
    <xf numFmtId="0" fontId="45" fillId="13" borderId="5" applyAlignment="1" pivotButton="0" quotePrefix="0" xfId="0">
      <alignment vertical="center" wrapText="1"/>
    </xf>
    <xf numFmtId="0" fontId="17" fillId="16" borderId="5" applyAlignment="1" pivotButton="0" quotePrefix="0" xfId="0">
      <alignment vertical="center" wrapText="1"/>
    </xf>
    <xf numFmtId="0" fontId="44" fillId="16" borderId="5" applyAlignment="1" pivotButton="0" quotePrefix="0" xfId="0">
      <alignment vertical="center" wrapText="1"/>
    </xf>
    <xf numFmtId="0" fontId="45" fillId="12" borderId="5" applyAlignment="1" pivotButton="0" quotePrefix="0" xfId="0">
      <alignment vertical="center" wrapText="1"/>
    </xf>
    <xf numFmtId="0" fontId="42" fillId="12" borderId="5" applyAlignment="1" pivotButton="0" quotePrefix="0" xfId="0">
      <alignment horizontal="center" vertical="center" wrapText="1"/>
    </xf>
    <xf numFmtId="0" fontId="28" fillId="15" borderId="5" applyAlignment="1" pivotButton="0" quotePrefix="0" xfId="0">
      <alignment horizontal="left" vertical="center"/>
    </xf>
    <xf numFmtId="0" fontId="17" fillId="12" borderId="5" applyAlignment="1" pivotButton="0" quotePrefix="0" xfId="0">
      <alignment horizontal="center" vertical="center" wrapText="1"/>
    </xf>
    <xf numFmtId="0" fontId="16" fillId="12" borderId="5" applyAlignment="1" pivotButton="0" quotePrefix="0" xfId="0">
      <alignment vertical="center"/>
    </xf>
    <xf numFmtId="0" fontId="17" fillId="12" borderId="5" applyAlignment="1" pivotButton="0" quotePrefix="0" xfId="0">
      <alignment vertical="center" wrapText="1"/>
    </xf>
    <xf numFmtId="0" fontId="17" fillId="13" borderId="5" applyAlignment="1" pivotButton="0" quotePrefix="0" xfId="0">
      <alignment vertical="center"/>
    </xf>
    <xf numFmtId="0" fontId="17" fillId="13" borderId="5" applyAlignment="1" pivotButton="0" quotePrefix="0" xfId="0">
      <alignment vertical="center" wrapText="1"/>
    </xf>
    <xf numFmtId="0" fontId="49" fillId="16" borderId="5" applyAlignment="1" pivotButton="0" quotePrefix="0" xfId="0">
      <alignment vertical="center" wrapText="1"/>
    </xf>
    <xf numFmtId="0" fontId="27" fillId="16" borderId="5" applyAlignment="1" pivotButton="0" quotePrefix="0" xfId="0">
      <alignment vertical="center" wrapText="1"/>
    </xf>
    <xf numFmtId="0" fontId="27" fillId="4" borderId="5" applyAlignment="1" pivotButton="0" quotePrefix="0" xfId="0">
      <alignment vertical="center" wrapText="1"/>
    </xf>
    <xf numFmtId="0" fontId="44" fillId="10" borderId="5" applyAlignment="1" pivotButton="0" quotePrefix="0" xfId="0">
      <alignment vertical="center" wrapText="1"/>
    </xf>
    <xf numFmtId="0" fontId="16" fillId="10" borderId="5" applyAlignment="1" pivotButton="0" quotePrefix="0" xfId="0">
      <alignment vertical="center" wrapText="1"/>
    </xf>
    <xf numFmtId="0" fontId="16" fillId="17" borderId="5" applyAlignment="1" pivotButton="0" quotePrefix="0" xfId="0">
      <alignment vertical="center"/>
    </xf>
    <xf numFmtId="0" fontId="28" fillId="12" borderId="5" applyAlignment="1" pivotButton="0" quotePrefix="0" xfId="0">
      <alignment vertical="center"/>
    </xf>
    <xf numFmtId="0" fontId="45" fillId="16" borderId="5" applyAlignment="1" pivotButton="0" quotePrefix="0" xfId="0">
      <alignment vertical="center" wrapText="1"/>
    </xf>
    <xf numFmtId="0" fontId="22" fillId="15" borderId="5" applyAlignment="1" pivotButton="0" quotePrefix="0" xfId="0">
      <alignment vertical="center"/>
    </xf>
    <xf numFmtId="0" fontId="46" fillId="16" borderId="5" applyAlignment="1" pivotButton="0" quotePrefix="0" xfId="0">
      <alignment vertical="center" wrapText="1"/>
    </xf>
    <xf numFmtId="0" fontId="16" fillId="12" borderId="5" applyAlignment="1" pivotButton="0" quotePrefix="0" xfId="0">
      <alignment vertical="center" wrapText="1"/>
    </xf>
    <xf numFmtId="0" fontId="17" fillId="17" borderId="5" applyAlignment="1" pivotButton="0" quotePrefix="0" xfId="0">
      <alignment vertical="center"/>
    </xf>
    <xf numFmtId="0" fontId="28" fillId="13" borderId="5" applyAlignment="1" pivotButton="0" quotePrefix="0" xfId="0">
      <alignment vertical="center" wrapText="1"/>
    </xf>
    <xf numFmtId="0" fontId="22" fillId="4" borderId="5" applyAlignment="1" pivotButton="0" quotePrefix="0" xfId="0">
      <alignment vertical="center"/>
    </xf>
    <xf numFmtId="0" fontId="17" fillId="11" borderId="5" applyAlignment="1" pivotButton="0" quotePrefix="0" xfId="0">
      <alignment vertical="center" wrapText="1"/>
    </xf>
    <xf numFmtId="0" fontId="17" fillId="11" borderId="5" applyAlignment="1" pivotButton="0" quotePrefix="0" xfId="0">
      <alignment vertical="center"/>
    </xf>
    <xf numFmtId="0" fontId="23" fillId="15" borderId="5" applyAlignment="1" pivotButton="0" quotePrefix="0" xfId="0">
      <alignment vertical="center"/>
    </xf>
    <xf numFmtId="0" fontId="16" fillId="16" borderId="5" applyAlignment="1" pivotButton="0" quotePrefix="0" xfId="0">
      <alignment horizontal="center" vertical="center" wrapText="1"/>
    </xf>
    <xf numFmtId="0" fontId="22" fillId="11" borderId="5" applyAlignment="1" pivotButton="0" quotePrefix="0" xfId="0">
      <alignment vertical="center" wrapText="1"/>
    </xf>
    <xf numFmtId="0" fontId="47" fillId="16" borderId="5" applyAlignment="1" pivotButton="0" quotePrefix="0" xfId="0">
      <alignment vertical="center" wrapText="1"/>
    </xf>
    <xf numFmtId="0" fontId="34" fillId="0" borderId="5" applyAlignment="1" pivotButton="0" quotePrefix="0" xfId="0">
      <alignment vertical="top" wrapText="1"/>
    </xf>
    <xf numFmtId="0" fontId="35" fillId="0" borderId="5" applyAlignment="1" pivotButton="0" quotePrefix="0" xfId="0">
      <alignment vertical="top" wrapText="1"/>
    </xf>
    <xf numFmtId="0" fontId="35" fillId="4" borderId="5" applyAlignment="1" pivotButton="0" quotePrefix="0" xfId="0">
      <alignment horizontal="center" vertical="top"/>
    </xf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BDD7EE"/>
      <rgbColor rgb="FFFFC7CE"/>
      <rgbColor rgb="FFC6E0B4"/>
      <rgbColor rgb="FFF8CBAD"/>
      <rgbColor rgb="FF3366FF"/>
      <rgbColor rgb="FF33CCCC"/>
      <rgbColor rgb="FF99CC00"/>
      <rgbColor rgb="FFFCE4D6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5" sqref="B5"/>
    </sheetView>
  </sheetViews>
  <sheetFormatPr baseColWidth="8" defaultColWidth="8.5546875" defaultRowHeight="14.4"/>
  <cols>
    <col width="5" customWidth="1" style="107" min="1" max="1"/>
    <col width="12" customWidth="1" style="107" min="2" max="2"/>
    <col width="18" customWidth="1" style="107" min="3" max="3"/>
    <col width="15.5546875" customWidth="1" style="107" min="4" max="4"/>
    <col width="13.109375" customWidth="1" style="107" min="5" max="5"/>
    <col width="24.6640625" customWidth="1" style="107" min="6" max="7"/>
    <col width="19" customWidth="1" style="107" min="8" max="8"/>
    <col width="36" customWidth="1" style="107" min="9" max="9"/>
    <col width="44" customWidth="1" style="107" min="10" max="10"/>
    <col width="32" customWidth="1" style="107" min="11" max="11"/>
  </cols>
  <sheetData>
    <row r="1" ht="17.25" customHeight="1" s="107">
      <c r="A1" s="1" t="inlineStr">
        <is>
          <t>SIDEX-ACDR2026（シンガポール, 2026/10/27-30）ADRC派遣スタッフ一覧と判定</t>
        </is>
      </c>
    </row>
    <row r="2" ht="30" customHeight="1" s="107">
      <c r="A2" s="121" t="inlineStr">
        <is>
          <t>【v2_9 (2026/9/25)】9/25所内打合せ（Plaud）を反映: Day1のRT分割案（RT(1) 13:00-15:00、SC 15:15-16:15、RT(2) 29日09:00-09:30）、27日午前の大使表敬、3人目以降の費用方針、第6回合同会議を9/29午前へ、参加者登録状況（藤中 9/25）。Mizanのフライトのみ未確定。</t>
        </is>
      </c>
    </row>
    <row r="4" ht="26.25" customHeight="1" s="107">
      <c r="A4" s="2" t="inlineStr">
        <is>
          <t>No.</t>
        </is>
      </c>
      <c r="B4" s="3" t="inlineStr">
        <is>
          <t>氏名</t>
        </is>
      </c>
      <c r="C4" s="2" t="inlineStr">
        <is>
          <t>Name</t>
        </is>
      </c>
      <c r="D4" s="3" t="inlineStr">
        <is>
          <t>役職</t>
        </is>
      </c>
      <c r="E4" s="3" t="inlineStr">
        <is>
          <t>現地参加の確定度</t>
        </is>
      </c>
      <c r="F4" s="3" t="inlineStr">
        <is>
          <t>往路</t>
        </is>
      </c>
      <c r="G4" s="3" t="inlineStr">
        <is>
          <t>復路</t>
        </is>
      </c>
      <c r="H4" s="3" t="inlineStr">
        <is>
          <t>宿泊</t>
        </is>
      </c>
      <c r="I4" s="3" t="inlineStr">
        <is>
          <t>デマケ上の担当（8/6版）</t>
        </is>
      </c>
      <c r="J4" s="3" t="inlineStr">
        <is>
          <t>会期中の主な現地役割（本表での想定）</t>
        </is>
      </c>
      <c r="K4" s="3" t="inlineStr">
        <is>
          <t>要確認・備考</t>
        </is>
      </c>
    </row>
    <row r="5" ht="39" customHeight="1" s="107">
      <c r="A5" s="4" t="n">
        <v>1</v>
      </c>
      <c r="B5" s="5" t="inlineStr">
        <is>
          <t>三浦 房紀</t>
        </is>
      </c>
      <c r="C5" s="4" t="inlineStr">
        <is>
          <t>MIURA Fusanori</t>
        </is>
      </c>
      <c r="D5" s="5" t="inlineStr">
        <is>
          <t>センター長(Chairman)</t>
        </is>
      </c>
      <c r="E5" s="6" t="inlineStr">
        <is>
          <t>確定</t>
        </is>
      </c>
      <c r="F5" s="4" t="inlineStr">
        <is>
          <t>10/26 SQ655 福岡09:30→SIN15:00</t>
        </is>
      </c>
      <c r="G5" s="4" t="inlineStr">
        <is>
          <t>10/31 SQ656 SIN01:20→福岡08:10</t>
        </is>
      </c>
      <c r="H5" s="4" t="inlineStr">
        <is>
          <t>Dorsett 10/26-30 (5泊)</t>
        </is>
      </c>
      <c r="I5" s="4" t="inlineStr">
        <is>
          <t>ACDR2026 Opening 挨拶／SC出席</t>
        </is>
      </c>
      <c r="J5" s="4" t="inlineStr">
        <is>
          <t>VIP対応（ADRC代表）。Opening (12:45)、Roundtable、SC、Gala、大使公邸レセプション、SIDEX Keynote出席</t>
        </is>
      </c>
      <c r="K5" s="5" t="inlineStr">
        <is>
          <t>パスポート更新済み（7月）。復路は10/30深夜発扱い</t>
        </is>
      </c>
    </row>
    <row r="6" ht="26.25" customHeight="1" s="107">
      <c r="A6" s="4" t="n">
        <v>2</v>
      </c>
      <c r="B6" s="5" t="inlineStr">
        <is>
          <t>北本 政行</t>
        </is>
      </c>
      <c r="C6" s="4" t="inlineStr">
        <is>
          <t>KITAMOTO Masayuki</t>
        </is>
      </c>
      <c r="D6" s="5" t="inlineStr">
        <is>
          <t>常務理事</t>
        </is>
      </c>
      <c r="E6" s="6" t="inlineStr">
        <is>
          <t>確定</t>
        </is>
      </c>
      <c r="F6" s="4" t="inlineStr">
        <is>
          <t>10/26 SQ637 成田10:00→SIN16:30</t>
        </is>
      </c>
      <c r="G6" s="4" t="inlineStr">
        <is>
          <t>10/30 SQ638 SIN23:55→成田10/31 07:30</t>
        </is>
      </c>
      <c r="H6" s="4" t="inlineStr">
        <is>
          <t>Dorsett 10/26-30 (5泊)</t>
        </is>
      </c>
      <c r="I6" s="5" t="inlineStr">
        <is>
          <t>（役員として出席）</t>
        </is>
      </c>
      <c r="J6" s="4" t="inlineStr">
        <is>
          <t>VIP対応。初参加のため事前ブリーフィング要。10/30は最終日夜に出発</t>
        </is>
      </c>
      <c r="K6" s="85" t="inlineStr">
        <is>
          <t>初参加。</t>
        </is>
      </c>
    </row>
    <row r="7" ht="52.5" customHeight="1" s="107">
      <c r="A7" s="4" t="n">
        <v>3</v>
      </c>
      <c r="B7" s="5" t="inlineStr">
        <is>
          <t>宮木 一寛</t>
        </is>
      </c>
      <c r="C7" s="4" t="inlineStr">
        <is>
          <t>MIYAKI Kazuhiro</t>
        </is>
      </c>
      <c r="D7" s="5" t="inlineStr">
        <is>
          <t>所長</t>
        </is>
      </c>
      <c r="E7" s="6" t="inlineStr">
        <is>
          <t>確定（フライト要確認）</t>
        </is>
      </c>
      <c r="F7" s="4" t="inlineStr">
        <is>
          <t>10/25 NH2178 ITM 14:00 → NRT 15:30   NH803 NRT 17:00 → SIN 23:40</t>
        </is>
      </c>
      <c r="G7" s="4" t="inlineStr">
        <is>
          <t xml:space="preserve">10/31 NH802 SIN 06:35 → NRT 14:30   </t>
        </is>
      </c>
      <c r="H7" s="5" t="inlineStr">
        <is>
          <t>10/25泊 必要（NH803 23:40着）→宿泊先（Dorsett/任意）を至急決定・手配。26日以降はDorsettシート「所長」行(10/26-30)</t>
        </is>
      </c>
      <c r="I7" s="5" t="inlineStr">
        <is>
          <t>全体総括／内閣府との連絡調整／Bi-meeting／SC議長(内閣府)との調整／広報(記者クラブ)</t>
        </is>
      </c>
      <c r="J7" s="5" t="inlineStr">
        <is>
          <t>全体総括。内閣府・COSEMとの調整に臨機応変に対応（内閣府には張り付かない。空港出迎え不要＝公用車。林統括官の英語対応はADRCには求められず大使館側）。Opening/VIP Tourに同行、SC進行補佐、Field Trip参加（9/4）</t>
        </is>
      </c>
      <c r="K7" s="7" t="inlineStr">
        <is>
          <t>宿泊先（Dorsett/任意）は未定。10/26夜エリック長官夕食会（調整中）</t>
        </is>
      </c>
    </row>
    <row r="8" ht="39" customHeight="1" s="107">
      <c r="A8" s="4" t="n">
        <v>4</v>
      </c>
      <c r="B8" s="5" t="inlineStr">
        <is>
          <t>児玉 美樹</t>
        </is>
      </c>
      <c r="C8" s="4" t="inlineStr">
        <is>
          <t>KODAMA Miki</t>
        </is>
      </c>
      <c r="D8" s="5" t="inlineStr">
        <is>
          <t>研究部長</t>
        </is>
      </c>
      <c r="E8" s="6" t="inlineStr">
        <is>
          <t>確定（フライト要確認）</t>
        </is>
      </c>
      <c r="F8" s="4" t="inlineStr">
        <is>
          <t>10/25 NH2178 ITM 14:00 → NRT 15:30   NH803 NRT 17:00 → SIN 23:40</t>
        </is>
      </c>
      <c r="G8" s="4" t="inlineStr">
        <is>
          <t>10/31 NH802 SIN 06:35 → NRT 14:30   NH2177 NRT 17:35 → ITM 19:00</t>
        </is>
      </c>
      <c r="H8" s="4" t="inlineStr">
        <is>
          <t>Hotel Mi Bencoolen（Mシート: 10/26-30）→10/25泊の追加手配 必要（9/6確認）</t>
        </is>
      </c>
      <c r="I8" s="4" t="inlineStr">
        <is>
          <t>Bi-meeting／Welcome Reception(Program, MC)／レセプション手配／PC等機材サポート</t>
        </is>
      </c>
      <c r="J8" s="5" t="inlineStr">
        <is>
          <t>現場統括。内閣府・COSEMとの調整に臨機応変に対応（ロジ専任にしない）。大使公邸レセプション（10/27）の設営・進行、10/29の事務局撤収（藤中と2名）、バイ会談調整（9/4）</t>
        </is>
      </c>
      <c r="K8" s="5" t="inlineStr">
        <is>
          <t>Hotel Miの10/25泊を追加手配。10/26夜エリック長官夕食会（調整中）。</t>
        </is>
      </c>
    </row>
    <row r="9" ht="39" customHeight="1" s="107">
      <c r="A9" s="4" t="n">
        <v>5</v>
      </c>
      <c r="B9" s="5" t="inlineStr">
        <is>
          <t>荒木田 勝</t>
        </is>
      </c>
      <c r="C9" s="4" t="inlineStr">
        <is>
          <t>ARAKIDA Masaru</t>
        </is>
      </c>
      <c r="D9" s="5" t="inlineStr">
        <is>
          <t>リサーチフェロー</t>
        </is>
      </c>
      <c r="E9" s="6" t="inlineStr">
        <is>
          <t>確定</t>
        </is>
      </c>
      <c r="F9" s="4" t="inlineStr">
        <is>
          <t>10/26 NH843 羽田00:25→SIN06:55</t>
        </is>
      </c>
      <c r="G9" s="4" t="inlineStr">
        <is>
          <t>10/30 NH844 SIN22:20→羽田10/31 05:55</t>
        </is>
      </c>
      <c r="H9" s="4" t="inlineStr">
        <is>
          <t>Hotel Mi Bencoolen（Mシート: 10/26-30）</t>
        </is>
      </c>
      <c r="I9" s="5" t="inlineStr">
        <is>
          <t>総括(PL)／Opening &amp; Closing／SIDEX Conference／Field Trip／会場手配・機材／Zoom当日</t>
        </is>
      </c>
      <c r="J9" s="5" t="inlineStr">
        <is>
          <t>全体統括。Opening/Closing進行、会場・AV・Zoom/AI翻訳の当日運用、Field Trip引率、Google等リソース対応</t>
        </is>
      </c>
      <c r="K9" s="4" t="inlineStr">
        <is>
          <t>10/30 22:20発のためClosing後〜Day3午後まで在場。</t>
        </is>
      </c>
    </row>
    <row r="10" ht="39" customHeight="1" s="107">
      <c r="A10" s="4" t="n">
        <v>6</v>
      </c>
      <c r="B10" s="7" t="inlineStr">
        <is>
          <t>吉田 真紀</t>
        </is>
      </c>
      <c r="C10" s="4" t="inlineStr">
        <is>
          <t>YOSHIDA Maki</t>
        </is>
      </c>
      <c r="D10" s="5" t="inlineStr">
        <is>
          <t>プロジェクト研究員（ジュネーブ）</t>
        </is>
      </c>
      <c r="E10" s="6" t="inlineStr">
        <is>
          <t>確定</t>
        </is>
      </c>
      <c r="F10" s="4" t="inlineStr">
        <is>
          <t>10/25 AY1534 GVA 19:05 → HEL 23:10   AY131 HEL 00:05 → SIN 10/26 18:40</t>
        </is>
      </c>
      <c r="G10" s="4" t="inlineStr">
        <is>
          <t>10/30 AY132 SIN 22:05 → HEL 10/31 05:45   AY1531 HEL 07:55 → GVA 10:00</t>
        </is>
      </c>
      <c r="H10" s="4" t="inlineStr">
        <is>
          <t>Hotel Mi Bencoolen（Mシート: 10/26-30）</t>
        </is>
      </c>
      <c r="I10" s="4" t="inlineStr">
        <is>
          <t>Roundtable(PIC)／Announcement／Web登録・コレポン／航空券(メンバー国)／Field Trip／Welcome Reception</t>
        </is>
      </c>
      <c r="J10" s="4" t="inlineStr">
        <is>
          <t>Roundtableセッション運営（ステートメント回収・共同モデレーター補佐）、レセプション進行補佐、Field Trip引率、参加者対応</t>
        </is>
      </c>
      <c r="K10" s="5" t="inlineStr">
        <is>
          <t>フライト変更（吉田 9/6）: フィンエアー経由に変更、10/26 18:40着・10/30 22:05発。到着が夕方になるため10/26日中のDorsett到着対応には入れない。Hotel Mi 10/26-30泊はそのまま</t>
        </is>
      </c>
    </row>
    <row r="11" ht="39" customHeight="1" s="107">
      <c r="A11" s="4" t="n">
        <v>7</v>
      </c>
      <c r="B11" s="5" t="inlineStr">
        <is>
          <t>藤中 純子</t>
        </is>
      </c>
      <c r="C11" s="4" t="inlineStr">
        <is>
          <t>FUJINAKA Junko</t>
        </is>
      </c>
      <c r="D11" s="5" t="inlineStr">
        <is>
          <t>管理部</t>
        </is>
      </c>
      <c r="E11" s="6" t="inlineStr">
        <is>
          <t>確定</t>
        </is>
      </c>
      <c r="F11" s="4" t="inlineStr">
        <is>
          <t>10/25 TR819 関空11:30→SIN17:30</t>
        </is>
      </c>
      <c r="G11" s="4" t="inlineStr">
        <is>
          <t>11/1 TR818 SIN03:05→関空10:15</t>
        </is>
      </c>
      <c r="H11" s="4" t="inlineStr">
        <is>
          <t>Hotel Mi Bencoolen 10/25-31 (7泊)</t>
        </is>
      </c>
      <c r="I11" s="5" t="inlineStr">
        <is>
          <t>レセプション手配／予算管理／契約・支払／宿泊・送迎の確認／SC議案・会計報告／SC事務（議案・進行・会計報告）（9/24 荒木田）</t>
        </is>
      </c>
      <c r="J11" s="5" t="inlineStr">
        <is>
          <t>受付デスク（会場・レセプション）、ホテル・バス・支払の現地対応、SC事務、日当支払。SC事務（議案・進行・会計報告）を担当（森口不参加により 9/24）</t>
        </is>
      </c>
      <c r="K11" s="5" t="inlineStr">
        <is>
          <t>先発隊。10/25着で前日準備</t>
        </is>
      </c>
    </row>
    <row r="12" ht="39" customHeight="1" s="107">
      <c r="A12" s="4" t="n">
        <v>8</v>
      </c>
      <c r="B12" s="5" t="inlineStr">
        <is>
          <t>田中 智美</t>
        </is>
      </c>
      <c r="C12" s="4" t="inlineStr">
        <is>
          <t>TANAKA Tomomi</t>
        </is>
      </c>
      <c r="D12" s="5" t="inlineStr">
        <is>
          <t>事務局(ACDR2026 Secretariat)</t>
        </is>
      </c>
      <c r="E12" s="6" t="inlineStr">
        <is>
          <t>確定</t>
        </is>
      </c>
      <c r="F12" s="4" t="inlineStr">
        <is>
          <t>10/25 TR819 関空11:30→SIN17:30</t>
        </is>
      </c>
      <c r="G12" s="4" t="inlineStr">
        <is>
          <t>11/1 TR818 SIN03:05→関空10:15</t>
        </is>
      </c>
      <c r="H12" s="4" t="inlineStr">
        <is>
          <t>Hotel Mi Bencoolen 10/25-31 (7泊)</t>
        </is>
      </c>
      <c r="I12" s="4" t="inlineStr">
        <is>
          <t>Announcement／Web登録確認・コレポン／航空券／VISA／宿泊・送迎(COSEM調整)／お礼状／日当</t>
        </is>
      </c>
      <c r="J12" s="5" t="inlineStr">
        <is>
          <t>受付デスク（会場・レセプション）、参加者リスト・名札(QR)管理、ホテル・送迎の現地コレポン、リソース対応</t>
        </is>
      </c>
      <c r="K12" s="5" t="inlineStr">
        <is>
          <t>先発隊。</t>
        </is>
      </c>
    </row>
    <row r="13" ht="52.5" customHeight="1" s="107">
      <c r="A13" s="4" t="n">
        <v>9</v>
      </c>
      <c r="B13" s="5" t="inlineStr">
        <is>
          <t>池田　誠</t>
        </is>
      </c>
      <c r="C13" s="4" t="inlineStr">
        <is>
          <t>IKEDA Makoto</t>
        </is>
      </c>
      <c r="D13" s="5" t="inlineStr">
        <is>
          <t>主任研究員</t>
        </is>
      </c>
      <c r="E13" s="6" t="inlineStr">
        <is>
          <t>確定（便名要確認）</t>
        </is>
      </c>
      <c r="F13" s="4" t="inlineStr">
        <is>
          <t>10/26 SQ619  関空10:05→SIN16:00</t>
        </is>
      </c>
      <c r="G13" s="4" t="inlineStr">
        <is>
          <t>10/31 SQ622 SIN01:30→関空08:35</t>
        </is>
      </c>
      <c r="H13" s="4" t="inlineStr">
        <is>
          <t>Hotel Mi Bencoolen（候補欄・未割当）</t>
        </is>
      </c>
      <c r="I13" s="4" t="inlineStr">
        <is>
          <t>Technical Session(PIC)／SIDEX Exhibition調整／会場手配・機材／PC等機材</t>
        </is>
      </c>
      <c r="J13" s="4" t="inlineStr">
        <is>
          <t>Technical Session運営（登壇者対応・進行）、AV/PC操作（Day1）、SIDEX展示・Japan Pavilion連携</t>
        </is>
      </c>
      <c r="K13" s="5" t="n"/>
    </row>
    <row r="14" ht="64.5" customHeight="1" s="107">
      <c r="A14" s="4" t="n">
        <v>10</v>
      </c>
      <c r="B14" s="5" t="inlineStr">
        <is>
          <t>ジェラルド・エヘム・ポトゥタン</t>
        </is>
      </c>
      <c r="C14" s="4" t="inlineStr">
        <is>
          <t>Gerald Ejem Potutan</t>
        </is>
      </c>
      <c r="D14" s="5" t="inlineStr">
        <is>
          <t>研究部次長</t>
        </is>
      </c>
      <c r="E14" s="6" t="inlineStr">
        <is>
          <t>確定（便名要確認）</t>
        </is>
      </c>
      <c r="F14" s="4" t="inlineStr">
        <is>
          <t>10/26 SQ619  関空10:05→SIN16:00</t>
        </is>
      </c>
      <c r="G14" s="4" t="inlineStr">
        <is>
          <t>10/31 SQ622 SIN01:30→関空08:35</t>
        </is>
      </c>
      <c r="H14" s="4" t="inlineStr">
        <is>
          <t>Hotel Mi Bencoolen（候補欄・未割当）</t>
        </is>
      </c>
      <c r="I14" s="5" t="inlineStr">
        <is>
          <t>副総括／Concept Note／Roundtable／Draft Summary／広報／SCサマリーメモ</t>
        </is>
      </c>
      <c r="J14" s="4" t="inlineStr">
        <is>
          <t>Roundtable共同運営、Draft Summary執筆（Day1夜〜Day2朝）、SCメモ、必要に応じTechnical Session共同議長候補</t>
        </is>
      </c>
      <c r="K14" s="5" t="n"/>
    </row>
    <row r="15" ht="39" customHeight="1" s="107">
      <c r="A15" s="4" t="n">
        <v>11</v>
      </c>
      <c r="B15" s="5" t="inlineStr">
        <is>
          <t>ミザン　ビスリ</t>
        </is>
      </c>
      <c r="C15" s="4" t="inlineStr">
        <is>
          <t>Mizan Bisri</t>
        </is>
      </c>
      <c r="D15" s="5" t="inlineStr">
        <is>
          <t>研究員</t>
        </is>
      </c>
      <c r="E15" s="8" t="inlineStr">
        <is>
          <t>見込（手配未確認）</t>
        </is>
      </c>
      <c r="F15" s="5" t="inlineStr">
        <is>
          <t>未確認</t>
        </is>
      </c>
      <c r="G15" s="5" t="inlineStr">
        <is>
          <t>未確認</t>
        </is>
      </c>
      <c r="H15" s="4" t="inlineStr">
        <is>
          <t>Hotel Mi Bencoolen（候補欄・未割当）</t>
        </is>
      </c>
      <c r="I15" s="4" t="inlineStr">
        <is>
          <t>Technical Session(PIC)／SIDEX Exhibition調整／Draft Summary</t>
        </is>
      </c>
      <c r="J15" s="4" t="inlineStr">
        <is>
          <t>Technical Session ADRC側Co-Chair（有力案）。登壇者（JAXA・EOS-NTU・DOST・BRIN/ネパール代替・ウズベキスタン）との調整・当日進行</t>
        </is>
      </c>
      <c r="K15" s="7" t="inlineStr">
        <is>
          <t>フライト未取得（9/4）</t>
        </is>
      </c>
    </row>
    <row r="16" ht="52.5" customHeight="1" s="107">
      <c r="A16" s="4" t="n">
        <v>12</v>
      </c>
      <c r="B16" s="5" t="inlineStr">
        <is>
          <t>藤本 絢子</t>
        </is>
      </c>
      <c r="C16" s="4" t="inlineStr">
        <is>
          <t>FUJIMOTO Ayako</t>
        </is>
      </c>
      <c r="D16" s="5" t="inlineStr">
        <is>
          <t>主任</t>
        </is>
      </c>
      <c r="E16" s="6" t="inlineStr">
        <is>
          <t>確定（本人承諾 9/4。スクート便を選択 9/24）</t>
        </is>
      </c>
      <c r="F16" s="5" t="inlineStr">
        <is>
          <t>10/26 TR819 関西11:30→SIN17:30</t>
        </is>
      </c>
      <c r="G16" s="5" t="inlineStr">
        <is>
          <t>11/01 TR818 SIN03:05→関西10:15（チェックイン10/31夜。藤中・田中と同便）</t>
        </is>
      </c>
      <c r="H16" s="4" t="inlineStr">
        <is>
          <t>Hotel Mi Bencoolen 10/26-30（4泊、31日夜は空港へ）→手配状況要確認</t>
        </is>
      </c>
      <c r="I16" s="5" t="inlineStr">
        <is>
          <t>アジェンダ(補)／広報・Flyer／Zoom webinar設定／Webサイト／各種リスト出力(リソース・研究部)／会議参加証明</t>
        </is>
      </c>
      <c r="J16" s="5" t="inlineStr">
        <is>
          <t>撮影（写真・動画）を主担当（児玉 9/4）。加えて公邸レセプションの設営補助、Zoom/AI翻訳の現地一次対応、参加者誘導</t>
        </is>
      </c>
      <c r="K16" s="5" t="n"/>
    </row>
    <row r="17" ht="39" customHeight="1" s="107">
      <c r="A17" s="4" t="n">
        <v>13</v>
      </c>
      <c r="B17" s="5" t="inlineStr">
        <is>
          <t>塩見 有美</t>
        </is>
      </c>
      <c r="C17" s="4" t="inlineStr">
        <is>
          <t>SHIOMI Yumi</t>
        </is>
      </c>
      <c r="D17" s="5" t="inlineStr">
        <is>
          <t>主任研究員</t>
        </is>
      </c>
      <c r="E17" s="6" t="inlineStr">
        <is>
          <t>確定（本人承諾 9/4。TG便を9/9にケイラインへ発注依頼）</t>
        </is>
      </c>
      <c r="F17" s="5" t="inlineStr">
        <is>
          <t>10/26 TG623 関西11:00→バンコク15:30／TG409 バンコク16:35→SIN19:55</t>
        </is>
      </c>
      <c r="G17" s="5" t="inlineStr">
        <is>
          <t>10/30 TG410 SIN21:00→バンコク22:20／TG622 バンコク23:59→関西10/31 07:20</t>
        </is>
      </c>
      <c r="H17" s="4" t="inlineStr">
        <is>
          <t>Hotel Mi Bencoolen 10/26-30（4泊）→要手配。Miに空きがなければ周辺ホテルを追加手配（荒木田 9/7）</t>
        </is>
      </c>
      <c r="I17" s="5" t="inlineStr">
        <is>
          <t>（デマケ上の現地担当なし）</t>
        </is>
      </c>
      <c r="J17" s="5" t="inlineStr">
        <is>
          <t>セッション記録・サマリー補助（2023年はS1サマリー担当）、中央アジア/ウズベキスタン対応、参加者誘導</t>
        </is>
      </c>
      <c r="K17" s="5" t="inlineStr">
        <is>
          <t>30日は閉会16:50後すぐ空港へ移動。Hotel Miの手配状況を要確認</t>
        </is>
      </c>
    </row>
    <row r="18" ht="51.75" customHeight="1" s="107">
      <c r="A18" s="4" t="n">
        <v>15</v>
      </c>
      <c r="B18" s="5" t="inlineStr">
        <is>
          <t>中村</t>
        </is>
      </c>
      <c r="C18" s="4" t="inlineStr">
        <is>
          <t>NAKAMURA</t>
        </is>
      </c>
      <c r="D18" s="5" t="inlineStr">
        <is>
          <t>（研究部）</t>
        </is>
      </c>
      <c r="E18" s="9" t="inlineStr">
        <is>
          <t>国内サポート（確定）</t>
        </is>
      </c>
      <c r="F18" s="4" t="inlineStr">
        <is>
          <t>―</t>
        </is>
      </c>
      <c r="G18" s="4" t="inlineStr">
        <is>
          <t>―</t>
        </is>
      </c>
      <c r="H18" s="5" t="inlineStr">
        <is>
          <t>―（神戸）</t>
        </is>
      </c>
      <c r="I18" s="5" t="inlineStr">
        <is>
          <t>（デマケ8/6版に記載なし→追記要）</t>
        </is>
      </c>
      <c r="J18" s="5" t="inlineStr">
        <is>
          <t>【日本側】Zoom Webinar/Meetingの設定・ホスト、AI通訳ツールの設定と会期中の監視、オンラインQ&amp;A・コメント欄の確認。会期前にリハーサル（2025年と同じ体制。ACDR2025動態表: Setup Webinar・Webinar Rehearsal・Check Q&amp;A）</t>
        </is>
      </c>
      <c r="K18" s="7" t="inlineStr">
        <is>
          <t>時差: 神戸はシンガポールより1時間進む（SGT 09:30 = JST 10:30）</t>
        </is>
      </c>
    </row>
    <row r="19" ht="51.75" customHeight="1" s="107">
      <c r="A19" s="4" t="n">
        <v>16</v>
      </c>
      <c r="B19" s="5" t="inlineStr">
        <is>
          <t>山口</t>
        </is>
      </c>
      <c r="C19" s="4" t="inlineStr">
        <is>
          <t>YAMAGUCHI</t>
        </is>
      </c>
      <c r="D19" s="5" t="inlineStr">
        <is>
          <t>（研究部）</t>
        </is>
      </c>
      <c r="E19" s="9" t="inlineStr">
        <is>
          <t>国内サポート（確定）</t>
        </is>
      </c>
      <c r="F19" s="4" t="inlineStr">
        <is>
          <t>―</t>
        </is>
      </c>
      <c r="G19" s="4" t="inlineStr">
        <is>
          <t>―</t>
        </is>
      </c>
      <c r="H19" s="5" t="inlineStr">
        <is>
          <t>―（神戸）</t>
        </is>
      </c>
      <c r="I19" s="5" t="inlineStr">
        <is>
          <t>（デマケ8/6版に記載なし→追記要）</t>
        </is>
      </c>
      <c r="J19" s="5" t="inlineStr">
        <is>
          <t>【日本側】ACDRセッションの録画（Webinar/Zoomクラウド録画＋ローカル保存）、オンライン参加者の質疑対応（Q&amp;A取次・チャット回答）、録画データの整理・保存</t>
        </is>
      </c>
      <c r="K19" s="7" t="inlineStr">
        <is>
          <t>オンライン質疑は中村（Q&amp;A確認）と分担</t>
        </is>
      </c>
    </row>
    <row r="20" ht="26.25" customHeight="1" s="107">
      <c r="A20" s="4" t="n">
        <v>17</v>
      </c>
      <c r="B20" s="5" t="inlineStr">
        <is>
          <t>伊達 孝</t>
        </is>
      </c>
      <c r="C20" s="4" t="inlineStr">
        <is>
          <t>DATE Takashi</t>
        </is>
      </c>
      <c r="D20" s="4" t="inlineStr">
        <is>
          <t>―</t>
        </is>
      </c>
      <c r="E20" s="9" t="inlineStr">
        <is>
          <t>国内サポート</t>
        </is>
      </c>
      <c r="F20" s="4" t="inlineStr">
        <is>
          <t>―</t>
        </is>
      </c>
      <c r="G20" s="4" t="inlineStr">
        <is>
          <t>―</t>
        </is>
      </c>
      <c r="H20" s="4" t="inlineStr">
        <is>
          <t>―</t>
        </is>
      </c>
      <c r="I20" s="4" t="inlineStr">
        <is>
          <t>PC等機材サポート／Webサイトサポート</t>
        </is>
      </c>
      <c r="J20" s="5" t="inlineStr">
        <is>
          <t>神戸からのリモート支援（Web更新、Highlights発行）</t>
        </is>
      </c>
      <c r="K20" s="4" t="inlineStr">
        <is>
          <t>2025年はWebinar設定・ホスト/録画確認を担当。</t>
        </is>
      </c>
    </row>
    <row r="21" ht="39" customHeight="1" s="107">
      <c r="A21" s="4" t="n">
        <v>18</v>
      </c>
      <c r="B21" s="5" t="inlineStr">
        <is>
          <t>寺坂　佳津子</t>
        </is>
      </c>
      <c r="C21" s="4" t="inlineStr">
        <is>
          <t>TERASAKA Kazuko</t>
        </is>
      </c>
      <c r="D21" s="5" t="inlineStr">
        <is>
          <t>アシスタント</t>
        </is>
      </c>
      <c r="E21" s="9" t="inlineStr">
        <is>
          <t>国内（オンライン登録）</t>
        </is>
      </c>
      <c r="F21" s="4" t="inlineStr">
        <is>
          <t>―</t>
        </is>
      </c>
      <c r="G21" s="4" t="inlineStr">
        <is>
          <t>―</t>
        </is>
      </c>
      <c r="H21" s="4" t="inlineStr">
        <is>
          <t>―</t>
        </is>
      </c>
      <c r="I21" s="5" t="inlineStr">
        <is>
          <t>参加者情報・フライト・宿泊・送迎のWeb登録・リスト出力(メンバー国)／VISA</t>
        </is>
      </c>
      <c r="J21" s="5" t="inlineStr">
        <is>
          <t>神戸でマスターリスト管理・リスト出力</t>
        </is>
      </c>
      <c r="K21" s="5" t="inlineStr">
        <is>
          <t>2025年は録画（日英2台）・ローカル保存を担当。</t>
        </is>
      </c>
    </row>
    <row r="22" ht="26.25" customHeight="1" s="107">
      <c r="A22" s="4" t="n">
        <v>19</v>
      </c>
      <c r="B22" s="5" t="inlineStr">
        <is>
          <t>田原 麻衣</t>
        </is>
      </c>
      <c r="C22" s="4" t="inlineStr">
        <is>
          <t>TAHARA Mai</t>
        </is>
      </c>
      <c r="D22" s="5" t="inlineStr">
        <is>
          <t>管理部</t>
        </is>
      </c>
      <c r="E22" s="9" t="inlineStr">
        <is>
          <t>国内（オンライン登録）</t>
        </is>
      </c>
      <c r="F22" s="4" t="inlineStr">
        <is>
          <t>―</t>
        </is>
      </c>
      <c r="G22" s="4" t="inlineStr">
        <is>
          <t>―</t>
        </is>
      </c>
      <c r="H22" s="4" t="inlineStr">
        <is>
          <t>―</t>
        </is>
      </c>
      <c r="I22" s="5" t="inlineStr">
        <is>
          <t>管理部（役員対応）</t>
        </is>
      </c>
      <c r="J22" s="5" t="inlineStr">
        <is>
          <t>神戸で管理部業務</t>
        </is>
      </c>
      <c r="K22" s="4" t="inlineStr">
        <is>
          <t>―</t>
        </is>
      </c>
    </row>
    <row r="23" ht="39" customHeight="1" s="107">
      <c r="A23" s="4" t="n">
        <v>20</v>
      </c>
      <c r="B23" s="5" t="inlineStr">
        <is>
          <t>立部　知保里</t>
        </is>
      </c>
      <c r="C23" s="4" t="inlineStr">
        <is>
          <t>TATEBE Chihori</t>
        </is>
      </c>
      <c r="D23" s="5" t="inlineStr">
        <is>
          <t>研究員</t>
        </is>
      </c>
      <c r="E23" s="9" t="inlineStr">
        <is>
          <t>国内（オンライン登録）</t>
        </is>
      </c>
      <c r="F23" s="4" t="inlineStr">
        <is>
          <t>―</t>
        </is>
      </c>
      <c r="G23" s="4" t="inlineStr">
        <is>
          <t>―</t>
        </is>
      </c>
      <c r="H23" s="4" t="inlineStr">
        <is>
          <t>―</t>
        </is>
      </c>
      <c r="I23" s="5" t="n"/>
      <c r="J23" s="5" t="inlineStr">
        <is>
          <t>神戸</t>
        </is>
      </c>
      <c r="K23" s="5" t="inlineStr">
        <is>
          <t>トルコ研修調整で多忙（児玉 5/18）</t>
        </is>
      </c>
    </row>
    <row r="25" ht="14.25" customHeight="1" s="107">
      <c r="B25" s="10" t="inlineStr">
        <is>
          <t>集計（自動計算）</t>
        </is>
      </c>
    </row>
    <row r="26" ht="14.25" customHeight="1" s="107">
      <c r="B26" s="11" t="inlineStr">
        <is>
          <t>現地参加 確定（フライト要確認含む）</t>
        </is>
      </c>
      <c r="E26" s="10">
        <f>COUNTIF(E5:E23,"確定*")</f>
        <v/>
      </c>
    </row>
    <row r="27" ht="14.25" customHeight="1" s="107">
      <c r="B27" s="11" t="inlineStr">
        <is>
          <t>見込・候補（手配未了）</t>
        </is>
      </c>
      <c r="E27" s="10">
        <f>COUNTIF(E5:E23,"見込*")+COUNTIF(E5:E23,"候補*")</f>
        <v/>
      </c>
    </row>
    <row r="28" ht="14.25" customHeight="1" s="107">
      <c r="B28" s="11" t="inlineStr">
        <is>
          <t>未定</t>
        </is>
      </c>
      <c r="E28" s="10">
        <f>COUNTIF(E5:E23,"未定*")</f>
        <v/>
      </c>
    </row>
    <row r="29" ht="14.25" customHeight="1" s="107">
      <c r="B29" s="11" t="inlineStr">
        <is>
          <t>うち役員（三浦・北本・宮木）＝運営要員から除く</t>
        </is>
      </c>
      <c r="E29" s="12" t="n">
        <v>3</v>
      </c>
    </row>
    <row r="30" ht="14.25" customHeight="1" s="107">
      <c r="B30" s="11" t="inlineStr">
        <is>
          <t>実働運営要員（確定＋見込(Mizan)−役員）</t>
        </is>
      </c>
      <c r="E30" s="10">
        <f>E26+COUNTIF(E5:E23,"見込*")-E29</f>
        <v/>
      </c>
      <c r="F30" s="13" t="inlineStr">
        <is>
          <t>← ACDR2023（ドゥシャンベ）の現地運営要員は役員（小川・笹原）を除き8名（堀池・藤中・田中・荒木田・児玉・塩見・Potutan・吉田）。今回は同数だが、公邸レセプション・Gala・Parade・SIDEX連携が加わる</t>
        </is>
      </c>
    </row>
    <row r="31" ht="14.25" customHeight="1" s="107">
      <c r="B31" s="11" t="inlineStr">
        <is>
          <t>日本側サポート（中村・山口 確定、寺坂・伊達 仮置き）</t>
        </is>
      </c>
      <c r="E31" s="12">
        <f>COUNTIF(E5:E23,"国内サポート（確定）")</f>
        <v/>
      </c>
    </row>
    <row r="32" ht="14.25" customHeight="1" s="107">
      <c r="B32" s="10" t="inlineStr">
        <is>
          <t>凡例</t>
        </is>
      </c>
    </row>
    <row r="33" ht="14.25" customHeight="1" s="107">
      <c r="B33" s="15" t="n"/>
      <c r="C33" s="16" t="inlineStr">
        <is>
          <t>確定（航空券発券済み／確定情報あり）</t>
        </is>
      </c>
    </row>
    <row r="34" ht="14.25" customHeight="1" s="107">
      <c r="B34" s="17" t="n"/>
      <c r="C34" s="16" t="inlineStr">
        <is>
          <t>見込・候補（本人可または担当割当済みだが手配未了）</t>
        </is>
      </c>
    </row>
    <row r="35" ht="14.25" customHeight="1" s="107">
      <c r="B35" s="18" t="n"/>
      <c r="C35" s="16" t="inlineStr">
        <is>
          <t>未定（打診中・根拠不足）</t>
        </is>
      </c>
    </row>
    <row r="36" ht="14.25" customHeight="1" s="107">
      <c r="B36" s="19" t="n"/>
      <c r="C36" s="16" t="inlineStr">
        <is>
          <t>国内・オンライン参加</t>
        </is>
      </c>
    </row>
  </sheetData>
  <mergeCells count="1">
    <mergeCell ref="A2:L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zoomScaleNormal="100" workbookViewId="0">
      <pane xSplit="1" ySplit="5" topLeftCell="E6" activePane="bottomRight" state="frozen"/>
      <selection pane="topRight" activeCell="E1" sqref="E1"/>
      <selection pane="bottomLeft" activeCell="A6" sqref="A6"/>
      <selection pane="bottomRight" activeCell="H6" sqref="H6:H9"/>
    </sheetView>
  </sheetViews>
  <sheetFormatPr baseColWidth="8" defaultColWidth="8.5546875" defaultRowHeight="14.4"/>
  <cols>
    <col width="14" customWidth="1" style="20" min="1" max="1"/>
    <col width="16" customWidth="1" style="107" min="2" max="19"/>
  </cols>
  <sheetData>
    <row r="1" ht="15" customHeight="1" s="107">
      <c r="A1" s="21" t="inlineStr">
        <is>
          <t>ACDR2026 動態表（日別 AM/PM）　as of 25 Sep 2026 v2_9（9/25 所内打合せ反映）</t>
        </is>
      </c>
    </row>
    <row r="2" ht="14.25" customHeight="1" s="107">
      <c r="G2" s="22" t="inlineStr">
        <is>
          <t>10/26夜: エリック長官夕食会（宮木・三浦・児玉。北本理事は辞退〈10/2 児玉→Sylvia〉）</t>
        </is>
      </c>
    </row>
    <row r="3" ht="15" customHeight="1" s="107">
      <c r="A3" s="23" t="inlineStr">
        <is>
          <t>Staff</t>
        </is>
      </c>
      <c r="B3" s="122" t="inlineStr">
        <is>
          <t>10/24(土)</t>
        </is>
      </c>
      <c r="D3" s="122" t="inlineStr">
        <is>
          <t>10/25(日)</t>
        </is>
      </c>
      <c r="F3" s="122" t="inlineStr">
        <is>
          <t>10/26(月)</t>
        </is>
      </c>
      <c r="H3" s="122" t="inlineStr">
        <is>
          <t>10/27(火)</t>
        </is>
      </c>
      <c r="J3" s="122" t="inlineStr">
        <is>
          <t>10/28(水)</t>
        </is>
      </c>
      <c r="L3" s="122" t="inlineStr">
        <is>
          <t>10/29(木)</t>
        </is>
      </c>
      <c r="N3" s="122" t="inlineStr">
        <is>
          <t>10/30(金)</t>
        </is>
      </c>
      <c r="P3" s="122" t="inlineStr">
        <is>
          <t>10/31(土)</t>
        </is>
      </c>
      <c r="R3" s="122" t="inlineStr">
        <is>
          <t>11/1(日)</t>
        </is>
      </c>
    </row>
    <row r="4" ht="14.25" customHeight="1" s="107">
      <c r="B4" s="24" t="inlineStr">
        <is>
          <t>AM</t>
        </is>
      </c>
      <c r="C4" s="24" t="inlineStr">
        <is>
          <t>PM</t>
        </is>
      </c>
      <c r="D4" s="24" t="inlineStr">
        <is>
          <t>AM</t>
        </is>
      </c>
      <c r="E4" s="24" t="inlineStr">
        <is>
          <t>PM</t>
        </is>
      </c>
      <c r="F4" s="24" t="inlineStr">
        <is>
          <t>AM</t>
        </is>
      </c>
      <c r="G4" s="24" t="inlineStr">
        <is>
          <t>PM</t>
        </is>
      </c>
      <c r="H4" s="24" t="inlineStr">
        <is>
          <t>AM</t>
        </is>
      </c>
      <c r="I4" s="24" t="inlineStr">
        <is>
          <t>PM</t>
        </is>
      </c>
      <c r="J4" s="24" t="inlineStr">
        <is>
          <t>AM</t>
        </is>
      </c>
      <c r="K4" s="24" t="inlineStr">
        <is>
          <t>PM</t>
        </is>
      </c>
      <c r="L4" s="24" t="inlineStr">
        <is>
          <t>AM</t>
        </is>
      </c>
      <c r="M4" s="24" t="inlineStr">
        <is>
          <t>PM</t>
        </is>
      </c>
      <c r="N4" s="24" t="inlineStr">
        <is>
          <t>AM</t>
        </is>
      </c>
      <c r="O4" s="24" t="inlineStr">
        <is>
          <t>PM</t>
        </is>
      </c>
      <c r="P4" s="24" t="inlineStr">
        <is>
          <t>AM</t>
        </is>
      </c>
      <c r="Q4" s="24" t="inlineStr">
        <is>
          <t>PM</t>
        </is>
      </c>
      <c r="R4" s="24" t="inlineStr">
        <is>
          <t>AM</t>
        </is>
      </c>
      <c r="S4" s="24" t="inlineStr">
        <is>
          <t>PM</t>
        </is>
      </c>
    </row>
    <row r="5" ht="48" customHeight="1" s="107">
      <c r="A5" s="23" t="inlineStr">
        <is>
          <t>PROGRAM</t>
        </is>
      </c>
      <c r="B5" s="25" t="n"/>
      <c r="C5" s="25" t="n"/>
      <c r="D5" s="25" t="n"/>
      <c r="E5" s="25" t="n"/>
      <c r="F5" s="26" t="inlineStr">
        <is>
          <t>参加者到着(Dorsett)</t>
        </is>
      </c>
      <c r="G5" s="26" t="inlineStr">
        <is>
          <t>参加者到着(〜深夜)／Day-1準備</t>
        </is>
      </c>
      <c r="H5" s="26" t="inlineStr">
        <is>
          <t>参加者到着／会場・名札準備／役員は会場を短時間下見後に大使館表敬（午前・足立氏と調整）</t>
        </is>
      </c>
      <c r="I5" s="27" t="inlineStr">
        <is>
          <t>16:00設営→19:00-21:00 大使公邸レセプション</t>
        </is>
      </c>
      <c r="J5" s="27" t="inlineStr">
        <is>
          <t>07:30会場テスト／10:00 Joint Opening／VIP Tour</t>
        </is>
      </c>
      <c r="K5" s="27" t="inlineStr">
        <is>
          <t>12:45 ACDR Opening／13:00-15:00 Roundtable(1)／15:15-16:15 SC／17:30 Dorsett発／18:30 Gala　※RT分割・SC前倒しは9/25所内案、COSEM・内閣府と調整中</t>
        </is>
      </c>
      <c r="L5" s="27" t="inlineStr">
        <is>
          <t>09:00-09:30 Roundtable(2)（案）／09:30 Technical Session／11:30 Summary &amp; Closing</t>
        </is>
      </c>
      <c r="M5" s="27" t="inlineStr">
        <is>
          <t>13:00〜 Field Trip(CDA)／18:30 SCDF Parade &amp; Dinner</t>
        </is>
      </c>
      <c r="N5" s="27" t="inlineStr">
        <is>
          <t>09:00 SIDEX Keynote/Panel1</t>
        </is>
      </c>
      <c r="O5" s="27" t="inlineStr">
        <is>
          <t>13:50 Exhibition Tour／15:00 Panel2／16:30閉会／夜:出発</t>
        </is>
      </c>
      <c r="P5" s="26" t="inlineStr">
        <is>
          <t>参加者出発(見送り)</t>
        </is>
      </c>
      <c r="Q5" s="26" t="inlineStr">
        <is>
          <t>参加者出発</t>
        </is>
      </c>
      <c r="R5" s="25" t="n"/>
      <c r="S5" s="25" t="n"/>
    </row>
    <row r="6" ht="39.75" customHeight="1" s="107">
      <c r="A6" s="28">
        <f>人員一覧・判定!B5</f>
        <v/>
      </c>
      <c r="B6" s="29" t="n"/>
      <c r="C6" s="29" t="n"/>
      <c r="D6" s="29" t="n"/>
      <c r="E6" s="29" t="n"/>
      <c r="F6" s="30" t="inlineStr">
        <is>
          <t>FUK-SIN(SQ655)</t>
        </is>
      </c>
      <c r="G6" s="31" t="inlineStr">
        <is>
          <t>SIN着15:00/Dorsett/夜:エリック長官夕食会(調整中)</t>
        </is>
      </c>
      <c r="H6" s="32" t="inlineStr">
        <is>
          <t>会場下見(全員)/資料確認</t>
        </is>
      </c>
      <c r="I6" s="33" t="inlineStr">
        <is>
          <t>レセプション(VIP)</t>
        </is>
      </c>
      <c r="J6" s="34" t="inlineStr">
        <is>
          <t>Joint Opening/VIP Tour</t>
        </is>
      </c>
      <c r="K6" s="35" t="inlineStr">
        <is>
          <t>ACDR Opening挨拶/RT/SC/Gala</t>
        </is>
      </c>
      <c r="L6" s="34" t="inlineStr">
        <is>
          <t>Tech Session/Closing</t>
        </is>
      </c>
      <c r="M6" s="35" t="inlineStr">
        <is>
          <t>Field Trip/Parade Dinner</t>
        </is>
      </c>
      <c r="N6" s="34" t="inlineStr">
        <is>
          <t>SIDEX Keynote</t>
        </is>
      </c>
      <c r="O6" s="31" t="inlineStr">
        <is>
          <t>Panel2/閉会</t>
        </is>
      </c>
      <c r="P6" s="30" t="inlineStr">
        <is>
          <t>SIN-FUK(SQ656 01:20)</t>
        </is>
      </c>
      <c r="Q6" s="29" t="n"/>
      <c r="R6" s="29" t="n"/>
      <c r="S6" s="29" t="n"/>
    </row>
    <row r="7" ht="39.75" customHeight="1" s="107">
      <c r="A7" s="28">
        <f>人員一覧・判定!B6</f>
        <v/>
      </c>
      <c r="B7" s="29" t="n"/>
      <c r="C7" s="29" t="n"/>
      <c r="D7" s="29" t="n"/>
      <c r="E7" s="29" t="n"/>
      <c r="F7" s="30" t="inlineStr">
        <is>
          <t>NRT-SIN(SQ637)</t>
        </is>
      </c>
      <c r="G7" s="31" t="inlineStr">
        <is>
          <t>SIN着16:30/Dorsett/夜:エリック長官夕食会(調整中)</t>
        </is>
      </c>
      <c r="H7" s="32" t="inlineStr">
        <is>
          <t>会場下見(全員)→ブリーフィング(荒木田)</t>
        </is>
      </c>
      <c r="I7" s="33" t="inlineStr">
        <is>
          <t>レセプション(VIP)</t>
        </is>
      </c>
      <c r="J7" s="34" t="inlineStr">
        <is>
          <t>Joint Opening/VIP Tour</t>
        </is>
      </c>
      <c r="K7" s="35" t="inlineStr">
        <is>
          <t>RT/SC/Gala</t>
        </is>
      </c>
      <c r="L7" s="34" t="inlineStr">
        <is>
          <t>Tech Session/Closing</t>
        </is>
      </c>
      <c r="M7" s="35" t="inlineStr">
        <is>
          <t>Field Trip/Parade Dinner</t>
        </is>
      </c>
      <c r="N7" s="34" t="inlineStr">
        <is>
          <t>SIDEX Keynote</t>
        </is>
      </c>
      <c r="O7" s="30" t="inlineStr">
        <is>
          <t>Panel2/閉会/SIN-NRT(SQ638 23:55)</t>
        </is>
      </c>
      <c r="P7" s="34" t="inlineStr">
        <is>
          <t>NRT着07:30</t>
        </is>
      </c>
      <c r="Q7" s="29" t="n"/>
      <c r="R7" s="29" t="n"/>
      <c r="S7" s="29" t="n"/>
    </row>
    <row r="8" ht="39.75" customHeight="1" s="107">
      <c r="A8" s="28">
        <f>人員一覧・判定!B7</f>
        <v/>
      </c>
      <c r="B8" s="29" t="n"/>
      <c r="C8" s="29" t="n"/>
      <c r="D8" s="29" t="n"/>
      <c r="E8" s="30" t="inlineStr">
        <is>
          <t>ITM-NRT-SIN(NH2178/NH803) 23:40着</t>
        </is>
      </c>
      <c r="F8" s="32" t="inlineStr">
        <is>
          <t>内閣府到着対応準備/COSEM調整</t>
        </is>
      </c>
      <c r="G8" s="36" t="inlineStr">
        <is>
          <t>内閣府到着確認(出迎え不要・公用車)/COSEM調整/夜:エリック長官夕食会(調整中)</t>
        </is>
      </c>
      <c r="H8" s="32" t="inlineStr">
        <is>
          <t>会場下見(全員)→COSEM・内閣府調整</t>
        </is>
      </c>
      <c r="I8" s="33" t="inlineStr">
        <is>
          <t>レセプション(内閣府随行・大使対応)</t>
        </is>
      </c>
      <c r="J8" s="37" t="inlineStr">
        <is>
          <t>事務局・受付設営/Opening/VIP Tour(内閣府に同行)</t>
        </is>
      </c>
      <c r="K8" s="35" t="inlineStr">
        <is>
          <t>ACDR Opening/RT/SC進行補佐/Gala</t>
        </is>
      </c>
      <c r="L8" s="34" t="inlineStr">
        <is>
          <t>Tech Session/Closing</t>
        </is>
      </c>
      <c r="M8" s="35" t="inlineStr">
        <is>
          <t>Field Trip/Parade Dinner</t>
        </is>
      </c>
      <c r="N8" s="34" t="inlineStr">
        <is>
          <t>SIDEX Keynote(内閣府随行)</t>
        </is>
      </c>
      <c r="O8" s="31" t="inlineStr">
        <is>
          <t>Panel2/閉会</t>
        </is>
      </c>
      <c r="P8" s="30" t="inlineStr">
        <is>
          <t>SIN-NRT(NH802 06:35)</t>
        </is>
      </c>
      <c r="Q8" s="29" t="n"/>
      <c r="R8" s="29" t="n"/>
      <c r="S8" s="29" t="n"/>
    </row>
    <row r="9" ht="39.75" customHeight="1" s="107">
      <c r="A9" s="28">
        <f>人員一覧・判定!B8</f>
        <v/>
      </c>
      <c r="B9" s="29" t="n"/>
      <c r="C9" s="29" t="n"/>
      <c r="D9" s="29" t="n"/>
      <c r="E9" s="30" t="inlineStr">
        <is>
          <t>ITM-NRT-SIN(NH2178/NH803) 23:40着</t>
        </is>
      </c>
      <c r="F9" s="31" t="inlineStr">
        <is>
          <t>Dorsett受付準備/COSEM打合せ</t>
        </is>
      </c>
      <c r="G9" s="38" t="inlineStr">
        <is>
          <t>Dorsettフロント対応(到着ピーク)/接続テスト①/夜:エリック長官夕食会(調整中)</t>
        </is>
      </c>
      <c r="H9" s="33" t="inlineStr">
        <is>
          <t>会場下見(全員)→公邸・ケータリング最終確認</t>
        </is>
      </c>
      <c r="I9" s="31" t="inlineStr">
        <is>
          <t>16:00公邸設営/MC・進行</t>
        </is>
      </c>
      <c r="J9" s="34" t="inlineStr">
        <is>
          <t>07:30会場テスト/事務局設営/Opening/COSEM調整</t>
        </is>
      </c>
      <c r="K9" s="35" t="inlineStr">
        <is>
          <t>RT/SC/Gala引率</t>
        </is>
      </c>
      <c r="L9" s="34" t="inlineStr">
        <is>
          <t>Tech Session/Closing</t>
        </is>
      </c>
      <c r="M9" s="33" t="inlineStr">
        <is>
          <t>事務局撤収(藤中と)/Parade Dinner</t>
        </is>
      </c>
      <c r="N9" s="34" t="inlineStr">
        <is>
          <t>SIDEX Keynote</t>
        </is>
      </c>
      <c r="O9" s="31" t="inlineStr">
        <is>
          <t>Exhibition Tour/Panel2/閉会</t>
        </is>
      </c>
      <c r="P9" s="39" t="inlineStr">
        <is>
          <t>SIN-NRT-ITM(NH802 06:35)</t>
        </is>
      </c>
      <c r="Q9" s="29" t="n"/>
      <c r="R9" s="29" t="n"/>
      <c r="S9" s="29" t="n"/>
    </row>
    <row r="10" ht="39.75" customHeight="1" s="107">
      <c r="A10" s="40">
        <f>人員一覧・判定!B9</f>
        <v/>
      </c>
      <c r="B10" s="29" t="n"/>
      <c r="C10" s="29" t="n"/>
      <c r="D10" s="29" t="n"/>
      <c r="E10" s="29" t="n"/>
      <c r="F10" s="31" t="inlineStr">
        <is>
          <t>SIN着06:55(NH843)/会場・機材確認</t>
        </is>
      </c>
      <c r="G10" s="38" t="inlineStr">
        <is>
          <t>Dorsettフロント対応/内閣府到着対応/日本側(中村・山口)とZoom・AI通訳接続テスト①(JST 15-17)</t>
        </is>
      </c>
      <c r="H10" s="32" t="inlineStr">
        <is>
          <t>会場下見引率(全員)→北本ブリーフ/持込PCで接続テスト②</t>
        </is>
      </c>
      <c r="I10" s="33" t="inlineStr">
        <is>
          <t>日本側と接続テスト②(Webinar・AI通訳・録画, JST 14-17)→公邸設営/レセプション運営</t>
        </is>
      </c>
      <c r="J10" s="34" t="inlineStr">
        <is>
          <t>07:30会場・NWテスト/Zoom/Opening進行</t>
        </is>
      </c>
      <c r="K10" s="35" t="inlineStr">
        <is>
          <t>ACDR Opening進行/RT運営(AV)/SC/Gala</t>
        </is>
      </c>
      <c r="L10" s="34" t="inlineStr">
        <is>
          <t>Tech Session(AV・Zoom)/Summary/Closing進行</t>
        </is>
      </c>
      <c r="M10" s="35" t="inlineStr">
        <is>
          <t>Field Trip引率</t>
        </is>
      </c>
      <c r="N10" s="34" t="inlineStr">
        <is>
          <t>SIDEX Keynote(リソース対応)</t>
        </is>
      </c>
      <c r="O10" s="30" t="inlineStr">
        <is>
          <t>Exhibition Tour/Panel2/閉会/SIN-HND(NH844 22:20)</t>
        </is>
      </c>
      <c r="P10" s="31" t="inlineStr">
        <is>
          <t>HND着05:55</t>
        </is>
      </c>
      <c r="Q10" s="29" t="n"/>
      <c r="R10" s="29" t="n"/>
      <c r="S10" s="29" t="n"/>
    </row>
    <row r="11" ht="39.75" customHeight="1" s="107">
      <c r="A11" s="40">
        <f>人員一覧・判定!B10</f>
        <v/>
      </c>
      <c r="B11" s="29" t="n"/>
      <c r="C11" s="29" t="n"/>
      <c r="D11" s="30" t="inlineStr">
        <is>
          <t>GVA-HEL(AY1534 19:05発)</t>
        </is>
      </c>
      <c r="E11" s="30" t="inlineStr">
        <is>
          <t>HEL-SIN(AY131 00:05発)</t>
        </is>
      </c>
      <c r="F11" s="32" t="inlineStr">
        <is>
          <t>フライト移動中(AY131)</t>
        </is>
      </c>
      <c r="G11" s="38" t="inlineStr">
        <is>
          <t>SIN着18:40→Hotel Mi/夜:参加者対応</t>
        </is>
      </c>
      <c r="H11" s="37" t="inlineStr">
        <is>
          <t>会場下見(全員)→公邸・ケータリング最終確認</t>
        </is>
      </c>
      <c r="I11" s="41" t="inlineStr">
        <is>
          <t>16:00公邸設営/受付/進行補佐</t>
        </is>
      </c>
      <c r="J11" s="34" t="inlineStr">
        <is>
          <t>Opening/参加者誘導</t>
        </is>
      </c>
      <c r="K11" s="35" t="inlineStr">
        <is>
          <t>RT運営(PIC)/SC/Gala引率</t>
        </is>
      </c>
      <c r="L11" s="34" t="inlineStr">
        <is>
          <t>Tech Session(記録)</t>
        </is>
      </c>
      <c r="M11" s="35" t="inlineStr">
        <is>
          <t>Field Trip引率/ホテル→EXPO誘導(パレード)/Parade Dinner</t>
        </is>
      </c>
      <c r="N11" s="34" t="inlineStr">
        <is>
          <t>Dorsett→EXPO誘導/SIDEX Keynote</t>
        </is>
      </c>
      <c r="O11" s="30" t="inlineStr">
        <is>
          <t>Panel2/閉会/SIN-HEL(AY132 22:05)</t>
        </is>
      </c>
      <c r="P11" s="31" t="inlineStr">
        <is>
          <t>HEL経由 GVA着10:00</t>
        </is>
      </c>
      <c r="Q11" s="29" t="n"/>
      <c r="R11" s="29" t="n"/>
      <c r="S11" s="29" t="n"/>
    </row>
    <row r="12" ht="39.75" customHeight="1" s="107">
      <c r="A12" s="40">
        <f>人員一覧・判定!B11</f>
        <v/>
      </c>
      <c r="B12" s="29" t="n"/>
      <c r="C12" s="29" t="n"/>
      <c r="D12" s="30" t="inlineStr">
        <is>
          <t>KIX-SIN(TR819)</t>
        </is>
      </c>
      <c r="E12" s="31" t="inlineStr">
        <is>
          <t>SIN着17:30/Hotel Mi</t>
        </is>
      </c>
      <c r="F12" s="38" t="inlineStr">
        <is>
          <t>COSEM打合せ/Dorsett受付準備</t>
        </is>
      </c>
      <c r="G12" s="38" t="inlineStr">
        <is>
          <t>Dorsettフロント対応(到着ピーク)</t>
        </is>
      </c>
      <c r="H12" s="38" t="inlineStr">
        <is>
          <t>Dorsett受付(下見は交代で)/名札セット</t>
        </is>
      </c>
      <c r="I12" s="41" t="inlineStr">
        <is>
          <t>公邸受付/名札配布</t>
        </is>
      </c>
      <c r="J12" s="41" t="inlineStr">
        <is>
          <t>受付デスク(Peridot)</t>
        </is>
      </c>
      <c r="K12" s="41" t="inlineStr">
        <is>
          <t>受付/SC事務(議案・進行・会計報告)/Gala</t>
        </is>
      </c>
      <c r="L12" s="41" t="inlineStr">
        <is>
          <t>受付デスク/支払</t>
        </is>
      </c>
      <c r="M12" s="33" t="inlineStr">
        <is>
          <t>事務局撤収(児玉と)/精算/Parade Dinner</t>
        </is>
      </c>
      <c r="N12" s="38" t="inlineStr">
        <is>
          <t>SIDEX(受付・清算)</t>
        </is>
      </c>
      <c r="O12" s="32" t="inlineStr">
        <is>
          <t>出発案内/支払</t>
        </is>
      </c>
      <c r="P12" s="32" t="inlineStr">
        <is>
          <t>見送り/清算</t>
        </is>
      </c>
      <c r="Q12" s="30" t="inlineStr">
        <is>
          <t>SIN-KIX(TR818 11/1 03:05)</t>
        </is>
      </c>
      <c r="R12" s="30" t="inlineStr">
        <is>
          <t>SIN-KIX(TR818 03:05)</t>
        </is>
      </c>
      <c r="S12" s="31" t="inlineStr">
        <is>
          <t>KIX着10:15</t>
        </is>
      </c>
    </row>
    <row r="13" ht="39.75" customHeight="1" s="107">
      <c r="A13" s="40">
        <f>人員一覧・判定!B12</f>
        <v/>
      </c>
      <c r="B13" s="29" t="n"/>
      <c r="C13" s="29" t="n"/>
      <c r="D13" s="30" t="inlineStr">
        <is>
          <t>KIX-SIN(TR819)</t>
        </is>
      </c>
      <c r="E13" s="31" t="inlineStr">
        <is>
          <t>SIN着17:30/Hotel Mi</t>
        </is>
      </c>
      <c r="F13" s="32" t="inlineStr">
        <is>
          <t>名札(QR)受取/リスト確認</t>
        </is>
      </c>
      <c r="G13" s="38" t="inlineStr">
        <is>
          <t>Dorsettフロント対応(到着ピーク)</t>
        </is>
      </c>
      <c r="H13" s="38" t="inlineStr">
        <is>
          <t>Dorsett受付(下見は交代で)/送迎確認</t>
        </is>
      </c>
      <c r="I13" s="41" t="inlineStr">
        <is>
          <t>公邸受付/名札配布</t>
        </is>
      </c>
      <c r="J13" s="41" t="inlineStr">
        <is>
          <t>受付デスク(Peridot)</t>
        </is>
      </c>
      <c r="K13" s="41" t="inlineStr">
        <is>
          <t>受付/RT/Gala引率</t>
        </is>
      </c>
      <c r="L13" s="41" t="inlineStr">
        <is>
          <t>Dorsett→EXPO誘導/受付デスク</t>
        </is>
      </c>
      <c r="M13" s="35" t="inlineStr">
        <is>
          <t>Field Trip名簿/ホテル→EXPO誘導(パレード)/Parade Dinner</t>
        </is>
      </c>
      <c r="N13" s="38" t="inlineStr">
        <is>
          <t>Dorsett→EXPO誘導/SIDEX(受付)</t>
        </is>
      </c>
      <c r="O13" s="32" t="inlineStr">
        <is>
          <t>出発案内(送迎)</t>
        </is>
      </c>
      <c r="P13" s="32" t="inlineStr">
        <is>
          <t>見送り</t>
        </is>
      </c>
      <c r="Q13" s="30" t="inlineStr">
        <is>
          <t>SIN-KIX(TR818 11/1 03:05)</t>
        </is>
      </c>
      <c r="R13" s="30" t="inlineStr">
        <is>
          <t>SIN-KIX(TR818 03:05)</t>
        </is>
      </c>
      <c r="S13" s="31" t="inlineStr">
        <is>
          <t>KIX着10:15</t>
        </is>
      </c>
    </row>
    <row r="14" ht="39.75" customHeight="1" s="107">
      <c r="A14" s="40">
        <f>人員一覧・判定!B13</f>
        <v/>
      </c>
      <c r="B14" s="29" t="n"/>
      <c r="C14" s="29" t="n"/>
      <c r="D14" s="29" t="n"/>
      <c r="E14" s="29" t="n"/>
      <c r="F14" s="30" t="inlineStr">
        <is>
          <t>KIX-SIN(SQ619)</t>
        </is>
      </c>
      <c r="G14" s="31" t="inlineStr">
        <is>
          <t>SIN着16:00/Hotel Mi/日本側と接続テスト①に合流</t>
        </is>
      </c>
      <c r="H14" s="32" t="inlineStr">
        <is>
          <t>会場下見(全員)→Japan Pavilion確認/接続テスト②</t>
        </is>
      </c>
      <c r="I14" s="33" t="inlineStr">
        <is>
          <t>16:00公邸設営補助/レセプション</t>
        </is>
      </c>
      <c r="J14" s="31" t="inlineStr">
        <is>
          <t>07:30会場テスト/AV・PC操作</t>
        </is>
      </c>
      <c r="K14" s="35" t="inlineStr">
        <is>
          <t>RT(AV・PC)/Gala</t>
        </is>
      </c>
      <c r="L14" s="34" t="inlineStr">
        <is>
          <t>Tech Session運営(PIC)</t>
        </is>
      </c>
      <c r="M14" s="35" t="inlineStr">
        <is>
          <t>Field Trip or SIDEX展示調整/Parade Dinner</t>
        </is>
      </c>
      <c r="N14" s="34" t="inlineStr">
        <is>
          <t>SIDEX Keynote</t>
        </is>
      </c>
      <c r="O14" s="31" t="inlineStr">
        <is>
          <t>Exhibition Tour(誘導)/Panel2</t>
        </is>
      </c>
      <c r="P14" s="30" t="inlineStr">
        <is>
          <t>SIN-KIX(01:30発 便名要確認)</t>
        </is>
      </c>
      <c r="Q14" s="29" t="n"/>
      <c r="R14" s="29" t="n"/>
      <c r="S14" s="29" t="n"/>
    </row>
    <row r="15" ht="39.75" customHeight="1" s="107">
      <c r="A15" s="40">
        <f>人員一覧・判定!C14</f>
        <v/>
      </c>
      <c r="B15" s="29" t="n"/>
      <c r="C15" s="29" t="n"/>
      <c r="D15" s="29" t="n"/>
      <c r="E15" s="29" t="n"/>
      <c r="F15" s="30" t="inlineStr">
        <is>
          <t>KIX-SIN(SQ619)</t>
        </is>
      </c>
      <c r="G15" s="31" t="inlineStr">
        <is>
          <t>SIN着16:00/Hotel Mi</t>
        </is>
      </c>
      <c r="H15" s="37" t="inlineStr">
        <is>
          <t>会場下見(全員)→RT準備</t>
        </is>
      </c>
      <c r="I15" s="33" t="inlineStr">
        <is>
          <t>16:00公邸設営補助/レセプション</t>
        </is>
      </c>
      <c r="J15" s="34" t="inlineStr">
        <is>
          <t>Opening</t>
        </is>
      </c>
      <c r="K15" s="35" t="inlineStr">
        <is>
          <t>RT運営(共同)/ノート/SCメモ/Gala</t>
        </is>
      </c>
      <c r="L15" s="34" t="inlineStr">
        <is>
          <t>Tech Session(ノート)/Draft Summary</t>
        </is>
      </c>
      <c r="M15" s="35" t="inlineStr">
        <is>
          <t>Field Trip/Parade Dinner</t>
        </is>
      </c>
      <c r="N15" s="34" t="inlineStr">
        <is>
          <t>SIDEX Keynote/Summary</t>
        </is>
      </c>
      <c r="O15" s="31" t="inlineStr">
        <is>
          <t>Panel2/閉会</t>
        </is>
      </c>
      <c r="P15" s="30" t="inlineStr">
        <is>
          <t>SIN-KIX(01:30発 便名要確認)</t>
        </is>
      </c>
      <c r="Q15" s="29" t="n"/>
      <c r="R15" s="29" t="n"/>
      <c r="S15" s="29" t="n"/>
    </row>
    <row r="16" ht="39.75" customHeight="1" s="107">
      <c r="A16" s="40">
        <f>人員一覧・判定!C15</f>
        <v/>
      </c>
      <c r="B16" s="29" t="n"/>
      <c r="C16" s="29" t="n"/>
      <c r="D16" s="29" t="n"/>
      <c r="E16" s="29" t="n"/>
      <c r="F16" s="42" t="inlineStr">
        <is>
          <t>(未手配)</t>
        </is>
      </c>
      <c r="G16" s="42" t="inlineStr">
        <is>
          <t>(未手配)</t>
        </is>
      </c>
      <c r="H16" s="32" t="inlineStr">
        <is>
          <t>会場下見(全員)→登壇者対応</t>
        </is>
      </c>
      <c r="I16" s="33" t="inlineStr">
        <is>
          <t>16:00公邸設営補助/レセプション</t>
        </is>
      </c>
      <c r="J16" s="34" t="inlineStr">
        <is>
          <t>Opening</t>
        </is>
      </c>
      <c r="K16" s="35" t="inlineStr">
        <is>
          <t>RT(ノート)/Gala</t>
        </is>
      </c>
      <c r="L16" s="34" t="inlineStr">
        <is>
          <t>Tech Session Co-Chair</t>
        </is>
      </c>
      <c r="M16" s="35" t="inlineStr">
        <is>
          <t>Field Trip/Parade Dinner</t>
        </is>
      </c>
      <c r="N16" s="34" t="inlineStr">
        <is>
          <t>SIDEX Keynote</t>
        </is>
      </c>
      <c r="O16" s="31" t="inlineStr">
        <is>
          <t>Panel2/閉会</t>
        </is>
      </c>
      <c r="P16" s="42" t="inlineStr">
        <is>
          <t>(未手配)</t>
        </is>
      </c>
      <c r="Q16" s="29" t="n"/>
      <c r="R16" s="29" t="n"/>
      <c r="S16" s="29" t="n"/>
    </row>
    <row r="17" ht="39.75" customHeight="1" s="107">
      <c r="A17" s="40">
        <f>人員一覧・判定!B16</f>
        <v/>
      </c>
      <c r="B17" s="29" t="n"/>
      <c r="C17" s="29" t="n"/>
      <c r="D17" s="29" t="n"/>
      <c r="E17" s="29" t="n"/>
      <c r="F17" s="39" t="inlineStr">
        <is>
          <t>KIX-SIN(TR819)</t>
        </is>
      </c>
      <c r="G17" s="44" t="inlineStr">
        <is>
          <t>SIN着17:30→Hotel Mi</t>
        </is>
      </c>
      <c r="H17" s="41" t="inlineStr">
        <is>
          <t>会場下見(全員)→公邸・ケータリング最終確認/撮影準備</t>
        </is>
      </c>
      <c r="I17" s="41" t="inlineStr">
        <is>
          <t>16:00公邸設営・MC進行確認/撮影</t>
        </is>
      </c>
      <c r="J17" s="31" t="inlineStr">
        <is>
          <t>Zoom・AI翻訳/写真</t>
        </is>
      </c>
      <c r="K17" s="41" t="inlineStr">
        <is>
          <t>受付/Zoom/写真/Gala</t>
        </is>
      </c>
      <c r="L17" s="31" t="inlineStr">
        <is>
          <t>Zoom・AI翻訳/写真</t>
        </is>
      </c>
      <c r="M17" s="31" t="inlineStr">
        <is>
          <t>Japan Pavilion/参加者誘導</t>
        </is>
      </c>
      <c r="N17" s="34" t="inlineStr">
        <is>
          <t>SIDEX(写真・誘導)</t>
        </is>
      </c>
      <c r="O17" s="31" t="inlineStr">
        <is>
          <t>Exhibition Tour誘導/閉会/深夜:空港へ（藤中・田中と同行）</t>
        </is>
      </c>
      <c r="P17" s="32" t="inlineStr">
        <is>
          <t>SIN-KIX(TR818 03:05発) KIX着10:15</t>
        </is>
      </c>
      <c r="Q17" s="29" t="n"/>
      <c r="R17" s="29" t="n"/>
      <c r="S17" s="29" t="n"/>
    </row>
    <row r="18" ht="39.75" customHeight="1" s="107">
      <c r="A18" s="40">
        <f>人員一覧・判定!B17</f>
        <v/>
      </c>
      <c r="B18" s="29" t="n"/>
      <c r="C18" s="29" t="n"/>
      <c r="D18" s="29" t="n"/>
      <c r="E18" s="29" t="n"/>
      <c r="F18" s="39" t="inlineStr">
        <is>
          <t>KIX-BKK-SIN(TG623/TG409)</t>
        </is>
      </c>
      <c r="G18" s="44" t="inlineStr">
        <is>
          <t>SIN着19:55→Hotel Mi</t>
        </is>
      </c>
      <c r="H18" s="32" t="inlineStr">
        <is>
          <t>会場下見(全員)→到着者対応</t>
        </is>
      </c>
      <c r="I18" s="41" t="inlineStr">
        <is>
          <t>16:00公邸設営補助/レセプション</t>
        </is>
      </c>
      <c r="J18" s="34" t="inlineStr">
        <is>
          <t>Opening/参加者誘導</t>
        </is>
      </c>
      <c r="K18" s="35" t="inlineStr">
        <is>
          <t>RT記録・サマリー補助/Gala</t>
        </is>
      </c>
      <c r="L18" s="34" t="inlineStr">
        <is>
          <t>Dorsett→EXPO誘導/Tech Session記録</t>
        </is>
      </c>
      <c r="M18" s="35" t="inlineStr">
        <is>
          <t>Field Trip/ホテル→EXPO誘導(パレード)/Parade Dinner</t>
        </is>
      </c>
      <c r="N18" s="34" t="inlineStr">
        <is>
          <t>SIDEX Keynote/サマリー</t>
        </is>
      </c>
      <c r="O18" s="31" t="inlineStr">
        <is>
          <t>Panel2/閉会/空港へ(TG410 21:00発)</t>
        </is>
      </c>
      <c r="P18" s="32" t="inlineStr">
        <is>
          <t>BKK経由 KIX着07:20</t>
        </is>
      </c>
      <c r="Q18" s="29" t="n"/>
      <c r="R18" s="29" t="n"/>
      <c r="S18" s="29" t="n"/>
    </row>
    <row r="19" ht="14.25" customHeight="1" s="107">
      <c r="A19" s="45" t="inlineStr">
        <is>
          <t>在場人数(役員・藤本・塩見含む)</t>
        </is>
      </c>
      <c r="B19" s="46">
        <f>COUNTA(B6:B18)-COUNTIF(B6:B18,"*未手配*")-COUNTIF(B6:B18,"*要確認*")-COUNTIF(B6:B18,"*NRT着*")-COUNTIF(B6:B18,"*HND着*")-COUNTIF(B6:B18,"*KIX着*")-COUNTIF(B6:B18,"*GVA着*")</f>
        <v/>
      </c>
      <c r="C19" s="46">
        <f>COUNTA(C6:C18)-COUNTIF(C6:C18,"*未手配*")-COUNTIF(C6:C18,"*要確認*")-COUNTIF(C6:C18,"*NRT着*")-COUNTIF(C6:C18,"*HND着*")-COUNTIF(C6:C18,"*KIX着*")-COUNTIF(C6:C18,"*GVA着*")</f>
        <v/>
      </c>
      <c r="D19" s="46">
        <f>COUNTA(D6:D18)-COUNTIF(D6:D18,"*未手配*")-COUNTIF(D6:D18,"*要確認*")-COUNTIF(D6:D18,"*NRT着*")-COUNTIF(D6:D18,"*HND着*")-COUNTIF(D6:D18,"*KIX着*")-COUNTIF(D6:D18,"*GVA着*")</f>
        <v/>
      </c>
      <c r="E19" s="46">
        <f>COUNTA(E6:E18)-COUNTIF(E6:E18,"*未手配*")-COUNTIF(E6:E18,"*要確認*")-COUNTIF(E6:E18,"*NRT着*")-COUNTIF(E6:E18,"*HND着*")-COUNTIF(E6:E18,"*KIX着*")-COUNTIF(E6:E18,"*GVA着*")</f>
        <v/>
      </c>
      <c r="F19" s="46">
        <f>COUNTA(F6:F18)-COUNTIF(F6:F18,"*未手配*")-COUNTIF(F6:F18,"*要確認*")-COUNTIF(F6:F18,"*NRT着*")-COUNTIF(F6:F18,"*HND着*")-COUNTIF(F6:F18,"*KIX着*")-COUNTIF(F6:F18,"*GVA着*")</f>
        <v/>
      </c>
      <c r="G19" s="46">
        <f>COUNTA(G6:G18)-COUNTIF(G6:G18,"*未手配*")-COUNTIF(G6:G18,"*要確認*")-COUNTIF(G6:G18,"*NRT着*")-COUNTIF(G6:G18,"*HND着*")-COUNTIF(G6:G18,"*KIX着*")-COUNTIF(G6:G18,"*GVA着*")</f>
        <v/>
      </c>
      <c r="H19" s="46">
        <f>COUNTA(H6:H18)-COUNTIF(H6:H18,"*未手配*")-COUNTIF(H6:H18,"*要確認*")-COUNTIF(H6:H18,"*NRT着*")-COUNTIF(H6:H18,"*HND着*")-COUNTIF(H6:H18,"*KIX着*")-COUNTIF(H6:H18,"*GVA着*")</f>
        <v/>
      </c>
      <c r="I19" s="46">
        <f>COUNTA(I6:I18)-COUNTIF(I6:I18,"*未手配*")-COUNTIF(I6:I18,"*要確認*")-COUNTIF(I6:I18,"*NRT着*")-COUNTIF(I6:I18,"*HND着*")-COUNTIF(I6:I18,"*KIX着*")-COUNTIF(I6:I18,"*GVA着*")</f>
        <v/>
      </c>
      <c r="J19" s="46">
        <f>COUNTA(J6:J18)-COUNTIF(J6:J18,"*未手配*")-COUNTIF(J6:J18,"*要確認*")-COUNTIF(J6:J18,"*NRT着*")-COUNTIF(J6:J18,"*HND着*")-COUNTIF(J6:J18,"*KIX着*")-COUNTIF(J6:J18,"*GVA着*")</f>
        <v/>
      </c>
      <c r="K19" s="46">
        <f>COUNTA(K6:K18)-COUNTIF(K6:K18,"*未手配*")-COUNTIF(K6:K18,"*要確認*")-COUNTIF(K6:K18,"*NRT着*")-COUNTIF(K6:K18,"*HND着*")-COUNTIF(K6:K18,"*KIX着*")-COUNTIF(K6:K18,"*GVA着*")</f>
        <v/>
      </c>
      <c r="L19" s="46">
        <f>COUNTA(L6:L18)-COUNTIF(L6:L18,"*未手配*")-COUNTIF(L6:L18,"*要確認*")-COUNTIF(L6:L18,"*NRT着*")-COUNTIF(L6:L18,"*HND着*")-COUNTIF(L6:L18,"*KIX着*")-COUNTIF(L6:L18,"*GVA着*")</f>
        <v/>
      </c>
      <c r="M19" s="46">
        <f>COUNTA(M6:M18)-COUNTIF(M6:M18,"*未手配*")-COUNTIF(M6:M18,"*要確認*")-COUNTIF(M6:M18,"*NRT着*")-COUNTIF(M6:M18,"*HND着*")-COUNTIF(M6:M18,"*KIX着*")-COUNTIF(M6:M18,"*GVA着*")</f>
        <v/>
      </c>
      <c r="N19" s="46">
        <f>COUNTA(N6:N18)-COUNTIF(N6:N18,"*未手配*")-COUNTIF(N6:N18,"*要確認*")-COUNTIF(N6:N18,"*NRT着*")-COUNTIF(N6:N18,"*HND着*")-COUNTIF(N6:N18,"*KIX着*")-COUNTIF(N6:N18,"*GVA着*")</f>
        <v/>
      </c>
      <c r="O19" s="46">
        <f>COUNTA(O6:O18)-COUNTIF(O6:O18,"*未手配*")-COUNTIF(O6:O18,"*要確認*")-COUNTIF(O6:O18,"*NRT着*")-COUNTIF(O6:O18,"*HND着*")-COUNTIF(O6:O18,"*KIX着*")-COUNTIF(O6:O18,"*GVA着*")</f>
        <v/>
      </c>
      <c r="P19" s="46">
        <f>COUNTA(P6:P18)-COUNTIF(P6:P18,"*未手配*")-COUNTIF(P6:P18,"*要確認*")-COUNTIF(P6:P18,"*NRT着*")-COUNTIF(P6:P18,"*HND着*")-COUNTIF(P6:P18,"*KIX着*")-COUNTIF(P6:P18,"*GVA着*")</f>
        <v/>
      </c>
      <c r="Q19" s="46">
        <f>COUNTA(Q6:Q18)-COUNTIF(Q6:Q18,"*未手配*")-COUNTIF(Q6:Q18,"*要確認*")-COUNTIF(Q6:Q18,"*NRT着*")-COUNTIF(Q6:Q18,"*HND着*")-COUNTIF(Q6:Q18,"*KIX着*")-COUNTIF(Q6:Q18,"*GVA着*")</f>
        <v/>
      </c>
      <c r="R19" s="46">
        <f>COUNTA(R6:R18)-COUNTIF(R6:R18,"*未手配*")-COUNTIF(R6:R18,"*要確認*")-COUNTIF(R6:R18,"*NRT着*")-COUNTIF(R6:R18,"*HND着*")-COUNTIF(R6:R18,"*KIX着*")-COUNTIF(R6:R18,"*GVA着*")</f>
        <v/>
      </c>
      <c r="S19" s="46">
        <f>COUNTA(S6:S18)-COUNTIF(S6:S18,"*未手配*")-COUNTIF(S6:S18,"*要確認*")-COUNTIF(S6:S18,"*NRT着*")-COUNTIF(S6:S18,"*HND着*")-COUNTIF(S6:S18,"*KIX着*")-COUNTIF(S6:S18,"*GVA着*")</f>
        <v/>
      </c>
    </row>
    <row r="20" ht="14.25" customHeight="1" s="107">
      <c r="A20" s="45" t="inlineStr">
        <is>
          <t>うち藤本・塩見</t>
        </is>
      </c>
      <c r="B20" s="47">
        <f>COUNTA(B17:B18)-COUNTIF(B17:B18,"*未手配*")-COUNTIF(B17:B18,"*要確認*")-COUNTIF(B17:B18,"*NRT着*")-COUNTIF(B17:B18,"*HND着*")-COUNTIF(B17:B18,"*KIX着*")-COUNTIF(B17:B18,"*GVA着*")</f>
        <v/>
      </c>
      <c r="C20" s="47">
        <f>COUNTA(C17:C18)-COUNTIF(C17:C18,"*未手配*")-COUNTIF(C17:C18,"*要確認*")-COUNTIF(C17:C18,"*NRT着*")-COUNTIF(C17:C18,"*HND着*")-COUNTIF(C17:C18,"*KIX着*")-COUNTIF(C17:C18,"*GVA着*")</f>
        <v/>
      </c>
      <c r="D20" s="47">
        <f>COUNTA(D17:D18)-COUNTIF(D17:D18,"*未手配*")-COUNTIF(D17:D18,"*要確認*")-COUNTIF(D17:D18,"*NRT着*")-COUNTIF(D17:D18,"*HND着*")-COUNTIF(D17:D18,"*KIX着*")-COUNTIF(D17:D18,"*GVA着*")</f>
        <v/>
      </c>
      <c r="E20" s="47">
        <f>COUNTA(E17:E18)-COUNTIF(E17:E18,"*未手配*")-COUNTIF(E17:E18,"*要確認*")-COUNTIF(E17:E18,"*NRT着*")-COUNTIF(E17:E18,"*HND着*")-COUNTIF(E17:E18,"*KIX着*")-COUNTIF(E17:E18,"*GVA着*")</f>
        <v/>
      </c>
      <c r="F20" s="47">
        <f>COUNTA(F17:F18)-COUNTIF(F17:F18,"*未手配*")-COUNTIF(F17:F18,"*要確認*")-COUNTIF(F17:F18,"*NRT着*")-COUNTIF(F17:F18,"*HND着*")-COUNTIF(F17:F18,"*KIX着*")-COUNTIF(F17:F18,"*GVA着*")</f>
        <v/>
      </c>
      <c r="G20" s="47">
        <f>COUNTA(G17:G18)-COUNTIF(G17:G18,"*未手配*")-COUNTIF(G17:G18,"*要確認*")-COUNTIF(G17:G18,"*NRT着*")-COUNTIF(G17:G18,"*HND着*")-COUNTIF(G17:G18,"*KIX着*")-COUNTIF(G17:G18,"*GVA着*")</f>
        <v/>
      </c>
      <c r="H20" s="47">
        <f>COUNTA(H17:H18)-COUNTIF(H17:H18,"*未手配*")-COUNTIF(H17:H18,"*要確認*")-COUNTIF(H17:H18,"*NRT着*")-COUNTIF(H17:H18,"*HND着*")-COUNTIF(H17:H18,"*KIX着*")-COUNTIF(H17:H18,"*GVA着*")</f>
        <v/>
      </c>
      <c r="I20" s="47">
        <f>COUNTA(I17:I18)-COUNTIF(I17:I18,"*未手配*")-COUNTIF(I17:I18,"*要確認*")-COUNTIF(I17:I18,"*NRT着*")-COUNTIF(I17:I18,"*HND着*")-COUNTIF(I17:I18,"*KIX着*")-COUNTIF(I17:I18,"*GVA着*")</f>
        <v/>
      </c>
      <c r="J20" s="47">
        <f>COUNTA(J17:J18)-COUNTIF(J17:J18,"*未手配*")-COUNTIF(J17:J18,"*要確認*")-COUNTIF(J17:J18,"*NRT着*")-COUNTIF(J17:J18,"*HND着*")-COUNTIF(J17:J18,"*KIX着*")-COUNTIF(J17:J18,"*GVA着*")</f>
        <v/>
      </c>
      <c r="K20" s="47">
        <f>COUNTA(K17:K18)-COUNTIF(K17:K18,"*未手配*")-COUNTIF(K17:K18,"*要確認*")-COUNTIF(K17:K18,"*NRT着*")-COUNTIF(K17:K18,"*HND着*")-COUNTIF(K17:K18,"*KIX着*")-COUNTIF(K17:K18,"*GVA着*")</f>
        <v/>
      </c>
      <c r="L20" s="47">
        <f>COUNTA(L17:L18)-COUNTIF(L17:L18,"*未手配*")-COUNTIF(L17:L18,"*要確認*")-COUNTIF(L17:L18,"*NRT着*")-COUNTIF(L17:L18,"*HND着*")-COUNTIF(L17:L18,"*KIX着*")-COUNTIF(L17:L18,"*GVA着*")</f>
        <v/>
      </c>
      <c r="M20" s="47">
        <f>COUNTA(M17:M18)-COUNTIF(M17:M18,"*未手配*")-COUNTIF(M17:M18,"*要確認*")-COUNTIF(M17:M18,"*NRT着*")-COUNTIF(M17:M18,"*HND着*")-COUNTIF(M17:M18,"*KIX着*")-COUNTIF(M17:M18,"*GVA着*")</f>
        <v/>
      </c>
      <c r="N20" s="47">
        <f>COUNTA(N17:N18)-COUNTIF(N17:N18,"*未手配*")-COUNTIF(N17:N18,"*要確認*")-COUNTIF(N17:N18,"*NRT着*")-COUNTIF(N17:N18,"*HND着*")-COUNTIF(N17:N18,"*KIX着*")-COUNTIF(N17:N18,"*GVA着*")</f>
        <v/>
      </c>
      <c r="O20" s="47">
        <f>COUNTA(O17:O18)-COUNTIF(O17:O18,"*未手配*")-COUNTIF(O17:O18,"*要確認*")-COUNTIF(O17:O18,"*NRT着*")-COUNTIF(O17:O18,"*HND着*")-COUNTIF(O17:O18,"*KIX着*")-COUNTIF(O17:O18,"*GVA着*")</f>
        <v/>
      </c>
      <c r="P20" s="47">
        <f>COUNTA(P17:P18)-COUNTIF(P17:P18,"*未手配*")-COUNTIF(P17:P18,"*要確認*")-COUNTIF(P17:P18,"*NRT着*")-COUNTIF(P17:P18,"*HND着*")-COUNTIF(P17:P18,"*KIX着*")-COUNTIF(P17:P18,"*GVA着*")</f>
        <v/>
      </c>
      <c r="Q20" s="47">
        <f>COUNTA(Q17:Q18)-COUNTIF(Q17:Q18,"*未手配*")-COUNTIF(Q17:Q18,"*要確認*")-COUNTIF(Q17:Q18,"*NRT着*")-COUNTIF(Q17:Q18,"*HND着*")-COUNTIF(Q17:Q18,"*KIX着*")-COUNTIF(Q17:Q18,"*GVA着*")</f>
        <v/>
      </c>
      <c r="R20" s="47">
        <f>COUNTA(R17:R18)-COUNTIF(R17:R18,"*未手配*")-COUNTIF(R17:R18,"*要確認*")-COUNTIF(R17:R18,"*NRT着*")-COUNTIF(R17:R18,"*HND着*")-COUNTIF(R17:R18,"*KIX着*")-COUNTIF(R17:R18,"*GVA着*")</f>
        <v/>
      </c>
      <c r="S20" s="47">
        <f>COUNTA(S17:S18)-COUNTIF(S17:S18,"*未手配*")-COUNTIF(S17:S18,"*要確認*")-COUNTIF(S17:S18,"*NRT着*")-COUNTIF(S17:S18,"*HND着*")-COUNTIF(S17:S18,"*KIX着*")-COUNTIF(S17:S18,"*GVA着*")</f>
        <v/>
      </c>
    </row>
    <row r="21" ht="14.25" customHeight="1" s="107">
      <c r="A21" s="48" t="inlineStr">
        <is>
          <t>※自動計算は『記入があり、かつ未手配・要確認・日本側到着(NRT着/HND着/KIX着/GVA着)を除く』人数で、フライト移動中を含む。藤本・塩見は本人承諾済み（塩見はTG便を発注依頼済み、藤本は便名未確認）。手配前の日は「未手配」表記で件数から外れる。</t>
        </is>
      </c>
    </row>
    <row r="22" ht="14.25" customHeight="1" s="107">
      <c r="A22" t="inlineStr">
        <is>
          <t>None</t>
        </is>
      </c>
    </row>
    <row r="23" ht="14.25" customHeight="1" s="107">
      <c r="A23" s="123" t="inlineStr">
        <is>
          <t>日本側サポート（神戸）　※JST = SGT + 1時間</t>
        </is>
      </c>
    </row>
    <row r="24" ht="39.75" customHeight="1" s="107">
      <c r="A24" s="49">
        <f>人員一覧・判定!B18</f>
        <v/>
      </c>
      <c r="B24" s="29" t="n"/>
      <c r="C24" s="29" t="n"/>
      <c r="D24" s="29" t="n"/>
      <c r="E24" s="29" t="n"/>
      <c r="F24" s="50" t="inlineStr">
        <is>
          <t>Webinar/Zoom/AI通訳 設定・リハーサル</t>
        </is>
      </c>
      <c r="G24" s="51" t="inlineStr">
        <is>
          <t>現地(荒木田・池田)と接続テスト①(JST 15-17)</t>
        </is>
      </c>
      <c r="H24" s="50" t="inlineStr">
        <is>
          <t>AI通訳ツール最終設定</t>
        </is>
      </c>
      <c r="I24" s="50" t="inlineStr">
        <is>
          <t>Webinar・Zoomホスト設定/接続テスト②(JST 14-17)/SCリハ(Q&amp;A確認)</t>
        </is>
      </c>
      <c r="J24" s="50" t="inlineStr">
        <is>
          <t>Webinar開始/AI通訳監視 (JST 9:30-)</t>
        </is>
      </c>
      <c r="K24" s="50" t="inlineStr">
        <is>
          <t>RT・SC: Q&amp;A/コメント確認・AI通訳監視</t>
        </is>
      </c>
      <c r="L24" s="50" t="inlineStr">
        <is>
          <t>TS: Q&amp;A/コメント確認・AI通訳監視</t>
        </is>
      </c>
      <c r="M24" s="51" t="inlineStr">
        <is>
          <t>（配信なし）ログ回収</t>
        </is>
      </c>
      <c r="N24" s="51" t="inlineStr">
        <is>
          <t>（SIDEX配信はSCDF側）</t>
        </is>
      </c>
      <c r="O24" s="50" t="inlineStr">
        <is>
          <t>Webinar/Zoom終了処理</t>
        </is>
      </c>
      <c r="P24" s="29" t="n"/>
      <c r="Q24" s="29" t="n"/>
      <c r="R24" s="29" t="n"/>
      <c r="S24" s="29" t="n"/>
    </row>
    <row r="25" ht="39.75" customHeight="1" s="107">
      <c r="A25" s="49">
        <f>人員一覧・判定!B19</f>
        <v/>
      </c>
      <c r="B25" s="29" t="n"/>
      <c r="C25" s="29" t="n"/>
      <c r="D25" s="29" t="n"/>
      <c r="E25" s="29" t="n"/>
      <c r="F25" s="51" t="inlineStr">
        <is>
          <t>録画設定テスト(クラウド+ローカル)</t>
        </is>
      </c>
      <c r="G25" s="29" t="n"/>
      <c r="H25" s="51" t="inlineStr">
        <is>
          <t>録画リハーサル</t>
        </is>
      </c>
      <c r="I25" s="51" t="inlineStr">
        <is>
          <t>接続テスト②(録画・Q&amp;A確認)/SCリハ録画</t>
        </is>
      </c>
      <c r="J25" s="50" t="inlineStr">
        <is>
          <t>Opening/RT 録画・オンライン質疑</t>
        </is>
      </c>
      <c r="K25" s="50" t="inlineStr">
        <is>
          <t>SC 録画</t>
        </is>
      </c>
      <c r="L25" s="50" t="inlineStr">
        <is>
          <t>TS/Closing 録画・オンライン質疑</t>
        </is>
      </c>
      <c r="M25" s="51" t="inlineStr">
        <is>
          <t>録画データ整理・保存</t>
        </is>
      </c>
      <c r="N25" s="29" t="n"/>
      <c r="O25" s="51" t="inlineStr">
        <is>
          <t>録画データ整理・保存</t>
        </is>
      </c>
      <c r="P25" s="29" t="n"/>
      <c r="Q25" s="29" t="n"/>
      <c r="R25" s="29" t="n"/>
      <c r="S25" s="29" t="n"/>
    </row>
    <row r="26" ht="39.75" customHeight="1" s="107">
      <c r="A26" s="49">
        <f>人員一覧・判定!B21</f>
        <v/>
      </c>
      <c r="B26" s="29" t="n"/>
      <c r="C26" s="29" t="n"/>
      <c r="D26" s="29" t="n"/>
      <c r="E26" s="29" t="n"/>
      <c r="F26" s="29" t="n"/>
      <c r="G26" s="29" t="n"/>
      <c r="H26" s="43" t="inlineStr">
        <is>
          <t>録画テスト(日英2台) ※仮置き</t>
        </is>
      </c>
      <c r="I26" s="29" t="n"/>
      <c r="J26" s="43" t="inlineStr">
        <is>
          <t>録画(日英)ローカル保存 ※仮置き</t>
        </is>
      </c>
      <c r="K26" s="43" t="inlineStr">
        <is>
          <t>録画(日英)ローカル保存 ※仮置き</t>
        </is>
      </c>
      <c r="L26" s="43" t="inlineStr">
        <is>
          <t>録画(日英)ローカル保存 ※仮置き</t>
        </is>
      </c>
      <c r="M26" s="29" t="n"/>
      <c r="N26" s="29" t="n"/>
      <c r="O26" s="29" t="n"/>
      <c r="P26" s="29" t="n"/>
      <c r="Q26" s="29" t="n"/>
      <c r="R26" s="29" t="n"/>
      <c r="S26" s="29" t="n"/>
    </row>
    <row r="27" ht="39.75" customHeight="1" s="107">
      <c r="A27" s="49">
        <f>人員一覧・判定!B20</f>
        <v/>
      </c>
      <c r="B27" s="29" t="n"/>
      <c r="C27" s="29" t="n"/>
      <c r="D27" s="29" t="n"/>
      <c r="E27" s="29" t="n"/>
      <c r="F27" s="29" t="n"/>
      <c r="G27" s="29" t="n"/>
      <c r="H27" s="42" t="inlineStr">
        <is>
          <t>Webinar設定・ホスト/録画確認 ※仮置き</t>
        </is>
      </c>
      <c r="I27" s="29" t="n"/>
      <c r="J27" s="42" t="inlineStr">
        <is>
          <t>Webinarホスト・録画確認 ※仮置き</t>
        </is>
      </c>
      <c r="K27" s="42" t="inlineStr">
        <is>
          <t>SC Zoom設定 ※仮置き</t>
        </is>
      </c>
      <c r="L27" s="42" t="inlineStr">
        <is>
          <t>Webinarホスト・録画確認 ※仮置き</t>
        </is>
      </c>
      <c r="M27" s="29" t="n"/>
      <c r="N27" s="29" t="n"/>
      <c r="O27" s="29" t="n"/>
      <c r="P27" s="29" t="n"/>
      <c r="Q27" s="29" t="n"/>
      <c r="R27" s="29" t="n"/>
      <c r="S27" s="29" t="n"/>
    </row>
    <row r="28" ht="14.25" customHeight="1" s="107">
      <c r="A28" s="14" t="n"/>
    </row>
  </sheetData>
  <mergeCells count="10">
    <mergeCell ref="F3:G3"/>
    <mergeCell ref="L3:M3"/>
    <mergeCell ref="J3:K3"/>
    <mergeCell ref="P3:Q3"/>
    <mergeCell ref="N3:O3"/>
    <mergeCell ref="H3:I3"/>
    <mergeCell ref="B3:C3"/>
    <mergeCell ref="R3:S3"/>
    <mergeCell ref="D3:E3"/>
    <mergeCell ref="A23:G2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14" sqref="N14:S14"/>
    </sheetView>
  </sheetViews>
  <sheetFormatPr baseColWidth="8" defaultColWidth="8.5546875" defaultRowHeight="14.4"/>
  <cols>
    <col width="14" customWidth="1" style="107" min="1" max="1"/>
    <col width="4.21875" customWidth="1" style="107" min="2" max="33"/>
  </cols>
  <sheetData>
    <row r="1" ht="15" customHeight="1" s="107">
      <c r="A1" s="52" t="inlineStr">
        <is>
          <t>27 OCT 2026 (TUE)  Day 0: 参加者到着・大使公邸レセプション（SJ60 Commemorative Reception）　※27日午前: 全員で会場下見・ホテル動線確認（会場は27日午後以降しか使えないため設営不可、持込PCでの接続テストのみ）</t>
        </is>
      </c>
    </row>
    <row r="3" ht="14.25" customHeight="1" s="107">
      <c r="B3" s="53" t="inlineStr">
        <is>
          <t>7:00</t>
        </is>
      </c>
      <c r="C3" s="53" t="n"/>
      <c r="D3" s="53" t="inlineStr">
        <is>
          <t>8:00</t>
        </is>
      </c>
      <c r="E3" s="53" t="n"/>
      <c r="F3" s="53" t="inlineStr">
        <is>
          <t>9:00</t>
        </is>
      </c>
      <c r="G3" s="53" t="n"/>
      <c r="H3" s="53" t="inlineStr">
        <is>
          <t>10:00</t>
        </is>
      </c>
      <c r="I3" s="53" t="n"/>
      <c r="J3" s="53" t="inlineStr">
        <is>
          <t>11:00</t>
        </is>
      </c>
      <c r="K3" s="53" t="n"/>
      <c r="L3" s="53" t="inlineStr">
        <is>
          <t>12:00</t>
        </is>
      </c>
      <c r="M3" s="53" t="n"/>
      <c r="N3" s="53" t="inlineStr">
        <is>
          <t>13:00</t>
        </is>
      </c>
      <c r="O3" s="53" t="n"/>
      <c r="P3" s="53" t="inlineStr">
        <is>
          <t>14:00</t>
        </is>
      </c>
      <c r="Q3" s="53" t="n"/>
      <c r="R3" s="53" t="inlineStr">
        <is>
          <t>15:00</t>
        </is>
      </c>
      <c r="S3" s="53" t="n"/>
      <c r="T3" s="53" t="inlineStr">
        <is>
          <t>16:00</t>
        </is>
      </c>
      <c r="U3" s="53" t="n"/>
      <c r="V3" s="53" t="inlineStr">
        <is>
          <t>17:00</t>
        </is>
      </c>
      <c r="W3" s="53" t="n"/>
      <c r="X3" s="53" t="inlineStr">
        <is>
          <t>18:00</t>
        </is>
      </c>
      <c r="Y3" s="53" t="n"/>
      <c r="Z3" s="53" t="inlineStr">
        <is>
          <t>19:00</t>
        </is>
      </c>
      <c r="AA3" s="53" t="n"/>
      <c r="AB3" s="53" t="inlineStr">
        <is>
          <t>20:00</t>
        </is>
      </c>
      <c r="AC3" s="53" t="n"/>
      <c r="AD3" s="53" t="inlineStr">
        <is>
          <t>21:00</t>
        </is>
      </c>
      <c r="AE3" s="53" t="n"/>
      <c r="AF3" s="53" t="inlineStr">
        <is>
          <t>22:00</t>
        </is>
      </c>
      <c r="AG3" s="53" t="n"/>
    </row>
    <row r="4" ht="30" customHeight="1" s="107">
      <c r="A4" s="54" t="inlineStr">
        <is>
          <t>PROGRAM</t>
        </is>
      </c>
      <c r="B4" s="153" t="inlineStr">
        <is>
          <t>参加者到着(Dorsett): 07:15モルディブ/08:10スリランカ/08:45アルメニア・トルコ・ウズベキスタン/11:15パキスタン/11:20インドネシア</t>
        </is>
      </c>
      <c r="C4" s="94" t="n"/>
      <c r="D4" s="94" t="n"/>
      <c r="E4" s="94" t="n"/>
      <c r="F4" s="94" t="n"/>
      <c r="G4" s="94" t="n"/>
      <c r="H4" s="94" t="n"/>
      <c r="I4" s="94" t="n"/>
      <c r="J4" s="94" t="n"/>
      <c r="K4" s="95" t="n"/>
      <c r="L4" s="153" t="inlineStr">
        <is>
          <t>到着: 12:20マレーシア/14:30ブルネイ/14:50タイ/15:10ミャンマー</t>
        </is>
      </c>
      <c r="M4" s="94" t="n"/>
      <c r="N4" s="94" t="n"/>
      <c r="O4" s="94" t="n"/>
      <c r="P4" s="94" t="n"/>
      <c r="Q4" s="94" t="n"/>
      <c r="R4" s="94" t="n"/>
      <c r="S4" s="95" t="n"/>
      <c r="T4" s="153" t="inlineStr">
        <is>
          <t>大使公邸 設営（名札セット持込・受付配置）</t>
        </is>
      </c>
      <c r="U4" s="94" t="n"/>
      <c r="V4" s="94" t="n"/>
      <c r="W4" s="94" t="n"/>
      <c r="X4" s="94" t="n"/>
      <c r="Y4" s="95" t="n"/>
      <c r="Z4" s="153" t="inlineStr">
        <is>
          <t>レセプション 19:00-21:00（大使挨拶・乾杯・内閣府発表）</t>
        </is>
      </c>
      <c r="AA4" s="94" t="n"/>
      <c r="AB4" s="94" t="n"/>
      <c r="AC4" s="94" t="n"/>
      <c r="AD4" s="95" t="n"/>
      <c r="AE4" t="inlineStr">
        <is>
          <t>撤収</t>
        </is>
      </c>
    </row>
    <row r="5" ht="1.5" customHeight="1" s="107">
      <c r="A5" s="54" t="n"/>
      <c r="B5" s="56" t="n"/>
      <c r="C5" s="56" t="n"/>
      <c r="D5" s="56" t="n"/>
      <c r="E5" s="56" t="n"/>
      <c r="F5" s="56" t="n"/>
      <c r="G5" s="56" t="n"/>
      <c r="H5" s="56" t="n"/>
      <c r="I5" s="56" t="n"/>
      <c r="J5" s="56" t="n"/>
      <c r="K5" s="56" t="n"/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102" t="n"/>
      <c r="Y5" s="102" t="n"/>
      <c r="Z5" s="102" t="n"/>
      <c r="AA5" s="102" t="n"/>
      <c r="AB5" s="102" t="n"/>
      <c r="AC5" s="102" t="n"/>
    </row>
    <row r="6" ht="21.75" customHeight="1" s="107">
      <c r="A6" s="40">
        <f>人員一覧・判定!B5</f>
        <v/>
      </c>
      <c r="H6" s="154" t="inlineStr">
        <is>
          <t>会場を短時間下見→大使館表敬（午前、足立氏と時間調整。26日は長官夕食会のため不可）</t>
        </is>
      </c>
      <c r="I6" s="94" t="n"/>
      <c r="J6" s="95" t="n"/>
      <c r="X6" s="124" t="n"/>
      <c r="Y6" s="155" t="inlineStr">
        <is>
          <t>レセプション出席(VIP)</t>
        </is>
      </c>
      <c r="Z6" s="94" t="n"/>
      <c r="AA6" s="94" t="n"/>
      <c r="AB6" s="94" t="n"/>
      <c r="AC6" s="94" t="n"/>
      <c r="AD6" s="95" t="n"/>
    </row>
    <row r="7" ht="21.75" customHeight="1" s="107">
      <c r="A7" s="40">
        <f>人員一覧・判定!B6</f>
        <v/>
      </c>
      <c r="H7" s="154" t="inlineStr">
        <is>
          <t>会場を短時間下見→大使館表敬（午前、足立氏と時間調整。26日は長官夕食会のため不可）</t>
        </is>
      </c>
      <c r="I7" s="94" t="n"/>
      <c r="J7" s="95" t="n"/>
      <c r="X7" s="124" t="n"/>
      <c r="Y7" s="155" t="inlineStr">
        <is>
          <t>レセプション出席(VIP)</t>
        </is>
      </c>
      <c r="Z7" s="94" t="n"/>
      <c r="AA7" s="94" t="n"/>
      <c r="AB7" s="94" t="n"/>
      <c r="AC7" s="94" t="n"/>
      <c r="AD7" s="95" t="n"/>
    </row>
    <row r="8" ht="21.75" customHeight="1" s="107">
      <c r="A8" s="40">
        <f>人員一覧・判定!B7</f>
        <v/>
      </c>
      <c r="F8" s="155" t="inlineStr">
        <is>
          <t>会場を短時間下見→大使館表敬（午前、足立氏と時間調整。26日は長官夕食会のため不可）</t>
        </is>
      </c>
      <c r="G8" s="94" t="n"/>
      <c r="H8" s="94" t="n"/>
      <c r="I8" s="94" t="n"/>
      <c r="J8" s="94" t="n"/>
      <c r="K8" s="95" t="n"/>
      <c r="W8" s="155" t="inlineStr">
        <is>
          <t>レセプション(大使・内閣府対応)</t>
        </is>
      </c>
      <c r="X8" s="94" t="n"/>
      <c r="Y8" s="94" t="n"/>
      <c r="Z8" s="94" t="n"/>
      <c r="AA8" s="94" t="n"/>
      <c r="AB8" s="94" t="n"/>
      <c r="AC8" s="94" t="n"/>
      <c r="AD8" s="95" t="n"/>
    </row>
    <row r="9" ht="21.75" customHeight="1" s="107">
      <c r="A9" s="40">
        <f>人員一覧・判定!B8</f>
        <v/>
      </c>
      <c r="F9" s="154" t="inlineStr">
        <is>
          <t>会場下見(全員 9-11)→公邸・ケータリング最終確認</t>
        </is>
      </c>
      <c r="G9" s="94" t="n"/>
      <c r="H9" s="94" t="n"/>
      <c r="I9" s="94" t="n"/>
      <c r="J9" s="94" t="n"/>
      <c r="K9" s="95" t="n"/>
      <c r="T9" s="156" t="inlineStr">
        <is>
          <t>公邸設営・MC進行確認</t>
        </is>
      </c>
      <c r="U9" s="94" t="n"/>
      <c r="V9" s="94" t="n"/>
      <c r="W9" s="94" t="n"/>
      <c r="X9" s="95" t="n"/>
      <c r="Y9" s="157" t="inlineStr">
        <is>
          <t>MC/進行</t>
        </is>
      </c>
      <c r="Z9" s="94" t="n"/>
      <c r="AA9" s="94" t="n"/>
      <c r="AB9" s="94" t="n"/>
      <c r="AC9" s="94" t="n"/>
      <c r="AD9" s="95" t="n"/>
    </row>
    <row r="10" ht="21.75" customHeight="1" s="107">
      <c r="A10" s="40">
        <f>人員一覧・判定!B9</f>
        <v/>
      </c>
      <c r="F10" s="154" t="inlineStr">
        <is>
          <t>会場下見引率(全員 9-11)</t>
        </is>
      </c>
      <c r="G10" s="95" t="n"/>
      <c r="H10" s="154" t="inlineStr">
        <is>
          <t>→北本ブリーフ(11:00-)</t>
        </is>
      </c>
      <c r="I10" s="94" t="n"/>
      <c r="J10" s="95" t="n"/>
      <c r="N10" s="156" t="inlineStr">
        <is>
          <t>機材・Zoom・AI通訳準備／日本側(中村・山口)と接続テスト②(JST14-17)</t>
        </is>
      </c>
      <c r="O10" s="94" t="n"/>
      <c r="P10" s="94" t="n"/>
      <c r="Q10" s="94" t="n"/>
      <c r="R10" s="94" t="n"/>
      <c r="S10" s="95" t="n"/>
      <c r="T10" s="156" t="inlineStr">
        <is>
          <t>公邸設営・運営・撤収</t>
        </is>
      </c>
      <c r="U10" s="94" t="n"/>
      <c r="V10" s="94" t="n"/>
      <c r="W10" s="94" t="n"/>
      <c r="X10" s="94" t="n"/>
      <c r="Y10" s="94" t="n"/>
      <c r="Z10" s="94" t="n"/>
      <c r="AA10" s="94" t="n"/>
      <c r="AB10" s="94" t="n"/>
      <c r="AC10" s="94" t="n"/>
      <c r="AD10" s="94" t="n"/>
      <c r="AE10" s="95" t="n"/>
    </row>
    <row r="11" ht="21.75" customHeight="1" s="107">
      <c r="A11" s="40">
        <f>人員一覧・判定!B10</f>
        <v/>
      </c>
      <c r="F11" s="154" t="inlineStr">
        <is>
          <t>会場下見(全員 9-11)→公邸・ケータリング最終確認</t>
        </is>
      </c>
      <c r="G11" s="94" t="n"/>
      <c r="H11" s="94" t="n"/>
      <c r="I11" s="94" t="n"/>
      <c r="J11" s="94" t="n"/>
      <c r="K11" s="95" t="n"/>
      <c r="T11" s="158" t="inlineStr">
        <is>
          <t>公邸受付準備</t>
        </is>
      </c>
      <c r="U11" s="94" t="n"/>
      <c r="V11" s="94" t="n"/>
      <c r="W11" s="94" t="n"/>
      <c r="X11" s="95" t="n"/>
      <c r="Y11" s="158" t="inlineStr">
        <is>
          <t>受付/進行補佐</t>
        </is>
      </c>
      <c r="Z11" s="94" t="n"/>
      <c r="AA11" s="94" t="n"/>
      <c r="AB11" s="94" t="n"/>
      <c r="AC11" s="94" t="n"/>
      <c r="AD11" s="95" t="n"/>
    </row>
    <row r="12" ht="21.75" customHeight="1" s="107">
      <c r="A12" s="40">
        <f>人員一覧・判定!B11</f>
        <v/>
      </c>
      <c r="D12" s="159" t="inlineStr">
        <is>
          <t>Dorsett受付(到着者対応)／下見は交代で</t>
        </is>
      </c>
      <c r="E12" s="94" t="n"/>
      <c r="F12" s="94" t="n"/>
      <c r="G12" s="94" t="n"/>
      <c r="H12" s="94" t="n"/>
      <c r="I12" s="94" t="n"/>
      <c r="J12" s="94" t="n"/>
      <c r="K12" s="94" t="n"/>
      <c r="L12" s="94" t="n"/>
      <c r="M12" s="94" t="n"/>
      <c r="N12" s="94" t="n"/>
      <c r="O12" s="94" t="n"/>
      <c r="P12" s="94" t="n"/>
      <c r="Q12" s="95" t="n"/>
      <c r="T12" s="158" t="inlineStr">
        <is>
          <t>公邸受付準備(名札セット)</t>
        </is>
      </c>
      <c r="U12" s="94" t="n"/>
      <c r="V12" s="94" t="n"/>
      <c r="W12" s="94" t="n"/>
      <c r="X12" s="95" t="n"/>
      <c r="Y12" s="158" t="inlineStr">
        <is>
          <t>受付/名札配布</t>
        </is>
      </c>
      <c r="Z12" s="94" t="n"/>
      <c r="AA12" s="94" t="n"/>
      <c r="AB12" s="94" t="n"/>
      <c r="AC12" s="94" t="n"/>
      <c r="AD12" s="95" t="n"/>
    </row>
    <row r="13" ht="21.75" customHeight="1" s="107">
      <c r="A13" s="40">
        <f>人員一覧・判定!B12</f>
        <v/>
      </c>
      <c r="D13" s="159" t="inlineStr">
        <is>
          <t>Dorsett受付(到着者・送迎確認)／下見は交代で</t>
        </is>
      </c>
      <c r="E13" s="94" t="n"/>
      <c r="F13" s="94" t="n"/>
      <c r="G13" s="94" t="n"/>
      <c r="H13" s="94" t="n"/>
      <c r="I13" s="94" t="n"/>
      <c r="J13" s="94" t="n"/>
      <c r="K13" s="94" t="n"/>
      <c r="L13" s="94" t="n"/>
      <c r="M13" s="94" t="n"/>
      <c r="N13" s="94" t="n"/>
      <c r="O13" s="94" t="n"/>
      <c r="P13" s="94" t="n"/>
      <c r="Q13" s="95" t="n"/>
      <c r="T13" s="158" t="inlineStr">
        <is>
          <t>公邸受付準備</t>
        </is>
      </c>
      <c r="U13" s="94" t="n"/>
      <c r="V13" s="94" t="n"/>
      <c r="W13" s="94" t="n"/>
      <c r="X13" s="95" t="n"/>
      <c r="Y13" s="158" t="inlineStr">
        <is>
          <t>受付/名札配布</t>
        </is>
      </c>
      <c r="Z13" s="94" t="n"/>
      <c r="AA13" s="94" t="n"/>
      <c r="AB13" s="94" t="n"/>
      <c r="AC13" s="94" t="n"/>
      <c r="AD13" s="95" t="n"/>
    </row>
    <row r="14" ht="21.75" customHeight="1" s="107">
      <c r="A14" s="40">
        <f>人員一覧・判定!B13</f>
        <v/>
      </c>
      <c r="F14" s="156" t="inlineStr">
        <is>
          <t>会場下見(全員 9-11)→Japan Pavilion確認</t>
        </is>
      </c>
      <c r="G14" s="94" t="n"/>
      <c r="H14" s="94" t="n"/>
      <c r="I14" s="94" t="n"/>
      <c r="J14" s="94" t="n"/>
      <c r="K14" s="95" t="n"/>
      <c r="N14" s="156" t="inlineStr">
        <is>
          <t>機材準備／日本側と接続テスト②(録画・Q&amp;A確認)</t>
        </is>
      </c>
      <c r="O14" s="94" t="n"/>
      <c r="P14" s="94" t="n"/>
      <c r="Q14" s="94" t="n"/>
      <c r="R14" s="94" t="n"/>
      <c r="S14" s="95" t="n"/>
      <c r="W14" s="160" t="inlineStr">
        <is>
          <t>レセプション(設営補助)</t>
        </is>
      </c>
      <c r="X14" s="94" t="n"/>
      <c r="Y14" s="94" t="n"/>
      <c r="Z14" s="94" t="n"/>
      <c r="AA14" s="94" t="n"/>
      <c r="AB14" s="94" t="n"/>
      <c r="AC14" s="94" t="n"/>
      <c r="AD14" s="95" t="n"/>
    </row>
    <row r="15" ht="24.75" customHeight="1" s="107">
      <c r="A15" s="58">
        <f>人員一覧・判定!C14</f>
        <v/>
      </c>
      <c r="F15" s="154" t="inlineStr">
        <is>
          <t>会場下見(全員 9-11)→RT/Summary準備</t>
        </is>
      </c>
      <c r="G15" s="94" t="n"/>
      <c r="H15" s="94" t="n"/>
      <c r="I15" s="94" t="n"/>
      <c r="J15" s="94" t="n"/>
      <c r="K15" s="95" t="n"/>
      <c r="N15" s="125" t="inlineStr">
        <is>
          <t>到着者対応補助</t>
        </is>
      </c>
      <c r="O15" s="94" t="n"/>
      <c r="P15" s="94" t="n"/>
      <c r="Q15" s="94" t="n"/>
      <c r="T15" s="161" t="inlineStr">
        <is>
          <t>公邸設営補助</t>
        </is>
      </c>
      <c r="U15" s="94" t="n"/>
      <c r="V15" s="95" t="n"/>
      <c r="W15" s="160" t="inlineStr">
        <is>
          <t>レセプション</t>
        </is>
      </c>
      <c r="X15" s="94" t="n"/>
      <c r="Y15" s="94" t="n"/>
      <c r="Z15" s="94" t="n"/>
      <c r="AA15" s="94" t="n"/>
      <c r="AB15" s="94" t="n"/>
      <c r="AC15" s="94" t="n"/>
      <c r="AD15" s="95" t="n"/>
    </row>
    <row r="16" ht="21" customHeight="1" s="107">
      <c r="A16" s="40">
        <f>人員一覧・判定!C15</f>
        <v/>
      </c>
      <c r="F16" s="154" t="inlineStr">
        <is>
          <t>会場下見(全員 9-11)→登壇者連絡・接続テスト</t>
        </is>
      </c>
      <c r="G16" s="94" t="n"/>
      <c r="H16" s="94" t="n"/>
      <c r="I16" s="94" t="n"/>
      <c r="J16" s="94" t="n"/>
      <c r="K16" s="95" t="n"/>
      <c r="N16" s="125" t="inlineStr">
        <is>
          <t>到着者対応補助</t>
        </is>
      </c>
      <c r="O16" s="94" t="n"/>
      <c r="P16" s="94" t="n"/>
      <c r="Q16" s="94" t="n"/>
      <c r="R16" s="94" t="n"/>
      <c r="S16" s="95" t="n"/>
      <c r="T16" s="161" t="inlineStr">
        <is>
          <t>公邸設営補助</t>
        </is>
      </c>
      <c r="U16" s="94" t="n"/>
      <c r="V16" s="95" t="n"/>
      <c r="W16" s="160" t="inlineStr">
        <is>
          <t>レセプション</t>
        </is>
      </c>
      <c r="X16" s="94" t="n"/>
      <c r="Y16" s="94" t="n"/>
      <c r="Z16" s="94" t="n"/>
      <c r="AA16" s="94" t="n"/>
      <c r="AB16" s="94" t="n"/>
      <c r="AC16" s="94" t="n"/>
      <c r="AD16" s="95" t="n"/>
    </row>
    <row r="17" ht="21.75" customHeight="1" s="107">
      <c r="A17" s="40">
        <f>人員一覧・判定!B16</f>
        <v/>
      </c>
      <c r="F17" s="154" t="inlineStr">
        <is>
          <t>会場下見(全員 9-11)→公邸・ケータリング最終確認/撮影準備</t>
        </is>
      </c>
      <c r="G17" s="94" t="n"/>
      <c r="H17" s="94" t="n"/>
      <c r="I17" s="94" t="n"/>
      <c r="J17" s="94" t="n"/>
      <c r="K17" s="95" t="n"/>
      <c r="N17" s="125" t="inlineStr">
        <is>
          <t>到着者対応補助</t>
        </is>
      </c>
      <c r="O17" s="94" t="n"/>
      <c r="P17" s="94" t="n"/>
      <c r="Q17" s="94" t="n"/>
      <c r="R17" s="94" t="n"/>
      <c r="S17" s="95" t="n"/>
      <c r="T17" s="156" t="inlineStr">
        <is>
          <t>公邸設営・MC進行確認</t>
        </is>
      </c>
      <c r="U17" s="94" t="n"/>
      <c r="V17" s="94" t="n"/>
      <c r="W17" s="94" t="n"/>
      <c r="X17" s="95" t="n"/>
      <c r="Y17" s="156" t="inlineStr">
        <is>
          <t>写真</t>
        </is>
      </c>
      <c r="Z17" s="94" t="n"/>
      <c r="AA17" s="94" t="n"/>
      <c r="AB17" s="94" t="n"/>
      <c r="AC17" s="94" t="n"/>
      <c r="AD17" s="95" t="n"/>
    </row>
    <row r="18" ht="21.75" customHeight="1" s="107">
      <c r="A18" s="40">
        <f>人員一覧・判定!B17</f>
        <v/>
      </c>
      <c r="F18" s="158" t="inlineStr">
        <is>
          <t>会場下見(全員 9-11)→到着者対応(ウズベキスタン等)</t>
        </is>
      </c>
      <c r="G18" s="94" t="n"/>
      <c r="H18" s="94" t="n"/>
      <c r="I18" s="94" t="n"/>
      <c r="J18" s="94" t="n"/>
      <c r="K18" s="94" t="n"/>
      <c r="L18" s="94" t="n"/>
      <c r="M18" s="94" t="n"/>
      <c r="N18" s="94" t="n"/>
      <c r="O18" s="94" t="n"/>
      <c r="P18" s="94" t="n"/>
      <c r="Q18" s="95" t="n"/>
      <c r="T18" s="161" t="inlineStr">
        <is>
          <t>公邸設営補助</t>
        </is>
      </c>
      <c r="U18" s="94" t="n"/>
      <c r="V18" s="95" t="n"/>
      <c r="W18" s="158" t="inlineStr">
        <is>
          <t>レセプション受付補助</t>
        </is>
      </c>
      <c r="X18" s="94" t="n"/>
      <c r="Y18" s="94" t="n"/>
      <c r="Z18" s="94" t="n"/>
      <c r="AA18" s="94" t="n"/>
      <c r="AB18" s="94" t="n"/>
      <c r="AC18" s="94" t="n"/>
      <c r="AD18" s="95" t="n"/>
    </row>
    <row r="19" ht="14.25" customHeight="1" s="107">
      <c r="A19" s="10" t="inlineStr">
        <is>
          <t>稼働人数(自動)</t>
        </is>
      </c>
      <c r="B19" s="59">
        <f>COUNTA(B5:B18)</f>
        <v/>
      </c>
      <c r="C19" s="59">
        <f>COUNTA(C5:C18)</f>
        <v/>
      </c>
      <c r="D19" s="59">
        <f>COUNTA(D5:D18)</f>
        <v/>
      </c>
      <c r="E19" s="59">
        <f>COUNTA(E5:E18)</f>
        <v/>
      </c>
      <c r="F19" s="59">
        <f>COUNTA(F5:F18)</f>
        <v/>
      </c>
      <c r="G19" s="59">
        <f>COUNTA(G5:G18)</f>
        <v/>
      </c>
      <c r="H19" s="59">
        <f>COUNTA(H5:H18)</f>
        <v/>
      </c>
      <c r="I19" s="59">
        <f>COUNTA(I5:I18)</f>
        <v/>
      </c>
      <c r="J19" s="59">
        <f>COUNTA(J5:J18)</f>
        <v/>
      </c>
      <c r="K19" s="59">
        <f>COUNTA(K5:K18)</f>
        <v/>
      </c>
      <c r="L19" s="59">
        <f>COUNTA(L5:L18)</f>
        <v/>
      </c>
      <c r="M19" s="59">
        <f>COUNTA(M5:M18)</f>
        <v/>
      </c>
      <c r="N19" s="59">
        <f>COUNTA(N5:N18)</f>
        <v/>
      </c>
      <c r="O19" s="59">
        <f>COUNTA(O5:O18)</f>
        <v/>
      </c>
      <c r="P19" s="59">
        <f>COUNTA(P5:P18)</f>
        <v/>
      </c>
      <c r="Q19" s="59">
        <f>COUNTA(Q5:Q18)</f>
        <v/>
      </c>
      <c r="R19" s="59">
        <f>COUNTA(R5:R18)</f>
        <v/>
      </c>
      <c r="S19" s="59">
        <f>COUNTA(S5:S18)</f>
        <v/>
      </c>
      <c r="T19" s="59">
        <f>COUNTA(T5:T18)</f>
        <v/>
      </c>
      <c r="U19" s="59">
        <f>COUNTA(U5:U18)</f>
        <v/>
      </c>
      <c r="V19" s="59">
        <f>COUNTA(V5:V18)</f>
        <v/>
      </c>
      <c r="W19" s="59">
        <f>COUNTA(W5:W18)</f>
        <v/>
      </c>
      <c r="X19" s="59">
        <f>COUNTA(X5:X18)</f>
        <v/>
      </c>
      <c r="Y19" s="59">
        <f>COUNTA(Y5:Y18)</f>
        <v/>
      </c>
      <c r="Z19" s="59">
        <f>COUNTA(Z5:Z18)</f>
        <v/>
      </c>
      <c r="AA19" s="59">
        <f>COUNTA(AA5:AA18)</f>
        <v/>
      </c>
      <c r="AB19" s="59">
        <f>COUNTA(AB5:AB18)</f>
        <v/>
      </c>
      <c r="AC19" s="59">
        <f>COUNTA(AC5:AC18)</f>
        <v/>
      </c>
      <c r="AD19" s="59">
        <f>COUNTA(AD5:AD18)</f>
        <v/>
      </c>
      <c r="AE19" s="59">
        <f>COUNTA(AE5:AE18)</f>
        <v/>
      </c>
      <c r="AF19" s="59">
        <f>COUNTA(AF5:AF18)</f>
        <v/>
      </c>
      <c r="AG19" s="59">
        <f>COUNTA(AG5:AG18)</f>
        <v/>
      </c>
    </row>
    <row r="20" ht="14.25" customHeight="1" s="107">
      <c r="A20" s="60" t="n"/>
    </row>
    <row r="21" ht="60" customHeight="1" s="107">
      <c r="A21" s="129" t="inlineStr">
        <is>
          <t>留意事項:
(1) 19:00-21:00に受付(名札セット配布100-120名)・MC・VIP対応・写真・バス誘導(Dorsett→公邸)が同時発生。受付2名(藤中・田中)＋吉田で名札配布、藤本が写真。
(2) 27日午前は全員で会場下見のため、Dorsettは藤中・田中のみ。午後はDorsett到着対応と公邸設営準備が並行、荒木田・池田は機材、児玉と吉田は公邸に張り付く。それ以外は到着対応補助。
(3) 開始が19:00（8/26版アジェンダ）に後ろ倒しになったため、Dorsett→公邸の送迎バス出発（従来想定17:30〜18:30）と撤収時刻をCOSEMと再確認する必要がある。　(4)【9/25】役員（三浦・北本・宮木）は27日午前に会場を短時間見た後、大使館へ表敬（荒木田が足立氏と調整）。会場の前日設営が可能な時刻が判明したら、公邸レセプションを外れて設営に残る者を決める。</t>
        </is>
      </c>
    </row>
    <row r="22" ht="14.25" customHeight="1" s="107"/>
    <row r="23" ht="14.25" customHeight="1" s="107">
      <c r="A23" s="108" t="inlineStr">
        <is>
          <t>日本側サポート（神戸）※列はシンガポール時間、JSTは+1時間</t>
        </is>
      </c>
    </row>
    <row r="24" ht="21.75" customHeight="1" s="107">
      <c r="A24" s="49">
        <f>人員一覧・判定!B18</f>
        <v/>
      </c>
      <c r="F24" s="162" t="inlineStr">
        <is>
          <t>AI通訳ツール最終設定 (JST10-13)</t>
        </is>
      </c>
      <c r="G24" s="94" t="n"/>
      <c r="H24" s="94" t="n"/>
      <c r="I24" s="94" t="n"/>
      <c r="J24" s="94" t="n"/>
      <c r="K24" s="95" t="n"/>
      <c r="N24" s="163" t="inlineStr">
        <is>
          <t>接続テスト②: Webinar/Zoomホスト設定・現地(荒木田・池田)と接続 (JST14-17)</t>
        </is>
      </c>
      <c r="O24" s="94" t="n"/>
      <c r="P24" s="94" t="n"/>
      <c r="Q24" s="94" t="n"/>
      <c r="R24" s="94" t="n"/>
      <c r="S24" s="95" t="n"/>
    </row>
    <row r="25" ht="21.75" customHeight="1" s="107">
      <c r="A25" s="49">
        <f>人員一覧・判定!B19</f>
        <v/>
      </c>
      <c r="F25" s="164" t="inlineStr">
        <is>
          <t>録画設定テスト(クラウド+ローカル)</t>
        </is>
      </c>
      <c r="G25" s="94" t="n"/>
      <c r="H25" s="94" t="n"/>
      <c r="I25" s="94" t="n"/>
      <c r="J25" s="94" t="n"/>
      <c r="K25" s="95" t="n"/>
      <c r="N25" s="161" t="inlineStr">
        <is>
          <t>接続テスト②参加・録画リハ</t>
        </is>
      </c>
      <c r="O25" s="94" t="n"/>
      <c r="P25" s="94" t="n"/>
      <c r="Q25" s="94" t="n"/>
      <c r="R25" s="94" t="n"/>
      <c r="S25" s="95" t="n"/>
    </row>
    <row r="26" ht="21.75" customHeight="1" s="107">
      <c r="A26" s="49">
        <f>人員一覧・判定!B21</f>
        <v/>
      </c>
      <c r="N26" s="165" t="inlineStr">
        <is>
          <t xml:space="preserve">録画テスト(日英2台) </t>
        </is>
      </c>
      <c r="O26" s="94" t="n"/>
      <c r="P26" s="94" t="n"/>
      <c r="Q26" s="94" t="n"/>
      <c r="R26" s="94" t="n"/>
      <c r="S26" s="95" t="n"/>
    </row>
    <row r="27" ht="21.75" customHeight="1" s="107">
      <c r="A27" s="49">
        <f>人員一覧・判定!B20</f>
        <v/>
      </c>
      <c r="N27" s="166" t="inlineStr">
        <is>
          <t>Webinar設定・ホスト/録画確認</t>
        </is>
      </c>
      <c r="O27" s="94" t="n"/>
      <c r="P27" s="94" t="n"/>
      <c r="Q27" s="94" t="n"/>
      <c r="R27" s="94" t="n"/>
      <c r="S27" s="95" t="n"/>
    </row>
    <row r="28" ht="14.25" customHeight="1" s="107">
      <c r="A28" s="60" t="n"/>
    </row>
  </sheetData>
  <mergeCells count="52">
    <mergeCell ref="F24:K24"/>
    <mergeCell ref="T10:AE10"/>
    <mergeCell ref="Y11:AD11"/>
    <mergeCell ref="F10:G10"/>
    <mergeCell ref="F18:Q18"/>
    <mergeCell ref="F17:K17"/>
    <mergeCell ref="N14:S14"/>
    <mergeCell ref="F8:K8"/>
    <mergeCell ref="Y17:AD17"/>
    <mergeCell ref="W15:AD15"/>
    <mergeCell ref="N15:Q15"/>
    <mergeCell ref="H7:J7"/>
    <mergeCell ref="Y7:AD7"/>
    <mergeCell ref="Y6:AD6"/>
    <mergeCell ref="B4:K4"/>
    <mergeCell ref="N10:S10"/>
    <mergeCell ref="A23:L23"/>
    <mergeCell ref="Y13:AD13"/>
    <mergeCell ref="F9:K9"/>
    <mergeCell ref="D13:Q13"/>
    <mergeCell ref="N16:Q16"/>
    <mergeCell ref="Y12:AD12"/>
    <mergeCell ref="T9:X9"/>
    <mergeCell ref="T16:V16"/>
    <mergeCell ref="N24:S24"/>
    <mergeCell ref="T12:X12"/>
    <mergeCell ref="W16:AD16"/>
    <mergeCell ref="L4:S4"/>
    <mergeCell ref="F14:K14"/>
    <mergeCell ref="N27:S27"/>
    <mergeCell ref="T11:X11"/>
    <mergeCell ref="T18:V18"/>
    <mergeCell ref="A21:AF21"/>
    <mergeCell ref="N26:S26"/>
    <mergeCell ref="W18:AD18"/>
    <mergeCell ref="T15:V15"/>
    <mergeCell ref="T17:X17"/>
    <mergeCell ref="T13:X13"/>
    <mergeCell ref="F11:K11"/>
    <mergeCell ref="Z4:AD4"/>
    <mergeCell ref="F25:K25"/>
    <mergeCell ref="H10:J10"/>
    <mergeCell ref="F16:K16"/>
    <mergeCell ref="N25:S25"/>
    <mergeCell ref="D12:Q12"/>
    <mergeCell ref="N17:Q17"/>
    <mergeCell ref="W8:AD8"/>
    <mergeCell ref="Y9:AD9"/>
    <mergeCell ref="T4:Y4"/>
    <mergeCell ref="W14:AD14"/>
    <mergeCell ref="F15:K15"/>
    <mergeCell ref="H6:J6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8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J12" sqref="AJ12"/>
    </sheetView>
  </sheetViews>
  <sheetFormatPr baseColWidth="8" defaultColWidth="8.5546875" defaultRowHeight="14.4"/>
  <cols>
    <col width="14" customWidth="1" style="107" min="1" max="1"/>
    <col width="4.21875" customWidth="1" style="107" min="2" max="33"/>
  </cols>
  <sheetData>
    <row r="1" ht="15" customHeight="1" s="107">
      <c r="A1" s="52" t="inlineStr">
        <is>
          <t>28 OCT 2026 (WED)  Day 1: Joint Opening / ACDR Opening / Roundtable / SC / Gala Dinner</t>
        </is>
      </c>
    </row>
    <row r="3" ht="14.25" customHeight="1" s="107">
      <c r="B3" s="53" t="inlineStr">
        <is>
          <t>7:00</t>
        </is>
      </c>
      <c r="C3" s="53" t="n"/>
      <c r="D3" s="53" t="inlineStr">
        <is>
          <t>8:00</t>
        </is>
      </c>
      <c r="E3" s="53" t="n"/>
      <c r="F3" s="53" t="inlineStr">
        <is>
          <t>9:00</t>
        </is>
      </c>
      <c r="G3" s="53" t="n"/>
      <c r="H3" s="53" t="inlineStr">
        <is>
          <t>10:00</t>
        </is>
      </c>
      <c r="I3" s="53" t="n"/>
      <c r="J3" s="53" t="inlineStr">
        <is>
          <t>11:00</t>
        </is>
      </c>
      <c r="K3" s="53" t="n"/>
      <c r="L3" s="53" t="inlineStr">
        <is>
          <t>12:00</t>
        </is>
      </c>
      <c r="M3" s="53" t="n"/>
      <c r="N3" s="53" t="inlineStr">
        <is>
          <t>13:00</t>
        </is>
      </c>
      <c r="O3" s="53" t="n"/>
      <c r="P3" s="53" t="inlineStr">
        <is>
          <t>14:00</t>
        </is>
      </c>
      <c r="Q3" s="53" t="n"/>
      <c r="R3" s="53" t="inlineStr">
        <is>
          <t>15:00</t>
        </is>
      </c>
      <c r="S3" s="53" t="n"/>
      <c r="T3" s="53" t="inlineStr">
        <is>
          <t>16:00</t>
        </is>
      </c>
      <c r="U3" s="53" t="n"/>
      <c r="V3" s="53" t="inlineStr">
        <is>
          <t>17:00</t>
        </is>
      </c>
      <c r="W3" s="53" t="n"/>
      <c r="X3" s="53" t="inlineStr">
        <is>
          <t>18:00</t>
        </is>
      </c>
      <c r="Y3" s="53" t="n"/>
      <c r="Z3" s="53" t="inlineStr">
        <is>
          <t>19:00</t>
        </is>
      </c>
      <c r="AA3" s="53" t="n"/>
      <c r="AB3" s="53" t="inlineStr">
        <is>
          <t>20:00</t>
        </is>
      </c>
      <c r="AC3" s="53" t="n"/>
      <c r="AD3" s="53" t="inlineStr">
        <is>
          <t>21:00</t>
        </is>
      </c>
      <c r="AE3" s="53" t="n"/>
      <c r="AF3" s="53" t="inlineStr">
        <is>
          <t>22:00</t>
        </is>
      </c>
      <c r="AG3" s="53" t="n"/>
    </row>
    <row r="4" ht="30" customHeight="1" s="107">
      <c r="A4" s="54" t="inlineStr">
        <is>
          <t>PROGRAM</t>
        </is>
      </c>
      <c r="C4" s="160" t="inlineStr">
        <is>
          <t>会場・NW最終テスト(演台・客席・事務局部屋)／事務局部屋立上げ／Hotel Mi→EXPO バス</t>
        </is>
      </c>
      <c r="D4" s="94" t="n"/>
      <c r="E4" s="94" t="n"/>
      <c r="F4" s="95" t="n"/>
      <c r="H4" s="97" t="inlineStr">
        <is>
          <t>Joint Opening (Hall 3)</t>
        </is>
      </c>
      <c r="I4" s="167" t="inlineStr">
        <is>
          <t>VIP Tour／Japan Pavilion（開会式ではなくVIPツアー立寄り時の展示挨拶）／11:15表敬　※ADRC参加者のEXPO見学はVIPツアーに合わせ短縮</t>
        </is>
      </c>
      <c r="J4" s="95" t="n"/>
      <c r="K4" s="167" t="inlineStr">
        <is>
          <t>Lunch (Hall 3)</t>
        </is>
      </c>
      <c r="L4" s="95" t="n"/>
      <c r="M4" s="97" t="inlineStr">
        <is>
          <t>ACDR Opening</t>
        </is>
      </c>
      <c r="N4" s="167" t="inlineStr">
        <is>
          <t>Roundtable (1) (Peridot) 13:00-15:00　※9/25案: 30分短縮し続きを29日09:00に。SCDFモデレーター+メンバー国Co-Mod</t>
        </is>
      </c>
      <c r="O4" s="94" t="n"/>
      <c r="P4" s="94" t="n"/>
      <c r="Q4" s="94" t="n"/>
      <c r="R4" s="95" t="n"/>
      <c r="S4" s="167" t="inlineStr">
        <is>
          <t>Steering Committee 15:15-16:15（9/25案: 30分前倒し）</t>
        </is>
      </c>
      <c r="T4" s="95" t="n"/>
      <c r="W4" s="167" t="inlineStr">
        <is>
          <t>Dorsett 17:30発→Orchard Hotel</t>
        </is>
      </c>
      <c r="X4" s="95" t="n"/>
      <c r="Y4" s="167" t="inlineStr">
        <is>
          <t>SIDEX Gala Dinner (Grand Ballroom)</t>
        </is>
      </c>
      <c r="Z4" s="94" t="n"/>
      <c r="AA4" s="94" t="n"/>
      <c r="AB4" s="94" t="n"/>
      <c r="AC4" s="95" t="n"/>
    </row>
    <row r="5" ht="3.75" customHeight="1" s="107">
      <c r="A5" s="54" t="n"/>
      <c r="C5" s="56" t="n"/>
      <c r="D5" s="56" t="n"/>
      <c r="E5" s="56" t="n"/>
      <c r="F5" s="56" t="n"/>
      <c r="H5" s="97" t="n"/>
      <c r="I5" s="97" t="n"/>
      <c r="J5" s="97" t="n"/>
      <c r="K5" s="62" t="n"/>
      <c r="L5" s="62" t="n"/>
      <c r="M5" s="97" t="n"/>
      <c r="N5" s="97" t="n"/>
      <c r="O5" s="97" t="n"/>
      <c r="P5" s="97" t="n"/>
      <c r="Q5" s="97" t="n"/>
      <c r="R5" s="97" t="n"/>
      <c r="S5" s="97" t="n"/>
      <c r="T5" s="97" t="n"/>
      <c r="W5" s="97" t="n"/>
      <c r="X5" s="97" t="n"/>
      <c r="Y5" s="97" t="n"/>
      <c r="Z5" s="97" t="n"/>
      <c r="AA5" s="97" t="n"/>
      <c r="AB5" s="97" t="n"/>
      <c r="AC5" s="97" t="n"/>
    </row>
    <row r="6" ht="21.75" customHeight="1" s="107">
      <c r="A6" s="40">
        <f>人員一覧・判定!B5</f>
        <v/>
      </c>
      <c r="G6" s="168" t="inlineStr">
        <is>
          <t>Joint Opening/VIP Tour</t>
        </is>
      </c>
      <c r="H6" s="94" t="n"/>
      <c r="I6" s="94" t="n"/>
      <c r="J6" s="95" t="n"/>
      <c r="M6" s="100" t="inlineStr">
        <is>
          <t>ACDR Opening 挨拶</t>
        </is>
      </c>
      <c r="N6" s="169" t="inlineStr">
        <is>
          <t>Roundtable</t>
        </is>
      </c>
      <c r="O6" s="94" t="n"/>
      <c r="P6" s="94" t="n"/>
      <c r="Q6" s="94" t="n"/>
      <c r="R6" s="95" t="n"/>
      <c r="S6" s="169" t="inlineStr">
        <is>
          <t>SC</t>
        </is>
      </c>
      <c r="T6" s="95" t="n"/>
      <c r="W6" s="167" t="inlineStr">
        <is>
          <t>Gala</t>
        </is>
      </c>
      <c r="X6" s="94" t="n"/>
      <c r="Y6" s="94" t="n"/>
      <c r="Z6" s="94" t="n"/>
      <c r="AA6" s="94" t="n"/>
      <c r="AB6" s="94" t="n"/>
      <c r="AC6" s="95" t="n"/>
    </row>
    <row r="7" ht="21.75" customHeight="1" s="107">
      <c r="A7" s="40">
        <f>人員一覧・判定!B6</f>
        <v/>
      </c>
      <c r="G7" s="168" t="inlineStr">
        <is>
          <t>Joint Opening/VIP Tour</t>
        </is>
      </c>
      <c r="H7" s="94" t="n"/>
      <c r="I7" s="94" t="n"/>
      <c r="J7" s="95" t="n"/>
      <c r="M7" s="169" t="inlineStr">
        <is>
          <t>Opening/Roundtable</t>
        </is>
      </c>
      <c r="N7" s="94" t="n"/>
      <c r="O7" s="94" t="n"/>
      <c r="P7" s="94" t="n"/>
      <c r="Q7" s="94" t="n"/>
      <c r="R7" s="95" t="n"/>
      <c r="S7" s="169" t="inlineStr">
        <is>
          <t>SC</t>
        </is>
      </c>
      <c r="T7" s="95" t="n"/>
      <c r="W7" s="167" t="inlineStr">
        <is>
          <t>Gala</t>
        </is>
      </c>
      <c r="X7" s="94" t="n"/>
      <c r="Y7" s="94" t="n"/>
      <c r="Z7" s="94" t="n"/>
      <c r="AA7" s="94" t="n"/>
      <c r="AB7" s="94" t="n"/>
      <c r="AC7" s="95" t="n"/>
    </row>
    <row r="8" ht="21.75" customHeight="1" s="107">
      <c r="A8" s="40">
        <f>人員一覧・判定!B7</f>
        <v/>
      </c>
      <c r="F8" s="155" t="inlineStr">
        <is>
          <t>Opening/VIP Tour(内閣府に同行、随行ではない)</t>
        </is>
      </c>
      <c r="G8" s="94" t="n"/>
      <c r="H8" s="94" t="n"/>
      <c r="I8" s="94" t="n"/>
      <c r="J8" s="95" t="n"/>
      <c r="M8" s="169" t="inlineStr">
        <is>
          <t>Opening/RT(内閣府随行)</t>
        </is>
      </c>
      <c r="N8" s="94" t="n"/>
      <c r="O8" s="94" t="n"/>
      <c r="P8" s="94" t="n"/>
      <c r="Q8" s="94" t="n"/>
      <c r="R8" s="95" t="n"/>
      <c r="S8" s="170" t="inlineStr">
        <is>
          <t>SC(議長=内閣府 補佐)</t>
        </is>
      </c>
      <c r="T8" s="95" t="n"/>
      <c r="W8" s="167" t="inlineStr">
        <is>
          <t>Gala(内閣府随行)</t>
        </is>
      </c>
      <c r="X8" s="94" t="n"/>
      <c r="Y8" s="94" t="n"/>
      <c r="Z8" s="94" t="n"/>
      <c r="AA8" s="94" t="n"/>
      <c r="AB8" s="94" t="n"/>
      <c r="AC8" s="95" t="n"/>
    </row>
    <row r="9" ht="21.75" customHeight="1" s="107">
      <c r="A9" s="40">
        <f>人員一覧・判定!B8</f>
        <v/>
      </c>
      <c r="C9" s="171" t="inlineStr">
        <is>
          <t>会場テスト/事務局部屋</t>
        </is>
      </c>
      <c r="D9" s="94" t="n"/>
      <c r="E9" s="94" t="n"/>
      <c r="F9" s="95" t="n"/>
      <c r="G9" s="155" t="inlineStr">
        <is>
          <t>COSEM調整・VIP動線(臨機応変)</t>
        </is>
      </c>
      <c r="H9" s="94" t="n"/>
      <c r="I9" s="94" t="n"/>
      <c r="J9" s="95" t="n"/>
      <c r="M9" s="169" t="inlineStr">
        <is>
          <t>RT(バイ会談調整)</t>
        </is>
      </c>
      <c r="N9" s="94" t="n"/>
      <c r="O9" s="94" t="n"/>
      <c r="P9" s="94" t="n"/>
      <c r="Q9" s="94" t="n"/>
      <c r="R9" s="95" t="n"/>
      <c r="S9" s="169" t="inlineStr">
        <is>
          <t>SC</t>
        </is>
      </c>
      <c r="T9" s="95" t="n"/>
      <c r="V9" s="167" t="inlineStr">
        <is>
          <t>Gala引率(バス)</t>
        </is>
      </c>
      <c r="W9" s="94" t="n"/>
      <c r="X9" s="94" t="n"/>
      <c r="Y9" s="94" t="n"/>
      <c r="Z9" s="94" t="n"/>
      <c r="AA9" s="94" t="n"/>
      <c r="AB9" s="94" t="n"/>
      <c r="AC9" s="95" t="n"/>
    </row>
    <row r="10" ht="21.75" customHeight="1" s="107">
      <c r="A10" s="40">
        <f>人員一覧・判定!B9</f>
        <v/>
      </c>
      <c r="C10" s="172" t="inlineStr">
        <is>
          <t>会場・NW・Zoom・AI通訳テスト／日本側と接続確認</t>
        </is>
      </c>
      <c r="D10" s="94" t="n"/>
      <c r="E10" s="94" t="n"/>
      <c r="F10" s="95" t="n"/>
      <c r="G10" s="168" t="inlineStr">
        <is>
          <t>Opening進行確認/VIP Tour同行</t>
        </is>
      </c>
      <c r="H10" s="94" t="n"/>
      <c r="I10" s="94" t="n"/>
      <c r="J10" s="95" t="n"/>
      <c r="M10" s="100" t="inlineStr">
        <is>
          <t>ACDR Opening進行</t>
        </is>
      </c>
      <c r="N10" s="157" t="inlineStr">
        <is>
          <t>RT AV/Zoom運用</t>
        </is>
      </c>
      <c r="O10" s="94" t="n"/>
      <c r="P10" s="94" t="n"/>
      <c r="Q10" s="94" t="n"/>
      <c r="R10" s="95" t="n"/>
      <c r="S10" s="169" t="inlineStr">
        <is>
          <t>SC(記録)</t>
        </is>
      </c>
      <c r="T10" s="95" t="n"/>
      <c r="W10" s="167" t="inlineStr">
        <is>
          <t>Gala</t>
        </is>
      </c>
      <c r="X10" s="94" t="n"/>
      <c r="Y10" s="94" t="n"/>
      <c r="Z10" s="94" t="n"/>
      <c r="AA10" s="94" t="n"/>
      <c r="AB10" s="94" t="n"/>
      <c r="AC10" s="95" t="n"/>
    </row>
    <row r="11" ht="21.75" customHeight="1" s="107">
      <c r="A11" s="40">
        <f>人員一覧・判定!B10</f>
        <v/>
      </c>
      <c r="D11" s="173" t="inlineStr">
        <is>
          <t>RT準備(ステートメント・席札)</t>
        </is>
      </c>
      <c r="E11" s="94" t="n"/>
      <c r="F11" s="95" t="n"/>
      <c r="G11" s="158" t="inlineStr">
        <is>
          <t>参加者誘導</t>
        </is>
      </c>
      <c r="H11" s="94" t="n"/>
      <c r="I11" s="94" t="n"/>
      <c r="J11" s="95" t="n"/>
      <c r="M11" s="169" t="inlineStr">
        <is>
          <t>RT運営(PIC)</t>
        </is>
      </c>
      <c r="N11" s="94" t="n"/>
      <c r="O11" s="94" t="n"/>
      <c r="P11" s="94" t="n"/>
      <c r="Q11" s="94" t="n"/>
      <c r="R11" s="95" t="n"/>
      <c r="S11" s="169" t="inlineStr">
        <is>
          <t>SC補助</t>
        </is>
      </c>
      <c r="T11" s="95" t="n"/>
      <c r="V11" s="167" t="inlineStr">
        <is>
          <t>Gala引率</t>
        </is>
      </c>
      <c r="W11" s="94" t="n"/>
      <c r="X11" s="94" t="n"/>
      <c r="Y11" s="94" t="n"/>
      <c r="Z11" s="94" t="n"/>
      <c r="AA11" s="94" t="n"/>
      <c r="AB11" s="94" t="n"/>
      <c r="AC11" s="95" t="n"/>
    </row>
    <row r="12" ht="21.75" customHeight="1" s="107">
      <c r="A12" s="40">
        <f>人員一覧・判定!B11</f>
        <v/>
      </c>
      <c r="C12" s="174" t="inlineStr">
        <is>
          <t>Dorsett送り出し担当</t>
        </is>
      </c>
      <c r="D12" s="94" t="n"/>
      <c r="E12" s="94" t="n"/>
      <c r="F12" s="95" t="n"/>
      <c r="G12" s="175" t="inlineStr">
        <is>
          <t>受付デスク設営・運営(Peridot)</t>
        </is>
      </c>
      <c r="H12" s="94" t="n"/>
      <c r="I12" s="94" t="n"/>
      <c r="J12" s="94" t="n"/>
      <c r="K12" s="94" t="n"/>
      <c r="L12" s="95" t="n"/>
      <c r="M12" s="158" t="inlineStr">
        <is>
          <t>受付/RT</t>
        </is>
      </c>
      <c r="N12" s="94" t="n"/>
      <c r="O12" s="94" t="n"/>
      <c r="P12" s="94" t="n"/>
      <c r="Q12" s="94" t="n"/>
      <c r="R12" s="95" t="n"/>
      <c r="S12" s="170" t="inlineStr">
        <is>
          <t>SC事務(議案・進行・会計報告)</t>
        </is>
      </c>
      <c r="T12" s="95" t="n"/>
      <c r="W12" s="167" t="inlineStr">
        <is>
          <t>Gala</t>
        </is>
      </c>
      <c r="X12" s="94" t="n"/>
      <c r="Y12" s="94" t="n"/>
      <c r="Z12" s="94" t="n"/>
      <c r="AA12" s="94" t="n"/>
      <c r="AB12" s="94" t="n"/>
      <c r="AC12" s="95" t="n"/>
    </row>
    <row r="13" ht="21.75" customHeight="1" s="107">
      <c r="A13" s="40">
        <f>人員一覧・判定!B12</f>
        <v/>
      </c>
      <c r="C13" s="174" t="inlineStr">
        <is>
          <t>Dorsett送り出し担当</t>
        </is>
      </c>
      <c r="D13" s="94" t="n"/>
      <c r="E13" s="94" t="n"/>
      <c r="F13" s="95" t="n"/>
      <c r="G13" s="175" t="inlineStr">
        <is>
          <t>受付デスク設営・運営(Peridot)</t>
        </is>
      </c>
      <c r="H13" s="94" t="n"/>
      <c r="I13" s="94" t="n"/>
      <c r="J13" s="94" t="n"/>
      <c r="K13" s="94" t="n"/>
      <c r="L13" s="95" t="n"/>
      <c r="M13" s="158" t="inlineStr">
        <is>
          <t>受付/RT</t>
        </is>
      </c>
      <c r="N13" s="94" t="n"/>
      <c r="O13" s="94" t="n"/>
      <c r="P13" s="94" t="n"/>
      <c r="Q13" s="94" t="n"/>
      <c r="R13" s="95" t="n"/>
      <c r="S13" s="158" t="inlineStr">
        <is>
          <t>受付</t>
        </is>
      </c>
      <c r="T13" s="95" t="n"/>
      <c r="V13" s="167" t="inlineStr">
        <is>
          <t>Gala引率(名簿)</t>
        </is>
      </c>
      <c r="W13" s="94" t="n"/>
      <c r="X13" s="94" t="n"/>
      <c r="Y13" s="94" t="n"/>
      <c r="Z13" s="94" t="n"/>
      <c r="AA13" s="94" t="n"/>
      <c r="AB13" s="94" t="n"/>
      <c r="AC13" s="95" t="n"/>
    </row>
    <row r="14" ht="21.75" customHeight="1" s="107">
      <c r="A14" s="40">
        <f>人員一覧・判定!B13</f>
        <v/>
      </c>
      <c r="C14" s="171" t="inlineStr">
        <is>
          <t>会場AVテスト／日本側と接続確認</t>
        </is>
      </c>
      <c r="D14" s="94" t="n"/>
      <c r="E14" s="94" t="n"/>
      <c r="F14" s="95" t="n"/>
      <c r="G14" s="157" t="inlineStr">
        <is>
          <t>Japan Pavilion連携</t>
        </is>
      </c>
      <c r="H14" s="94" t="n"/>
      <c r="I14" s="94" t="n"/>
      <c r="J14" s="95" t="n"/>
      <c r="M14" s="157" t="inlineStr">
        <is>
          <t>RT PC・スクリーン操作</t>
        </is>
      </c>
      <c r="N14" s="94" t="n"/>
      <c r="O14" s="94" t="n"/>
      <c r="P14" s="94" t="n"/>
      <c r="Q14" s="94" t="n"/>
      <c r="R14" s="95" t="n"/>
      <c r="S14" s="157" t="inlineStr">
        <is>
          <t>SC(AV)</t>
        </is>
      </c>
      <c r="T14" s="95" t="n"/>
      <c r="W14" s="167" t="inlineStr">
        <is>
          <t>Gala</t>
        </is>
      </c>
      <c r="X14" s="94" t="n"/>
      <c r="Y14" s="94" t="n"/>
      <c r="Z14" s="94" t="n"/>
      <c r="AA14" s="94" t="n"/>
      <c r="AB14" s="94" t="n"/>
      <c r="AC14" s="95" t="n"/>
    </row>
    <row r="15" ht="21.75" customHeight="1" s="107">
      <c r="A15" s="58">
        <f>人員一覧・判定!C14</f>
        <v/>
      </c>
      <c r="C15" s="176" t="inlineStr">
        <is>
          <t>事務局部屋・受付デスク設営</t>
        </is>
      </c>
      <c r="D15" s="94" t="n"/>
      <c r="E15" s="94" t="n"/>
      <c r="F15" s="95" t="n"/>
      <c r="G15" s="169" t="inlineStr">
        <is>
          <t>Opening</t>
        </is>
      </c>
      <c r="H15" s="94" t="n"/>
      <c r="I15" s="94" t="n"/>
      <c r="J15" s="95" t="n"/>
      <c r="M15" s="169" t="inlineStr">
        <is>
          <t>RT共同運営/ノート</t>
        </is>
      </c>
      <c r="N15" s="94" t="n"/>
      <c r="O15" s="94" t="n"/>
      <c r="P15" s="94" t="n"/>
      <c r="Q15" s="94" t="n"/>
      <c r="R15" s="95" t="n"/>
      <c r="S15" s="169" t="inlineStr">
        <is>
          <t>SCメモ</t>
        </is>
      </c>
      <c r="T15" s="95" t="n"/>
      <c r="W15" s="167" t="inlineStr">
        <is>
          <t>Gala</t>
        </is>
      </c>
      <c r="X15" s="94" t="n"/>
      <c r="Y15" s="94" t="n"/>
      <c r="Z15" s="94" t="n"/>
      <c r="AA15" s="94" t="n"/>
      <c r="AB15" s="94" t="n"/>
      <c r="AC15" s="95" t="n"/>
      <c r="AD15" s="177" t="inlineStr">
        <is>
          <t>Draft Summary執筆</t>
        </is>
      </c>
      <c r="AE15" s="94" t="n"/>
      <c r="AF15" s="95" t="n"/>
    </row>
    <row r="16" ht="21.75" customHeight="1" s="107">
      <c r="A16" s="40">
        <f>人員一覧・判定!C15</f>
        <v/>
      </c>
      <c r="C16" s="174" t="inlineStr">
        <is>
          <t>Hotel Me送り出し担当</t>
        </is>
      </c>
      <c r="D16" s="94" t="n"/>
      <c r="E16" s="94" t="n"/>
      <c r="F16" s="95" t="n"/>
      <c r="G16" s="169" t="inlineStr">
        <is>
          <t>Opening</t>
        </is>
      </c>
      <c r="H16" s="94" t="n"/>
      <c r="I16" s="94" t="n"/>
      <c r="J16" s="95" t="n"/>
      <c r="M16" s="169" t="inlineStr">
        <is>
          <t>RTノート/翌日登壇者対応</t>
        </is>
      </c>
      <c r="N16" s="94" t="n"/>
      <c r="O16" s="94" t="n"/>
      <c r="P16" s="94" t="n"/>
      <c r="Q16" s="94" t="n"/>
      <c r="R16" s="95" t="n"/>
      <c r="S16" s="178" t="inlineStr">
        <is>
          <t>登壇者リハ調整</t>
        </is>
      </c>
      <c r="T16" s="95" t="n"/>
      <c r="W16" s="167" t="inlineStr">
        <is>
          <t>Gala</t>
        </is>
      </c>
      <c r="X16" s="94" t="n"/>
      <c r="Y16" s="94" t="n"/>
      <c r="Z16" s="94" t="n"/>
      <c r="AA16" s="94" t="n"/>
      <c r="AB16" s="94" t="n"/>
      <c r="AC16" s="95" t="n"/>
    </row>
    <row r="17" ht="21.75" customHeight="1" s="107">
      <c r="A17" s="40">
        <f>人員一覧・判定!B16</f>
        <v/>
      </c>
      <c r="C17" s="171" t="inlineStr">
        <is>
          <t>Zoom/AI翻訳セットアップ</t>
        </is>
      </c>
      <c r="D17" s="94" t="n"/>
      <c r="E17" s="94" t="n"/>
      <c r="F17" s="95" t="n"/>
      <c r="G17" s="156" t="inlineStr">
        <is>
          <t>写真/誘導</t>
        </is>
      </c>
      <c r="H17" s="94" t="n"/>
      <c r="I17" s="94" t="n"/>
      <c r="J17" s="95" t="n"/>
      <c r="M17" s="156" t="inlineStr">
        <is>
          <t>Zoom・AI翻訳オペ/写真</t>
        </is>
      </c>
      <c r="N17" s="94" t="n"/>
      <c r="O17" s="94" t="n"/>
      <c r="P17" s="94" t="n"/>
      <c r="Q17" s="94" t="n"/>
      <c r="R17" s="94" t="n"/>
      <c r="S17" s="94" t="n"/>
      <c r="T17" s="95" t="n"/>
      <c r="W17" s="160" t="inlineStr">
        <is>
          <t>Gala(写真)</t>
        </is>
      </c>
      <c r="X17" s="94" t="n"/>
      <c r="Y17" s="94" t="n"/>
      <c r="Z17" s="94" t="n"/>
      <c r="AA17" s="94" t="n"/>
      <c r="AB17" s="94" t="n"/>
      <c r="AC17" s="95" t="n"/>
    </row>
    <row r="18" ht="21.75" customHeight="1" s="107">
      <c r="A18" s="40">
        <f>人員一覧・判定!B17</f>
        <v/>
      </c>
      <c r="C18" s="174" t="inlineStr">
        <is>
          <t>Hotel Me送り出し担当</t>
        </is>
      </c>
      <c r="D18" s="94" t="n"/>
      <c r="E18" s="94" t="n"/>
      <c r="F18" s="95" t="n"/>
      <c r="G18" s="158" t="inlineStr">
        <is>
          <t>参加者誘導</t>
        </is>
      </c>
      <c r="H18" s="94" t="n"/>
      <c r="I18" s="94" t="n"/>
      <c r="J18" s="95" t="n"/>
      <c r="M18" s="179" t="inlineStr">
        <is>
          <t>RT記録</t>
        </is>
      </c>
      <c r="N18" s="94" t="n"/>
      <c r="O18" s="94" t="n"/>
      <c r="P18" s="94" t="n"/>
      <c r="Q18" s="94" t="n"/>
      <c r="R18" s="95" t="n"/>
      <c r="S18" s="180" t="inlineStr">
        <is>
          <t>SC記録補助</t>
        </is>
      </c>
      <c r="T18" s="95" t="n"/>
      <c r="W18" s="160" t="inlineStr">
        <is>
          <t>Gala</t>
        </is>
      </c>
      <c r="X18" s="94" t="n"/>
      <c r="Y18" s="94" t="n"/>
      <c r="Z18" s="94" t="n"/>
      <c r="AA18" s="94" t="n"/>
      <c r="AB18" s="94" t="n"/>
      <c r="AC18" s="95" t="n"/>
    </row>
    <row r="19" ht="14.25" customHeight="1" s="107">
      <c r="A19" s="10" t="inlineStr">
        <is>
          <t>稼働人数(自動)</t>
        </is>
      </c>
      <c r="B19" s="59">
        <f>COUNTA(B5:B18)</f>
        <v/>
      </c>
      <c r="C19" s="59">
        <f>COUNTA(C5:C18)</f>
        <v/>
      </c>
      <c r="D19" s="59">
        <f>COUNTA(D5:D18)</f>
        <v/>
      </c>
      <c r="E19" s="59">
        <f>COUNTA(E5:E18)</f>
        <v/>
      </c>
      <c r="F19" s="59">
        <f>COUNTA(F5:F18)</f>
        <v/>
      </c>
      <c r="G19" s="59">
        <f>COUNTA(G5:G18)</f>
        <v/>
      </c>
      <c r="H19" s="59">
        <f>COUNTA(H5:H18)</f>
        <v/>
      </c>
      <c r="I19" s="59">
        <f>COUNTA(I5:I18)</f>
        <v/>
      </c>
      <c r="J19" s="59">
        <f>COUNTA(J5:J18)</f>
        <v/>
      </c>
      <c r="K19" s="59">
        <f>COUNTA(K5:K18)</f>
        <v/>
      </c>
      <c r="L19" s="59">
        <f>COUNTA(L5:L18)</f>
        <v/>
      </c>
      <c r="M19" s="59">
        <f>COUNTA(M5:M18)</f>
        <v/>
      </c>
      <c r="N19" s="59">
        <f>COUNTA(N5:N18)</f>
        <v/>
      </c>
      <c r="O19" s="59">
        <f>COUNTA(O5:O18)</f>
        <v/>
      </c>
      <c r="P19" s="59">
        <f>COUNTA(P5:P18)</f>
        <v/>
      </c>
      <c r="Q19" s="59">
        <f>COUNTA(Q5:Q18)</f>
        <v/>
      </c>
      <c r="R19" s="59">
        <f>COUNTA(R5:R18)</f>
        <v/>
      </c>
      <c r="S19" s="59">
        <f>COUNTA(S5:S18)</f>
        <v/>
      </c>
      <c r="T19" s="59">
        <f>COUNTA(T5:T18)</f>
        <v/>
      </c>
      <c r="U19" s="59">
        <f>COUNTA(U5:U18)</f>
        <v/>
      </c>
      <c r="V19" s="59">
        <f>COUNTA(V5:V18)</f>
        <v/>
      </c>
      <c r="W19" s="59">
        <f>COUNTA(W5:W18)</f>
        <v/>
      </c>
      <c r="X19" s="59">
        <f>COUNTA(X5:X18)</f>
        <v/>
      </c>
      <c r="Y19" s="59">
        <f>COUNTA(Y5:Y18)</f>
        <v/>
      </c>
      <c r="Z19" s="59">
        <f>COUNTA(Z5:Z18)</f>
        <v/>
      </c>
      <c r="AA19" s="59">
        <f>COUNTA(AA5:AA18)</f>
        <v/>
      </c>
      <c r="AB19" s="59">
        <f>COUNTA(AB5:AB18)</f>
        <v/>
      </c>
      <c r="AC19" s="59">
        <f>COUNTA(AC5:AC18)</f>
        <v/>
      </c>
      <c r="AD19" s="59">
        <f>COUNTA(AD5:AD18)</f>
        <v/>
      </c>
      <c r="AE19" s="59">
        <f>COUNTA(AE5:AE18)</f>
        <v/>
      </c>
      <c r="AF19" s="59">
        <f>COUNTA(AF5:AF18)</f>
        <v/>
      </c>
      <c r="AG19" s="59">
        <f>COUNTA(AG5:AG18)</f>
        <v/>
      </c>
    </row>
    <row r="20" ht="14.25" customHeight="1" s="107">
      <c r="A20" s="60" t="n"/>
    </row>
    <row r="21" ht="60" customHeight="1" s="107">
      <c r="A21" s="106" t="inlineStr">
        <is>
          <t>留意事項:
 (1) 07:30-09:30 会場設営・テストと並行してHotel Mi→EXPOバス・Dorsett出発対応が必要。
(2) 10:00-11:45 Hall3(Opening/VIP Tour)とPeridot(受付・設営)に分かれ、VIP随行(宮木・児玉・荒木田)が抜ける間のPeridot側は藤中・田中・吉田のみ。
(3) Gala出発17:30はSC終了16:45の45分後で、撤収要員が不足。
(4)Day 1全体の前倒しについて、RT・SCは短縮不可のため、日本パビリオン開会式（GOHツアー内）の所要時間次第。　(6)【9/25決定】Day 1前倒しはRTの分割で対応: RT(1) 13:00-15:00、SC 15:15-16:15、RT(2)は29日09:00-09:30（TSは09:30据え置き）。これで17:30のGala出発まで75分の余裕。COSEM（9/29合同会議）と内閣府（9/25 16:30）に提案して確定。SC時の前方席はADRC（所長が説明）と内閣府。事務局席は前方寄り（ADRC席後方）に再配置。
(5)【9/28内閣府】10/28 16:00-16:30 MHA HQでバイ会談、16:30-16:40 MOC署名式（室長・御手洗参事官）。SC途中で退出、日本側司会は中根補佐。
(6)【9/29 JM6】名札65枚はSCDF部署から借用（ADRCが国旗ロゴ素材と名簿〈10/13〉を提供）。当日早朝設営の可否をExpoに確認中。AV見積SGD17〜19K。Zoom用カメラ1台はADRC持込で決定、2台運用（演台固定＋U字パン、Sylvia案）は未決。設営開始はExpo最早08:00とSylvia（JM6、要確認）、07:30入室は未承認。RT(1) 13:00-15:00＝Armenia〜Turkiye 22枠（各5分、Japanの直後に仙台市）、ADRC Opening 12:45-13:00＝Commissioner（tbc）・林副大臣・三浦センター長 各4分。
(追記 9/30 児玉) 内閣府: 林副大臣は Gala 欠席（日本企業との懇親会へ）、御手洗参事官が短時間出席。副大臣は 28 日 22:20 発で帰国。ACDR Opening は英語で挨拶、肩書 Deputy Minister for Disaster Management, Cabinet Office of Japan。
【10/1 内閣府スケジュール 9/28 版】林副大臣: Opening 挨拶→13:00 退席→13:10 SIDEX 視察（御手洗同行）→15:30 会場発→16:00 MHA バイ会談・16:30 MoC 署名→Gala 欠席（御手洗が代理）→22:20 発。RT Part 1 の日本発言＝中根補佐（荒木田 10/1 確定）。SC 議長＝中根補佐、前方席は宮木所長＋中根補佐。Japan 席は内閣府職員が常時 1 名。青木・起塚は VIP ツアー（日本パビリオン）対応。</t>
        </is>
      </c>
    </row>
    <row r="22" ht="14.25" customHeight="1" s="107">
      <c r="A22" t="inlineStr">
        <is>
          <t>None</t>
        </is>
      </c>
    </row>
    <row r="23" ht="14.25" customHeight="1" s="107">
      <c r="A23" s="108" t="inlineStr">
        <is>
          <t>日本側サポート（神戸）※列はシンガポール時間、JSTは+1時間</t>
        </is>
      </c>
    </row>
    <row r="24" ht="21.75" customHeight="1" s="107">
      <c r="A24" s="49">
        <f>人員一覧・判定!B18</f>
        <v/>
      </c>
      <c r="D24" s="181" t="inlineStr">
        <is>
          <t xml:space="preserve">Webinar起動・AI通訳・現地接続確認 </t>
        </is>
      </c>
      <c r="E24" s="94" t="n"/>
      <c r="F24" s="95" t="n"/>
      <c r="M24" s="182" t="inlineStr">
        <is>
          <t>ACDR Opening/RT: Q&amp;A・コメント確認・AI通訳監視</t>
        </is>
      </c>
      <c r="N24" s="94" t="n"/>
      <c r="O24" s="94" t="n"/>
      <c r="P24" s="94" t="n"/>
      <c r="Q24" s="94" t="n"/>
      <c r="R24" s="95" t="n"/>
      <c r="S24" s="181" t="inlineStr">
        <is>
          <t>SC: Zoom設定・Q&amp;A確認</t>
        </is>
      </c>
      <c r="T24" s="95" t="n"/>
    </row>
    <row r="25" ht="21.75" customHeight="1" s="107">
      <c r="A25" s="49">
        <f>人員一覧・判定!B19</f>
        <v/>
      </c>
      <c r="D25" s="161" t="inlineStr">
        <is>
          <t>録画準備</t>
        </is>
      </c>
      <c r="E25" s="94" t="n"/>
      <c r="F25" s="95" t="n"/>
      <c r="M25" s="182" t="inlineStr">
        <is>
          <t>Opening/RT 録画・オンライン質疑取次</t>
        </is>
      </c>
      <c r="N25" s="94" t="n"/>
      <c r="O25" s="94" t="n"/>
      <c r="P25" s="94" t="n"/>
      <c r="Q25" s="94" t="n"/>
      <c r="R25" s="95" t="n"/>
      <c r="S25" s="162" t="inlineStr">
        <is>
          <t>SC 録画</t>
        </is>
      </c>
      <c r="T25" s="95" t="n"/>
    </row>
    <row r="26" ht="21.75" customHeight="1" s="107">
      <c r="A26" s="49">
        <f>人員一覧・判定!B21</f>
        <v/>
      </c>
      <c r="M26" s="165" t="inlineStr">
        <is>
          <t>録画(日英2台)ローカル保存</t>
        </is>
      </c>
      <c r="N26" s="94" t="n"/>
      <c r="O26" s="94" t="n"/>
      <c r="P26" s="94" t="n"/>
      <c r="Q26" s="94" t="n"/>
      <c r="R26" s="94" t="n"/>
      <c r="S26" s="94" t="n"/>
      <c r="T26" s="95" t="n"/>
    </row>
    <row r="27" ht="21.75" customHeight="1" s="107">
      <c r="A27" s="49">
        <f>人員一覧・判定!B20</f>
        <v/>
      </c>
      <c r="D27" s="183" t="inlineStr">
        <is>
          <t>Webinarホスト・録画確認</t>
        </is>
      </c>
      <c r="E27" s="94" t="n"/>
      <c r="F27" s="95" t="n"/>
      <c r="S27" s="183" t="inlineStr">
        <is>
          <t>SC Zoom設定</t>
        </is>
      </c>
      <c r="T27" s="95" t="n"/>
    </row>
    <row r="28" ht="14.25" customHeight="1" s="107">
      <c r="A28" s="86" t="inlineStr">
        <is>
          <t>※WebinarとZoomはクラウド録画をバックアップとし、ローカルにも保存（2025年運用）。</t>
        </is>
      </c>
    </row>
  </sheetData>
  <mergeCells count="80">
    <mergeCell ref="W4:X4"/>
    <mergeCell ref="D11:F11"/>
    <mergeCell ref="C13:F13"/>
    <mergeCell ref="M15:R15"/>
    <mergeCell ref="V13:AC13"/>
    <mergeCell ref="S7:T7"/>
    <mergeCell ref="A23:L23"/>
    <mergeCell ref="C15:F15"/>
    <mergeCell ref="F8:J8"/>
    <mergeCell ref="W6:AC6"/>
    <mergeCell ref="M14:R14"/>
    <mergeCell ref="S10:T10"/>
    <mergeCell ref="S9:T9"/>
    <mergeCell ref="C10:F10"/>
    <mergeCell ref="G10:J10"/>
    <mergeCell ref="G18:J18"/>
    <mergeCell ref="N6:R6"/>
    <mergeCell ref="W7:AC7"/>
    <mergeCell ref="W16:AC16"/>
    <mergeCell ref="S4:T4"/>
    <mergeCell ref="N4:R4"/>
    <mergeCell ref="C17:F17"/>
    <mergeCell ref="D27:F27"/>
    <mergeCell ref="W18:AC18"/>
    <mergeCell ref="S12:T12"/>
    <mergeCell ref="W8:AC8"/>
    <mergeCell ref="W17:AC17"/>
    <mergeCell ref="M25:R25"/>
    <mergeCell ref="D25:F25"/>
    <mergeCell ref="S13:T13"/>
    <mergeCell ref="C14:F14"/>
    <mergeCell ref="C4:F4"/>
    <mergeCell ref="S15:T15"/>
    <mergeCell ref="S24:T24"/>
    <mergeCell ref="G7:J7"/>
    <mergeCell ref="N10:R10"/>
    <mergeCell ref="G12:L12"/>
    <mergeCell ref="M17:T17"/>
    <mergeCell ref="W12:AC12"/>
    <mergeCell ref="Y4:AC4"/>
    <mergeCell ref="AD15:AF15"/>
    <mergeCell ref="G16:J16"/>
    <mergeCell ref="M13:R13"/>
    <mergeCell ref="M7:R7"/>
    <mergeCell ref="M16:R16"/>
    <mergeCell ref="C18:F18"/>
    <mergeCell ref="G9:J9"/>
    <mergeCell ref="M18:R18"/>
    <mergeCell ref="S14:T14"/>
    <mergeCell ref="W10:AC10"/>
    <mergeCell ref="G11:J11"/>
    <mergeCell ref="M8:R8"/>
    <mergeCell ref="V9:AC9"/>
    <mergeCell ref="V11:AC11"/>
    <mergeCell ref="S6:T6"/>
    <mergeCell ref="A21:AC21"/>
    <mergeCell ref="M9:R9"/>
    <mergeCell ref="C12:F12"/>
    <mergeCell ref="G15:J15"/>
    <mergeCell ref="M11:R11"/>
    <mergeCell ref="S16:T16"/>
    <mergeCell ref="S25:T25"/>
    <mergeCell ref="G13:L13"/>
    <mergeCell ref="S18:T18"/>
    <mergeCell ref="S27:T27"/>
    <mergeCell ref="W14:AC14"/>
    <mergeCell ref="M12:R12"/>
    <mergeCell ref="S8:T8"/>
    <mergeCell ref="S11:T11"/>
    <mergeCell ref="W15:AC15"/>
    <mergeCell ref="M24:R24"/>
    <mergeCell ref="D24:F24"/>
    <mergeCell ref="G17:J17"/>
    <mergeCell ref="C16:F16"/>
    <mergeCell ref="M26:T26"/>
    <mergeCell ref="G6:J6"/>
    <mergeCell ref="C9:F9"/>
    <mergeCell ref="I4:J4"/>
    <mergeCell ref="K4:L4"/>
    <mergeCell ref="G14:J14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15" sqref="G15:J15"/>
    </sheetView>
  </sheetViews>
  <sheetFormatPr baseColWidth="8" defaultColWidth="8.5546875" defaultRowHeight="14.4"/>
  <cols>
    <col width="14" customWidth="1" style="107" min="1" max="1"/>
    <col width="4.21875" customWidth="1" style="107" min="2" max="33"/>
  </cols>
  <sheetData>
    <row r="1" ht="15" customHeight="1" s="107">
      <c r="A1" s="52" t="inlineStr">
        <is>
          <t>29 OCT 2026 (THU)  Day 2: Technical Session / Closing / Field Trip (CDA) / SCDF Parade &amp; Dinner　※28日はSCDF側がDorsett→会場を引率、29・30日はADRC側で誘導。パレード前はホテルで着替え後EXPOへ再移動（誘導要）</t>
        </is>
      </c>
    </row>
    <row r="3" ht="14.25" customHeight="1" s="107">
      <c r="B3" s="53" t="inlineStr">
        <is>
          <t>7:00</t>
        </is>
      </c>
      <c r="C3" s="53" t="n"/>
      <c r="D3" s="53" t="inlineStr">
        <is>
          <t>8:00</t>
        </is>
      </c>
      <c r="E3" s="53" t="n"/>
      <c r="F3" s="53" t="inlineStr">
        <is>
          <t>9:00</t>
        </is>
      </c>
      <c r="G3" s="53" t="n"/>
      <c r="H3" s="53" t="inlineStr">
        <is>
          <t>10:00</t>
        </is>
      </c>
      <c r="I3" s="53" t="n"/>
      <c r="J3" s="53" t="inlineStr">
        <is>
          <t>11:00</t>
        </is>
      </c>
      <c r="K3" s="53" t="n"/>
      <c r="L3" s="53" t="inlineStr">
        <is>
          <t>12:00</t>
        </is>
      </c>
      <c r="M3" s="53" t="n"/>
      <c r="N3" s="53" t="inlineStr">
        <is>
          <t>13:00</t>
        </is>
      </c>
      <c r="O3" s="53" t="n"/>
      <c r="P3" s="53" t="inlineStr">
        <is>
          <t>14:00</t>
        </is>
      </c>
      <c r="Q3" s="53" t="n"/>
      <c r="R3" s="53" t="inlineStr">
        <is>
          <t>15:00</t>
        </is>
      </c>
      <c r="S3" s="53" t="n"/>
      <c r="T3" s="53" t="inlineStr">
        <is>
          <t>16:00</t>
        </is>
      </c>
      <c r="U3" s="53" t="n"/>
      <c r="V3" s="53" t="inlineStr">
        <is>
          <t>17:00</t>
        </is>
      </c>
      <c r="W3" s="53" t="n"/>
      <c r="X3" s="53" t="inlineStr">
        <is>
          <t>18:00</t>
        </is>
      </c>
      <c r="Y3" s="53" t="n"/>
      <c r="Z3" s="53" t="inlineStr">
        <is>
          <t>19:00</t>
        </is>
      </c>
      <c r="AA3" s="53" t="n"/>
      <c r="AB3" s="53" t="inlineStr">
        <is>
          <t>20:00</t>
        </is>
      </c>
      <c r="AC3" s="53" t="n"/>
      <c r="AD3" s="53" t="inlineStr">
        <is>
          <t>21:00</t>
        </is>
      </c>
      <c r="AE3" s="53" t="n"/>
      <c r="AF3" s="53" t="inlineStr">
        <is>
          <t>22:00</t>
        </is>
      </c>
      <c r="AG3" s="53" t="n"/>
    </row>
    <row r="4" ht="30" customHeight="1" s="107">
      <c r="A4" s="54" t="inlineStr">
        <is>
          <t>PROGRAM</t>
        </is>
      </c>
      <c r="D4" s="184" t="inlineStr">
        <is>
          <t>会場準備（家具は前日のまま。AV・名札のみ）／登壇者集合・接続確認</t>
        </is>
      </c>
      <c r="E4" s="95" t="n"/>
      <c r="F4" s="98" t="inlineStr">
        <is>
          <t>Roundtable (2) 09:00-09:30（9/25案）</t>
        </is>
      </c>
      <c r="G4" s="185" t="inlineStr">
        <is>
          <t>Technical Session (Peridot) 09:30-11:30</t>
        </is>
      </c>
      <c r="H4" s="94" t="n"/>
      <c r="I4" s="94" t="n"/>
      <c r="J4" s="95" t="n"/>
      <c r="K4" s="87" t="inlineStr">
        <is>
          <t>Summary &amp; Closing</t>
        </is>
      </c>
      <c r="L4" s="167" t="inlineStr">
        <is>
          <t>Lunch</t>
        </is>
      </c>
      <c r="M4" s="95" t="n"/>
      <c r="N4" s="185" t="inlineStr">
        <is>
          <t>Field Trip: Civil Defence Academy　13:00 EXPO発 → 16:15 EXPO帰着</t>
        </is>
      </c>
      <c r="O4" s="94" t="n"/>
      <c r="P4" s="94" t="n"/>
      <c r="Q4" s="94" t="n"/>
      <c r="R4" s="94" t="n"/>
      <c r="S4" s="94" t="n"/>
      <c r="T4" s="94" t="n"/>
      <c r="U4" s="95" t="n"/>
      <c r="Y4" s="185" t="inlineStr">
        <is>
          <t>SCDF Parade (Hall 4)</t>
        </is>
      </c>
      <c r="Z4" s="94" t="n"/>
      <c r="AA4" s="95" t="n"/>
      <c r="AB4" s="185" t="inlineStr">
        <is>
          <t>Parade Dinner (Garnet Room)</t>
        </is>
      </c>
      <c r="AC4" s="94" t="n"/>
      <c r="AD4" s="95" t="n"/>
    </row>
    <row r="5" ht="3.75" customHeight="1" s="107">
      <c r="A5" s="54" t="n"/>
      <c r="D5" s="56" t="n"/>
      <c r="E5" s="56" t="n"/>
      <c r="F5" s="56" t="n"/>
      <c r="G5" s="97" t="n"/>
      <c r="H5" s="97" t="n"/>
      <c r="I5" s="97" t="n"/>
      <c r="J5" s="97" t="n"/>
      <c r="K5" s="97" t="n"/>
      <c r="L5" s="62" t="n"/>
      <c r="M5" s="62" t="n"/>
      <c r="N5" s="97" t="n"/>
      <c r="O5" s="97" t="n"/>
      <c r="P5" s="97" t="n"/>
      <c r="Q5" s="97" t="n"/>
      <c r="R5" s="97" t="n"/>
      <c r="S5" s="97" t="n"/>
      <c r="T5" s="97" t="n"/>
      <c r="U5" s="97" t="n"/>
      <c r="Y5" s="97" t="n"/>
      <c r="Z5" s="97" t="n"/>
      <c r="AA5" s="97" t="n"/>
      <c r="AB5" s="97" t="n"/>
      <c r="AC5" s="97" t="n"/>
      <c r="AD5" s="97" t="n"/>
    </row>
    <row r="6" ht="21.75" customHeight="1" s="107">
      <c r="A6" s="40">
        <f>人員一覧・判定!B5</f>
        <v/>
      </c>
      <c r="G6" s="169" t="inlineStr">
        <is>
          <t>Tech Session</t>
        </is>
      </c>
      <c r="H6" s="94" t="n"/>
      <c r="I6" s="94" t="n"/>
      <c r="J6" s="95" t="n"/>
      <c r="K6" s="169" t="inlineStr">
        <is>
          <t>Closing挨拶(Chairman) 11:51</t>
        </is>
      </c>
      <c r="N6" s="186" t="inlineStr">
        <is>
          <t>Field Trip</t>
        </is>
      </c>
      <c r="O6" s="94" t="n"/>
      <c r="P6" s="94" t="n"/>
      <c r="Q6" s="94" t="n"/>
      <c r="R6" s="94" t="n"/>
      <c r="S6" s="94" t="n"/>
      <c r="T6" s="94" t="n"/>
      <c r="U6" s="95" t="n"/>
      <c r="X6" s="64" t="n"/>
      <c r="Y6" s="167" t="inlineStr">
        <is>
          <t>Parade &amp; Dinner</t>
        </is>
      </c>
      <c r="Z6" s="94" t="n"/>
      <c r="AA6" s="94" t="n"/>
      <c r="AB6" s="94" t="n"/>
      <c r="AC6" s="94" t="n"/>
      <c r="AD6" s="95" t="n"/>
    </row>
    <row r="7" ht="21.75" customHeight="1" s="107">
      <c r="A7" s="40">
        <f>人員一覧・判定!B6</f>
        <v/>
      </c>
      <c r="G7" s="169" t="inlineStr">
        <is>
          <t>Tech Session</t>
        </is>
      </c>
      <c r="H7" s="94" t="n"/>
      <c r="I7" s="94" t="n"/>
      <c r="J7" s="95" t="n"/>
      <c r="K7" s="169" t="inlineStr">
        <is>
          <t>Closing</t>
        </is>
      </c>
      <c r="N7" s="186" t="inlineStr">
        <is>
          <t>Field Trip</t>
        </is>
      </c>
      <c r="O7" s="94" t="n"/>
      <c r="P7" s="94" t="n"/>
      <c r="Q7" s="94" t="n"/>
      <c r="R7" s="94" t="n"/>
      <c r="S7" s="94" t="n"/>
      <c r="T7" s="94" t="n"/>
      <c r="U7" s="95" t="n"/>
      <c r="X7" s="64" t="n"/>
      <c r="Y7" s="167" t="inlineStr">
        <is>
          <t>Parade &amp; Dinner</t>
        </is>
      </c>
      <c r="Z7" s="94" t="n"/>
      <c r="AA7" s="94" t="n"/>
      <c r="AB7" s="94" t="n"/>
      <c r="AC7" s="94" t="n"/>
      <c r="AD7" s="95" t="n"/>
    </row>
    <row r="8" ht="21.75" customHeight="1" s="107">
      <c r="A8" s="40">
        <f>人員一覧・判定!B7</f>
        <v/>
      </c>
      <c r="G8" s="169" t="inlineStr">
        <is>
          <t>Tech Session(内閣府随行)</t>
        </is>
      </c>
      <c r="H8" s="94" t="n"/>
      <c r="I8" s="94" t="n"/>
      <c r="J8" s="95" t="n"/>
      <c r="K8" s="169" t="inlineStr">
        <is>
          <t>Summary発表(Executive Director) 11:45</t>
        </is>
      </c>
      <c r="N8" s="186" t="inlineStr">
        <is>
          <t>Field Trip</t>
        </is>
      </c>
      <c r="O8" s="94" t="n"/>
      <c r="P8" s="94" t="n"/>
      <c r="Q8" s="94" t="n"/>
      <c r="R8" s="94" t="n"/>
      <c r="S8" s="94" t="n"/>
      <c r="T8" s="94" t="n"/>
      <c r="U8" s="95" t="n"/>
      <c r="X8" s="64" t="n"/>
      <c r="Y8" s="167" t="inlineStr">
        <is>
          <t>Parade &amp; Dinner</t>
        </is>
      </c>
      <c r="Z8" s="94" t="n"/>
      <c r="AA8" s="94" t="n"/>
      <c r="AB8" s="94" t="n"/>
      <c r="AC8" s="94" t="n"/>
      <c r="AD8" s="95" t="n"/>
    </row>
    <row r="9" ht="21.75" customHeight="1" s="107">
      <c r="A9" s="40">
        <f>人員一覧・判定!B8</f>
        <v/>
      </c>
      <c r="D9" s="156" t="inlineStr">
        <is>
          <t>会場準備</t>
        </is>
      </c>
      <c r="E9" s="94" t="n"/>
      <c r="F9" s="95" t="n"/>
      <c r="G9" s="169" t="inlineStr">
        <is>
          <t>Tech Session(バイ会談調整)</t>
        </is>
      </c>
      <c r="H9" s="94" t="n"/>
      <c r="I9" s="94" t="n"/>
      <c r="J9" s="94" t="n"/>
      <c r="K9" s="95" t="n"/>
      <c r="N9" s="187" t="inlineStr">
        <is>
          <t>事務局撤収(藤中と2名)/バイ会談</t>
        </is>
      </c>
      <c r="O9" s="94" t="n"/>
      <c r="P9" s="94" t="n"/>
      <c r="Q9" s="94" t="n"/>
      <c r="R9" s="94" t="n"/>
      <c r="S9" s="94" t="n"/>
      <c r="T9" s="94" t="n"/>
      <c r="U9" s="95" t="n"/>
      <c r="X9" s="64" t="n"/>
      <c r="Y9" s="167" t="inlineStr">
        <is>
          <t>Parade &amp; Dinner</t>
        </is>
      </c>
      <c r="Z9" s="94" t="n"/>
      <c r="AA9" s="94" t="n"/>
      <c r="AB9" s="94" t="n"/>
      <c r="AC9" s="94" t="n"/>
      <c r="AD9" s="95" t="n"/>
    </row>
    <row r="10" ht="21.75" customHeight="1" s="107">
      <c r="A10" s="40">
        <f>人員一覧・判定!B9</f>
        <v/>
      </c>
      <c r="D10" s="188" t="inlineStr">
        <is>
          <t>AV/Zoom準備／日本側と接続確認／RT(2) AV/Zoom 09:00-</t>
        </is>
      </c>
      <c r="E10" s="94" t="n"/>
      <c r="F10" s="95" t="n"/>
      <c r="G10" s="157" t="inlineStr">
        <is>
          <t>AV/Zoom運用</t>
        </is>
      </c>
      <c r="H10" s="94" t="n"/>
      <c r="I10" s="94" t="n"/>
      <c r="J10" s="95" t="n"/>
      <c r="K10" s="100" t="inlineStr">
        <is>
          <t>Summary/Closing進行/写真</t>
        </is>
      </c>
      <c r="M10" s="186" t="inlineStr">
        <is>
          <t>Field Trip引率(バス)</t>
        </is>
      </c>
      <c r="N10" s="94" t="n"/>
      <c r="O10" s="94" t="n"/>
      <c r="P10" s="94" t="n"/>
      <c r="Q10" s="94" t="n"/>
      <c r="R10" s="94" t="n"/>
      <c r="S10" s="94" t="n"/>
      <c r="T10" s="94" t="n"/>
      <c r="U10" s="95" t="n"/>
      <c r="X10" s="64" t="n"/>
      <c r="Y10" s="167" t="inlineStr">
        <is>
          <t>Parade &amp; Dinner</t>
        </is>
      </c>
      <c r="Z10" s="94" t="n"/>
      <c r="AA10" s="94" t="n"/>
      <c r="AB10" s="94" t="n"/>
      <c r="AC10" s="94" t="n"/>
      <c r="AD10" s="95" t="n"/>
    </row>
    <row r="11" ht="21.75" customHeight="1" s="107">
      <c r="A11" s="40">
        <f>人員一覧・判定!B10</f>
        <v/>
      </c>
      <c r="D11" s="178" t="inlineStr">
        <is>
          <t>Mi→EXPO誘導／RT(2)運営(PIC)・ベル 09:00-</t>
        </is>
      </c>
      <c r="E11" s="94" t="n"/>
      <c r="F11" s="95" t="n"/>
      <c r="G11" s="169" t="inlineStr">
        <is>
          <t>Tech Session記録</t>
        </is>
      </c>
      <c r="H11" s="94" t="n"/>
      <c r="I11" s="94" t="n"/>
      <c r="J11" s="94" t="n"/>
      <c r="K11" s="95" t="n"/>
      <c r="M11" s="186" t="inlineStr">
        <is>
          <t>Field Trip引率(バス)</t>
        </is>
      </c>
      <c r="N11" s="94" t="n"/>
      <c r="O11" s="94" t="n"/>
      <c r="P11" s="94" t="n"/>
      <c r="Q11" s="94" t="n"/>
      <c r="R11" s="94" t="n"/>
      <c r="S11" s="94" t="n"/>
      <c r="T11" s="94" t="n"/>
      <c r="U11" s="95" t="n"/>
      <c r="V11" s="189" t="inlineStr">
        <is>
          <t>ホテル→EXPO誘導(パレード)</t>
        </is>
      </c>
      <c r="W11" s="94" t="n"/>
      <c r="X11" s="95" t="n"/>
      <c r="Y11" s="167" t="inlineStr">
        <is>
          <t>Parade &amp; Dinner</t>
        </is>
      </c>
      <c r="Z11" s="94" t="n"/>
      <c r="AA11" s="94" t="n"/>
      <c r="AB11" s="94" t="n"/>
      <c r="AC11" s="94" t="n"/>
      <c r="AD11" s="95" t="n"/>
    </row>
    <row r="12" ht="21.75" customHeight="1" s="107">
      <c r="A12" s="40">
        <f>人員一覧・判定!B11</f>
        <v/>
      </c>
      <c r="D12" s="158" t="inlineStr">
        <is>
          <t>受付デスク/支払・清算</t>
        </is>
      </c>
      <c r="E12" s="94" t="n"/>
      <c r="F12" s="94" t="n"/>
      <c r="G12" s="94" t="n"/>
      <c r="H12" s="94" t="n"/>
      <c r="I12" s="94" t="n"/>
      <c r="J12" s="94" t="n"/>
      <c r="K12" s="95" t="n"/>
      <c r="N12" s="154" t="inlineStr">
        <is>
          <t>事務局撤収(児玉と2名)/ホテル・バス精算</t>
        </is>
      </c>
      <c r="O12" s="94" t="n"/>
      <c r="P12" s="94" t="n"/>
      <c r="Q12" s="94" t="n"/>
      <c r="R12" s="94" t="n"/>
      <c r="S12" s="94" t="n"/>
      <c r="T12" s="94" t="n"/>
      <c r="U12" s="95" t="n"/>
      <c r="X12" s="64" t="n"/>
      <c r="Y12" s="167" t="inlineStr">
        <is>
          <t>Parade &amp; Dinner</t>
        </is>
      </c>
      <c r="Z12" s="94" t="n"/>
      <c r="AA12" s="94" t="n"/>
      <c r="AB12" s="94" t="n"/>
      <c r="AC12" s="94" t="n"/>
      <c r="AD12" s="95" t="n"/>
    </row>
    <row r="13" ht="21.75" customHeight="1" s="107">
      <c r="A13" s="40">
        <f>人員一覧・判定!B12</f>
        <v/>
      </c>
      <c r="D13" s="158" t="inlineStr">
        <is>
          <t>Dorsett→EXPO誘導(8-9)→受付デスク</t>
        </is>
      </c>
      <c r="E13" s="94" t="n"/>
      <c r="F13" s="94" t="n"/>
      <c r="G13" s="94" t="n"/>
      <c r="H13" s="94" t="n"/>
      <c r="I13" s="94" t="n"/>
      <c r="J13" s="94" t="n"/>
      <c r="K13" s="95" t="n"/>
      <c r="M13" s="186" t="inlineStr">
        <is>
          <t>Field Trip名簿/バス点呼</t>
        </is>
      </c>
      <c r="N13" s="94" t="n"/>
      <c r="O13" s="94" t="n"/>
      <c r="P13" s="94" t="n"/>
      <c r="Q13" s="94" t="n"/>
      <c r="R13" s="94" t="n"/>
      <c r="S13" s="94" t="n"/>
      <c r="T13" s="94" t="n"/>
      <c r="U13" s="95" t="n"/>
      <c r="V13" s="189" t="inlineStr">
        <is>
          <t>ホテル→EXPO誘導(パレード)</t>
        </is>
      </c>
      <c r="W13" s="94" t="n"/>
      <c r="X13" s="95" t="n"/>
      <c r="Y13" s="167" t="inlineStr">
        <is>
          <t>Parade &amp; Dinner</t>
        </is>
      </c>
      <c r="Z13" s="94" t="n"/>
      <c r="AA13" s="94" t="n"/>
      <c r="AB13" s="94" t="n"/>
      <c r="AC13" s="94" t="n"/>
      <c r="AD13" s="95" t="n"/>
    </row>
    <row r="14" ht="21.75" customHeight="1" s="107">
      <c r="A14" s="40">
        <f>人員一覧・判定!B13</f>
        <v/>
      </c>
      <c r="D14" s="190" t="inlineStr">
        <is>
          <t>登壇者集合・スライド確認／接続確認／RT(2) PC・スクリーン</t>
        </is>
      </c>
      <c r="E14" s="94" t="n"/>
      <c r="F14" s="95" t="n"/>
      <c r="G14" s="169" t="inlineStr">
        <is>
          <t>Tech Session運営(PIC)</t>
        </is>
      </c>
      <c r="H14" s="94" t="n"/>
      <c r="I14" s="94" t="n"/>
      <c r="J14" s="95" t="n"/>
      <c r="N14" s="157" t="inlineStr">
        <is>
          <t>SIDEX展示/Japan Pavilion調整</t>
        </is>
      </c>
      <c r="O14" s="94" t="n"/>
      <c r="P14" s="94" t="n"/>
      <c r="Q14" s="94" t="n"/>
      <c r="R14" s="94" t="n"/>
      <c r="S14" s="94" t="n"/>
      <c r="T14" s="94" t="n"/>
      <c r="U14" s="95" t="n"/>
      <c r="X14" s="64" t="n"/>
      <c r="Y14" s="167" t="inlineStr">
        <is>
          <t>Parade &amp; Dinner</t>
        </is>
      </c>
      <c r="Z14" s="94" t="n"/>
      <c r="AA14" s="94" t="n"/>
      <c r="AB14" s="94" t="n"/>
      <c r="AC14" s="94" t="n"/>
      <c r="AD14" s="95" t="n"/>
    </row>
    <row r="15" ht="21.75" customHeight="1" s="107">
      <c r="A15" s="58">
        <f>人員一覧・判定!C14</f>
        <v/>
      </c>
      <c r="D15" s="191" t="inlineStr">
        <is>
          <t>Draft Summary仕上げ／RT(2)ノート</t>
        </is>
      </c>
      <c r="E15" s="94" t="n"/>
      <c r="F15" s="95" t="n"/>
      <c r="G15" s="169" t="inlineStr">
        <is>
          <t>Tech Sessionノート/Summaryスライド最終化</t>
        </is>
      </c>
      <c r="H15" s="94" t="n"/>
      <c r="I15" s="94" t="n"/>
      <c r="J15" s="95" t="n"/>
      <c r="K15" s="100" t="inlineStr">
        <is>
          <t>Summary(起草、発表は宮木所長)</t>
        </is>
      </c>
      <c r="N15" s="186" t="inlineStr">
        <is>
          <t>Field Trip</t>
        </is>
      </c>
      <c r="O15" s="94" t="n"/>
      <c r="P15" s="94" t="n"/>
      <c r="Q15" s="94" t="n"/>
      <c r="R15" s="94" t="n"/>
      <c r="S15" s="94" t="n"/>
      <c r="T15" s="94" t="n"/>
      <c r="U15" s="95" t="n"/>
      <c r="X15" s="64" t="n"/>
      <c r="Y15" s="167" t="inlineStr">
        <is>
          <t>Parade &amp; Dinner</t>
        </is>
      </c>
      <c r="Z15" s="94" t="n"/>
      <c r="AA15" s="94" t="n"/>
      <c r="AB15" s="94" t="n"/>
      <c r="AC15" s="94" t="n"/>
      <c r="AD15" s="95" t="n"/>
    </row>
    <row r="16" ht="21.75" customHeight="1" s="107">
      <c r="A16" s="40">
        <f>人員一覧・判定!C15</f>
        <v/>
      </c>
      <c r="D16" s="171" t="inlineStr">
        <is>
          <t>登壇者対応・進行確認</t>
        </is>
      </c>
      <c r="E16" s="94" t="n"/>
      <c r="F16" s="95" t="n"/>
      <c r="G16" s="169" t="inlineStr">
        <is>
          <t xml:space="preserve"> Co-Chair</t>
        </is>
      </c>
      <c r="H16" s="94" t="n"/>
      <c r="I16" s="94" t="n"/>
      <c r="J16" s="95" t="n"/>
      <c r="N16" s="186" t="inlineStr">
        <is>
          <t>Field Trip</t>
        </is>
      </c>
      <c r="O16" s="94" t="n"/>
      <c r="P16" s="94" t="n"/>
      <c r="Q16" s="94" t="n"/>
      <c r="R16" s="94" t="n"/>
      <c r="S16" s="94" t="n"/>
      <c r="T16" s="94" t="n"/>
      <c r="U16" s="95" t="n"/>
      <c r="X16" s="64" t="n"/>
      <c r="Y16" s="167" t="inlineStr">
        <is>
          <t>Parade &amp; Dinner</t>
        </is>
      </c>
      <c r="Z16" s="94" t="n"/>
      <c r="AA16" s="94" t="n"/>
      <c r="AB16" s="94" t="n"/>
      <c r="AC16" s="94" t="n"/>
      <c r="AD16" s="95" t="n"/>
    </row>
    <row r="17" ht="21.75" customHeight="1" s="107">
      <c r="A17" s="40">
        <f>人員一覧・判定!B16</f>
        <v/>
      </c>
      <c r="D17" s="156" t="inlineStr">
        <is>
          <t>Zoom/AI翻訳準備</t>
        </is>
      </c>
      <c r="E17" s="94" t="n"/>
      <c r="F17" s="95" t="n"/>
      <c r="G17" s="156" t="inlineStr">
        <is>
          <t>Zoom・AI翻訳オペ/写真</t>
        </is>
      </c>
      <c r="H17" s="94" t="n"/>
      <c r="I17" s="94" t="n"/>
      <c r="J17" s="94" t="n"/>
      <c r="K17" s="95" t="n"/>
      <c r="N17" s="192" t="inlineStr">
        <is>
          <t>Field Trip写真 or 事務局撤収</t>
        </is>
      </c>
      <c r="O17" s="94" t="n"/>
      <c r="P17" s="94" t="n"/>
      <c r="Q17" s="94" t="n"/>
      <c r="R17" s="94" t="n"/>
      <c r="S17" s="94" t="n"/>
      <c r="T17" s="94" t="n"/>
      <c r="U17" s="95" t="n"/>
      <c r="X17" s="64" t="n"/>
      <c r="Y17" s="160" t="inlineStr">
        <is>
          <t>Parade(写真)</t>
        </is>
      </c>
      <c r="Z17" s="94" t="n"/>
      <c r="AA17" s="94" t="n"/>
      <c r="AB17" s="94" t="n"/>
      <c r="AC17" s="94" t="n"/>
      <c r="AD17" s="95" t="n"/>
    </row>
    <row r="18" ht="21.75" customHeight="1" s="107">
      <c r="A18" s="40">
        <f>人員一覧・判定!B17</f>
        <v/>
      </c>
      <c r="D18" s="178" t="inlineStr">
        <is>
          <t>Dorsett→EXPO誘導／RT(2)記録</t>
        </is>
      </c>
      <c r="E18" s="94" t="n"/>
      <c r="F18" s="95" t="n"/>
      <c r="G18" s="193" t="inlineStr">
        <is>
          <t>カメラ、フロア対応</t>
        </is>
      </c>
      <c r="H18" s="94" t="n"/>
      <c r="I18" s="94" t="n"/>
      <c r="J18" s="94" t="n"/>
      <c r="K18" s="95" t="n"/>
      <c r="N18" s="192" t="inlineStr">
        <is>
          <t>Field Trip</t>
        </is>
      </c>
      <c r="O18" s="94" t="n"/>
      <c r="P18" s="94" t="n"/>
      <c r="Q18" s="94" t="n"/>
      <c r="R18" s="94" t="n"/>
      <c r="S18" s="94" t="n"/>
      <c r="T18" s="94" t="n"/>
      <c r="U18" s="95" t="n"/>
      <c r="V18" s="189" t="inlineStr">
        <is>
          <t>ホテル→EXPO誘導(パレード)</t>
        </is>
      </c>
      <c r="W18" s="94" t="n"/>
      <c r="X18" s="95" t="n"/>
      <c r="Y18" s="160" t="inlineStr">
        <is>
          <t>Parade &amp; Dinner</t>
        </is>
      </c>
      <c r="Z18" s="94" t="n"/>
      <c r="AA18" s="94" t="n"/>
      <c r="AB18" s="94" t="n"/>
      <c r="AC18" s="94" t="n"/>
      <c r="AD18" s="95" t="n"/>
    </row>
    <row r="19" ht="14.25" customHeight="1" s="107">
      <c r="A19" s="10" t="inlineStr">
        <is>
          <t>稼働人数(自動)</t>
        </is>
      </c>
      <c r="B19" s="59">
        <f>COUNTA(B5:B18)</f>
        <v/>
      </c>
      <c r="C19" s="59">
        <f>COUNTA(C5:C18)</f>
        <v/>
      </c>
      <c r="D19" s="59">
        <f>COUNTA(D5:D18)</f>
        <v/>
      </c>
      <c r="E19" s="59">
        <f>COUNTA(E5:E18)</f>
        <v/>
      </c>
      <c r="F19" s="59">
        <f>COUNTA(F5:F18)</f>
        <v/>
      </c>
      <c r="G19" s="59">
        <f>COUNTA(G5:G18)</f>
        <v/>
      </c>
      <c r="H19" s="59">
        <f>COUNTA(H5:H18)</f>
        <v/>
      </c>
      <c r="I19" s="59">
        <f>COUNTA(I5:I18)</f>
        <v/>
      </c>
      <c r="J19" s="59">
        <f>COUNTA(J5:J18)</f>
        <v/>
      </c>
      <c r="K19" s="59">
        <f>COUNTA(K5:K18)</f>
        <v/>
      </c>
      <c r="L19" s="59">
        <f>COUNTA(L5:L18)</f>
        <v/>
      </c>
      <c r="M19" s="59">
        <f>COUNTA(M5:M18)</f>
        <v/>
      </c>
      <c r="N19" s="59">
        <f>COUNTA(N5:N18)</f>
        <v/>
      </c>
      <c r="O19" s="59">
        <f>COUNTA(O5:O18)</f>
        <v/>
      </c>
      <c r="P19" s="59">
        <f>COUNTA(P5:P18)</f>
        <v/>
      </c>
      <c r="Q19" s="59">
        <f>COUNTA(Q5:Q18)</f>
        <v/>
      </c>
      <c r="R19" s="59">
        <f>COUNTA(R5:R18)</f>
        <v/>
      </c>
      <c r="S19" s="59">
        <f>COUNTA(S5:S18)</f>
        <v/>
      </c>
      <c r="T19" s="59">
        <f>COUNTA(T5:T18)</f>
        <v/>
      </c>
      <c r="U19" s="59">
        <f>COUNTA(U5:U18)</f>
        <v/>
      </c>
      <c r="V19" s="59">
        <f>COUNTA(V5:V18)</f>
        <v/>
      </c>
      <c r="W19" s="59">
        <f>COUNTA(W5:W18)</f>
        <v/>
      </c>
      <c r="X19" s="59">
        <f>COUNTA(X5:X18)</f>
        <v/>
      </c>
      <c r="Y19" s="59">
        <f>COUNTA(Y5:Y18)</f>
        <v/>
      </c>
      <c r="Z19" s="59">
        <f>COUNTA(Z5:Z18)</f>
        <v/>
      </c>
      <c r="AA19" s="59">
        <f>COUNTA(AA5:AA18)</f>
        <v/>
      </c>
      <c r="AB19" s="59">
        <f>COUNTA(AB5:AB18)</f>
        <v/>
      </c>
      <c r="AC19" s="59">
        <f>COUNTA(AC5:AC18)</f>
        <v/>
      </c>
      <c r="AD19" s="59">
        <f>COUNTA(AD5:AD18)</f>
        <v/>
      </c>
      <c r="AE19" s="59">
        <f>COUNTA(AE5:AE18)</f>
        <v/>
      </c>
      <c r="AF19" s="59">
        <f>COUNTA(AF5:AF18)</f>
        <v/>
      </c>
      <c r="AG19" s="59">
        <f>COUNTA(AG5:AG18)</f>
        <v/>
      </c>
    </row>
    <row r="20" ht="14.25" customHeight="1" s="107">
      <c r="A20" s="60" t="n"/>
    </row>
    <row r="21" ht="60" customHeight="1" s="107">
      <c r="A21" s="106" t="inlineStr">
        <is>
          <t>【9/25】29日は09:00からRT(2)（案）、続けてTS。日本側（中村・山口）はJST 10:00開始。11:30のサマリーに向け、TSは発表原稿から事前に概要案を作成（池田・Mizan→Gerry）、RTは当日作成。フィールドトリップの点呼・誘導担当は未定（要決定）。朝のHotel Mi／Dorsett→EXPO誘導が必要。　(1)TCのオンライン事前ブリーフィングは9/29が第一候補。
留意事項:
 (1) Technical SessionはMizan=Co-Chair、池田=PIC、荒木田=AV/Zoomで、塩見＝カメラとフロア担当。
(2) 11:45-12:00のSummary &amp; ClosingはRT(前日)の要約が前提で、Gerryの執筆時間（Day1夜〜Day2朝）を確保する必要がある。
【9/29-30】Summary＝宮木所長（Executive Director）が発表、Gerry起草（28日夜〜29日朝）。Closing Remarks＝三浦センター長（Chairman）＋SCDF代表【TBC】。写真担当に荒木田を追加。TS登壇者: Google (Ms Sirada Boonkongchuen)、JAXA、BRIN (Dr Yenni Vetrita)、YI-Lab (Mr Pradip Khatiwada)、Uzbekistan（回答待ち）、内閣府枠（Spectee＋1社、15分）。RT(2) 09:00-09:30＝Uzbekistan・Viet Nam（各5分）→アドバイザー国→ADPC→ADB・AHA Centre・Google・オンライン（各3分）。進行シナリオ案0929参照。
【10/1 内閣府スケジュール 9/28 版】御手洗参事官: RT Part 2・TS・Closing 出席、Field Trip 参加、18:00 SIDEX 意見交換会→22:50 発。中根補佐: RT Part 2・TS・Closing、18:30 SCDF パレード・レセプション。青木・起塚: 18:00 SIDEX 意見交換会。30 日は中根・青木・起塚が 09:00 会場入り、22:20 発。</t>
        </is>
      </c>
    </row>
    <row r="22" ht="14.25" customHeight="1" s="107">
      <c r="A22" t="inlineStr">
        <is>
          <t>None</t>
        </is>
      </c>
    </row>
    <row r="23" ht="14.25" customHeight="1" s="107">
      <c r="A23" s="108" t="inlineStr">
        <is>
          <t>日本側サポート（神戸）※列はシンガポール時間、JSTは+1時間</t>
        </is>
      </c>
    </row>
    <row r="24" ht="21.75" customHeight="1" s="107">
      <c r="A24" s="49">
        <f>人員一覧・判定!B18</f>
        <v/>
      </c>
      <c r="D24" s="162" t="inlineStr">
        <is>
          <t>Webinar起動・AI通訳・現地接続確認 (JST9-10:30)</t>
        </is>
      </c>
      <c r="E24" s="94" t="n"/>
      <c r="F24" s="95" t="n"/>
      <c r="G24" s="162" t="inlineStr">
        <is>
          <t>TS/Closing: Q&amp;A・コメント確認・AI通訳監視</t>
        </is>
      </c>
      <c r="H24" s="94" t="n"/>
      <c r="I24" s="94" t="n"/>
      <c r="J24" s="94" t="n"/>
      <c r="K24" s="95" t="n"/>
      <c r="N24" s="162" t="inlineStr">
        <is>
          <t>Webinar終了処理・ログ回収</t>
        </is>
      </c>
      <c r="O24" s="95" t="n"/>
    </row>
    <row r="25" ht="21.75" customHeight="1" s="107">
      <c r="A25" s="49">
        <f>人員一覧・判定!B19</f>
        <v/>
      </c>
      <c r="D25" s="161" t="inlineStr">
        <is>
          <t>録画準備</t>
        </is>
      </c>
      <c r="E25" s="94" t="n"/>
      <c r="F25" s="95" t="n"/>
      <c r="G25" s="162" t="inlineStr">
        <is>
          <t>TS/Closing 録画・オンライン質疑取次</t>
        </is>
      </c>
      <c r="H25" s="94" t="n"/>
      <c r="I25" s="94" t="n"/>
      <c r="J25" s="94" t="n"/>
      <c r="K25" s="95" t="n"/>
      <c r="N25" s="161" t="inlineStr">
        <is>
          <t>録画データ整理・保存</t>
        </is>
      </c>
      <c r="O25" s="94" t="n"/>
      <c r="P25" s="94" t="n"/>
      <c r="Q25" s="94" t="n"/>
      <c r="R25" s="94" t="n"/>
      <c r="S25" s="95" t="n"/>
    </row>
    <row r="26" ht="21.75" customHeight="1" s="107">
      <c r="A26" s="49">
        <f>人員一覧・判定!B21</f>
        <v/>
      </c>
      <c r="G26" s="194" t="inlineStr">
        <is>
          <t>録画(日英)ローカル保存 ※仮置き</t>
        </is>
      </c>
      <c r="H26" s="94" t="n"/>
      <c r="I26" s="94" t="n"/>
      <c r="J26" s="94" t="n"/>
      <c r="K26" s="95" t="n"/>
    </row>
    <row r="27" ht="21.75" customHeight="1" s="107">
      <c r="A27" s="49">
        <f>人員一覧・判定!B20</f>
        <v/>
      </c>
      <c r="D27" s="166" t="inlineStr">
        <is>
          <t>Webinarホスト・録画確認 ※仮置き</t>
        </is>
      </c>
      <c r="E27" s="94" t="n"/>
      <c r="F27" s="95" t="n"/>
    </row>
    <row r="28" ht="14.25" customHeight="1" s="107">
      <c r="A28" s="86" t="inlineStr">
        <is>
          <t>※WebinarとZoomはクラウド録画をバックアップとし、ローカルにも保存（2025年運用）。</t>
        </is>
      </c>
    </row>
  </sheetData>
  <mergeCells count="66">
    <mergeCell ref="M11:U11"/>
    <mergeCell ref="D11:F11"/>
    <mergeCell ref="Y11:AD11"/>
    <mergeCell ref="D27:F27"/>
    <mergeCell ref="M10:U10"/>
    <mergeCell ref="N4:U4"/>
    <mergeCell ref="Y14:AD14"/>
    <mergeCell ref="G4:J4"/>
    <mergeCell ref="Y10:AD10"/>
    <mergeCell ref="N16:U16"/>
    <mergeCell ref="G11:K11"/>
    <mergeCell ref="N7:U7"/>
    <mergeCell ref="D17:F17"/>
    <mergeCell ref="G16:J16"/>
    <mergeCell ref="Y17:AD17"/>
    <mergeCell ref="M13:U13"/>
    <mergeCell ref="D16:F16"/>
    <mergeCell ref="Y16:AD16"/>
    <mergeCell ref="V11:X11"/>
    <mergeCell ref="G17:K17"/>
    <mergeCell ref="Y7:AD7"/>
    <mergeCell ref="Y6:AD6"/>
    <mergeCell ref="N12:U12"/>
    <mergeCell ref="A21:AD21"/>
    <mergeCell ref="A23:L23"/>
    <mergeCell ref="D18:F18"/>
    <mergeCell ref="Y13:AD13"/>
    <mergeCell ref="Y18:AD18"/>
    <mergeCell ref="D13:K13"/>
    <mergeCell ref="D9:F9"/>
    <mergeCell ref="D25:F25"/>
    <mergeCell ref="Y12:AD12"/>
    <mergeCell ref="D15:F15"/>
    <mergeCell ref="N18:U18"/>
    <mergeCell ref="G18:K18"/>
    <mergeCell ref="N14:U14"/>
    <mergeCell ref="D24:F24"/>
    <mergeCell ref="N17:U17"/>
    <mergeCell ref="D14:F14"/>
    <mergeCell ref="N8:U8"/>
    <mergeCell ref="L4:M4"/>
    <mergeCell ref="G8:J8"/>
    <mergeCell ref="G24:K24"/>
    <mergeCell ref="V18:X18"/>
    <mergeCell ref="Y8:AD8"/>
    <mergeCell ref="D4:E4"/>
    <mergeCell ref="Y4:AA4"/>
    <mergeCell ref="G7:J7"/>
    <mergeCell ref="G10:J10"/>
    <mergeCell ref="D10:F10"/>
    <mergeCell ref="G26:K26"/>
    <mergeCell ref="D12:K12"/>
    <mergeCell ref="N9:U9"/>
    <mergeCell ref="G6:J6"/>
    <mergeCell ref="N25:S25"/>
    <mergeCell ref="N6:U6"/>
    <mergeCell ref="N24:O24"/>
    <mergeCell ref="Y15:AD15"/>
    <mergeCell ref="N15:U15"/>
    <mergeCell ref="G25:K25"/>
    <mergeCell ref="Y9:AD9"/>
    <mergeCell ref="V13:X13"/>
    <mergeCell ref="AB4:AD4"/>
    <mergeCell ref="G15:J15"/>
    <mergeCell ref="G9:K9"/>
    <mergeCell ref="G14:J14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V4" sqref="V4:AF4"/>
    </sheetView>
  </sheetViews>
  <sheetFormatPr baseColWidth="8" defaultColWidth="8.5546875" defaultRowHeight="14.4"/>
  <cols>
    <col width="14" customWidth="1" style="107" min="1" max="1"/>
    <col width="4.21875" customWidth="1" style="107" min="2" max="33"/>
  </cols>
  <sheetData>
    <row r="1" ht="15" customHeight="1" s="107">
      <c r="A1" s="52" t="inlineStr">
        <is>
          <t>30 OCT 2026 (FRI)  Day 3: SIDEX-ACDR Keynote / Panels / Exhibition Tour / Closing / 出発</t>
        </is>
      </c>
    </row>
    <row r="3" ht="14.25" customHeight="1" s="107">
      <c r="B3" s="53" t="inlineStr">
        <is>
          <t>7:00</t>
        </is>
      </c>
      <c r="C3" s="53" t="n"/>
      <c r="D3" s="53" t="inlineStr">
        <is>
          <t>8:00</t>
        </is>
      </c>
      <c r="E3" s="53" t="n"/>
      <c r="F3" s="53" t="inlineStr">
        <is>
          <t>9:00</t>
        </is>
      </c>
      <c r="G3" s="53" t="n"/>
      <c r="H3" s="53" t="inlineStr">
        <is>
          <t>10:00</t>
        </is>
      </c>
      <c r="I3" s="53" t="n"/>
      <c r="J3" s="53" t="inlineStr">
        <is>
          <t>11:00</t>
        </is>
      </c>
      <c r="K3" s="53" t="n"/>
      <c r="L3" s="53" t="inlineStr">
        <is>
          <t>12:00</t>
        </is>
      </c>
      <c r="M3" s="53" t="n"/>
      <c r="N3" s="53" t="inlineStr">
        <is>
          <t>13:00</t>
        </is>
      </c>
      <c r="O3" s="53" t="n"/>
      <c r="P3" s="53" t="inlineStr">
        <is>
          <t>14:00</t>
        </is>
      </c>
      <c r="Q3" s="53" t="n"/>
      <c r="R3" s="53" t="inlineStr">
        <is>
          <t>15:00</t>
        </is>
      </c>
      <c r="S3" s="53" t="n"/>
      <c r="T3" s="53" t="inlineStr">
        <is>
          <t>16:00</t>
        </is>
      </c>
      <c r="U3" s="53" t="n"/>
      <c r="V3" s="53" t="inlineStr">
        <is>
          <t>17:00</t>
        </is>
      </c>
      <c r="W3" s="53" t="n"/>
      <c r="X3" s="53" t="inlineStr">
        <is>
          <t>18:00</t>
        </is>
      </c>
      <c r="Y3" s="53" t="n"/>
      <c r="Z3" s="53" t="inlineStr">
        <is>
          <t>19:00</t>
        </is>
      </c>
      <c r="AA3" s="53" t="n"/>
      <c r="AB3" s="53" t="inlineStr">
        <is>
          <t>20:00</t>
        </is>
      </c>
      <c r="AC3" s="53" t="n"/>
      <c r="AD3" s="53" t="inlineStr">
        <is>
          <t>21:00</t>
        </is>
      </c>
      <c r="AE3" s="53" t="n"/>
      <c r="AF3" s="53" t="inlineStr">
        <is>
          <t>22:00</t>
        </is>
      </c>
      <c r="AG3" s="53" t="n"/>
    </row>
    <row r="4" ht="30" customHeight="1" s="107">
      <c r="A4" s="54" t="inlineStr">
        <is>
          <t>PROGRAM</t>
        </is>
      </c>
      <c r="F4" s="167" t="inlineStr">
        <is>
          <t>Keynote &amp; Panel 1 (Hall 3)</t>
        </is>
      </c>
      <c r="G4" s="94" t="n"/>
      <c r="H4" s="94" t="n"/>
      <c r="I4" s="94" t="n"/>
      <c r="J4" s="94" t="n"/>
      <c r="K4" s="95" t="n"/>
      <c r="L4" s="167" t="inlineStr">
        <is>
          <t>Lunch</t>
        </is>
      </c>
      <c r="M4" s="94" t="n"/>
      <c r="N4" s="95" t="n"/>
      <c r="O4" s="167" t="inlineStr">
        <is>
          <t>Exhibition Tour</t>
        </is>
      </c>
      <c r="P4" s="95" t="n"/>
      <c r="R4" s="167" t="inlineStr">
        <is>
          <t>Panel 2</t>
        </is>
      </c>
      <c r="S4" s="94" t="n"/>
      <c r="T4" s="95" t="n"/>
      <c r="U4" s="97" t="inlineStr">
        <is>
          <t>Closing Ceremony</t>
        </is>
      </c>
      <c r="V4" s="184" t="inlineStr">
        <is>
          <t>出発: 藤本 11/1 03:05(TR818、藤中・田中と同便)・塩見21:00(TG410)/荒木田22:20/北本23:55/吉田22:05/アゼルバイジャン23:15/インドネシア22:40/モンゴル23:55、三浦・韓国は10/31 01:20-01:35</t>
        </is>
      </c>
      <c r="W4" s="94" t="n"/>
      <c r="X4" s="94" t="n"/>
      <c r="Y4" s="94" t="n"/>
      <c r="Z4" s="94" t="n"/>
      <c r="AA4" s="94" t="n"/>
      <c r="AB4" s="94" t="n"/>
      <c r="AC4" s="94" t="n"/>
      <c r="AD4" s="94" t="n"/>
      <c r="AE4" s="94" t="n"/>
      <c r="AF4" s="95" t="n"/>
    </row>
    <row r="5" ht="3" customHeight="1" s="107">
      <c r="A5" s="54" t="n"/>
      <c r="F5" s="97" t="n"/>
      <c r="G5" s="97" t="n"/>
      <c r="H5" s="97" t="n"/>
      <c r="I5" s="97" t="n"/>
      <c r="J5" s="97" t="n"/>
      <c r="K5" s="97" t="n"/>
      <c r="L5" s="62" t="n"/>
      <c r="M5" s="62" t="n"/>
      <c r="N5" s="62" t="n"/>
      <c r="O5" s="97" t="n"/>
      <c r="P5" s="97" t="n"/>
      <c r="R5" s="97" t="n"/>
      <c r="S5" s="97" t="n"/>
      <c r="T5" s="97" t="n"/>
      <c r="U5" s="62" t="n"/>
      <c r="V5" s="56" t="n"/>
      <c r="W5" s="56" t="n"/>
      <c r="X5" s="56" t="n"/>
      <c r="Y5" s="56" t="n"/>
      <c r="Z5" s="56" t="n"/>
      <c r="AA5" s="56" t="n"/>
      <c r="AB5" s="56" t="n"/>
      <c r="AC5" s="56" t="n"/>
      <c r="AD5" s="102" t="n"/>
      <c r="AE5" s="102" t="n"/>
      <c r="AF5" s="102" t="n"/>
    </row>
    <row r="6" ht="21.75" customHeight="1" s="107">
      <c r="A6" s="40">
        <f>人員一覧・判定!B5</f>
        <v/>
      </c>
      <c r="F6" s="169" t="inlineStr">
        <is>
          <t>Keynote/Panel1</t>
        </is>
      </c>
      <c r="G6" s="94" t="n"/>
      <c r="H6" s="94" t="n"/>
      <c r="I6" s="94" t="n"/>
      <c r="J6" s="94" t="n"/>
      <c r="K6" s="95" t="n"/>
      <c r="O6" s="169" t="inlineStr">
        <is>
          <t>Exhibition Tour/Panel2/Closing</t>
        </is>
      </c>
      <c r="P6" s="94" t="n"/>
      <c r="Q6" s="94" t="n"/>
      <c r="R6" s="94" t="n"/>
      <c r="S6" s="94" t="n"/>
      <c r="T6" s="95" t="n"/>
      <c r="AD6" s="195" t="inlineStr">
        <is>
          <t>空港へ(SQ656 01:20)</t>
        </is>
      </c>
      <c r="AE6" s="94" t="n"/>
      <c r="AF6" s="95" t="n"/>
    </row>
    <row r="7" ht="21.75" customHeight="1" s="107">
      <c r="A7" s="40">
        <f>人員一覧・判定!B6</f>
        <v/>
      </c>
      <c r="F7" s="169" t="inlineStr">
        <is>
          <t>Keynote/Panel1</t>
        </is>
      </c>
      <c r="G7" s="94" t="n"/>
      <c r="H7" s="94" t="n"/>
      <c r="I7" s="94" t="n"/>
      <c r="J7" s="94" t="n"/>
      <c r="K7" s="95" t="n"/>
      <c r="O7" s="169" t="inlineStr">
        <is>
          <t>Exhibition Tour/Panel2/Closing</t>
        </is>
      </c>
      <c r="P7" s="94" t="n"/>
      <c r="Q7" s="94" t="n"/>
      <c r="R7" s="94" t="n"/>
      <c r="S7" s="94" t="n"/>
      <c r="T7" s="95" t="n"/>
      <c r="AC7" s="196" t="inlineStr">
        <is>
          <t>空港へ(SQ638 23:55)</t>
        </is>
      </c>
      <c r="AD7" s="94" t="n"/>
      <c r="AE7" s="94" t="n"/>
      <c r="AF7" s="95" t="n"/>
    </row>
    <row r="8" ht="21.75" customHeight="1" s="107">
      <c r="A8" s="40">
        <f>人員一覧・判定!B7</f>
        <v/>
      </c>
      <c r="F8" s="169" t="inlineStr">
        <is>
          <t>Keynote/Panel1</t>
        </is>
      </c>
      <c r="G8" s="94" t="n"/>
      <c r="H8" s="94" t="n"/>
      <c r="I8" s="94" t="n"/>
      <c r="J8" s="94" t="n"/>
      <c r="K8" s="95" t="n"/>
      <c r="O8" s="169" t="inlineStr">
        <is>
          <t>Exhibition Tour/Panel2/Closing</t>
        </is>
      </c>
      <c r="P8" s="94" t="n"/>
      <c r="Q8" s="94" t="n"/>
      <c r="R8" s="94" t="n"/>
      <c r="S8" s="94" t="n"/>
      <c r="T8" s="95" t="n"/>
      <c r="V8" s="154" t="inlineStr">
        <is>
          <t>内閣府見送り/総括</t>
        </is>
      </c>
      <c r="W8" s="94" t="n"/>
      <c r="X8" s="94" t="n"/>
      <c r="Y8" s="95" t="n"/>
    </row>
    <row r="9" ht="21.75" customHeight="1" s="107">
      <c r="A9" s="40">
        <f>人員一覧・判定!B8</f>
        <v/>
      </c>
      <c r="F9" s="169" t="inlineStr">
        <is>
          <t>Keynote/Panel1</t>
        </is>
      </c>
      <c r="G9" s="94" t="n"/>
      <c r="H9" s="94" t="n"/>
      <c r="I9" s="94" t="n"/>
      <c r="J9" s="94" t="n"/>
      <c r="K9" s="95" t="n"/>
      <c r="O9" s="169" t="inlineStr">
        <is>
          <t>Exhibition Tour(誘導)/Panel2</t>
        </is>
      </c>
      <c r="P9" s="94" t="n"/>
      <c r="Q9" s="94" t="n"/>
      <c r="R9" s="94" t="n"/>
      <c r="S9" s="94" t="n"/>
      <c r="T9" s="95" t="n"/>
      <c r="V9" s="158" t="inlineStr">
        <is>
          <t>出発対応(Dorsett)・COSEM精算打合せ</t>
        </is>
      </c>
      <c r="W9" s="94" t="n"/>
      <c r="X9" s="94" t="n"/>
      <c r="Y9" s="94" t="n"/>
      <c r="Z9" s="94" t="n"/>
      <c r="AA9" s="95" t="n"/>
    </row>
    <row r="10" ht="21.75" customHeight="1" s="107">
      <c r="A10" s="40">
        <f>人員一覧・判定!B9</f>
        <v/>
      </c>
      <c r="F10" s="169" t="inlineStr">
        <is>
          <t>Keynote/Panel1(リソース対応)</t>
        </is>
      </c>
      <c r="G10" s="94" t="n"/>
      <c r="H10" s="94" t="n"/>
      <c r="I10" s="94" t="n"/>
      <c r="J10" s="94" t="n"/>
      <c r="K10" s="95" t="n"/>
      <c r="O10" s="169" t="inlineStr">
        <is>
          <t>Exhibition Tour/Panel2/Closing</t>
        </is>
      </c>
      <c r="P10" s="94" t="n"/>
      <c r="Q10" s="94" t="n"/>
      <c r="R10" s="94" t="n"/>
      <c r="S10" s="94" t="n"/>
      <c r="T10" s="95" t="n"/>
      <c r="V10" s="154" t="inlineStr">
        <is>
          <t>総括・引継ぎ</t>
        </is>
      </c>
      <c r="W10" s="94" t="n"/>
      <c r="X10" s="94" t="n"/>
      <c r="Y10" s="95" t="n"/>
      <c r="AA10" s="196" t="inlineStr">
        <is>
          <t>空港へ(NH844 22:20)</t>
        </is>
      </c>
      <c r="AB10" s="94" t="n"/>
      <c r="AC10" s="94" t="n"/>
      <c r="AD10" s="94" t="n"/>
      <c r="AE10" s="94" t="n"/>
      <c r="AF10" s="95" t="n"/>
    </row>
    <row r="11" ht="21.75" customHeight="1" s="107">
      <c r="A11" s="40">
        <f>人員一覧・判定!B10</f>
        <v/>
      </c>
      <c r="D11" s="197" t="inlineStr">
        <is>
          <t>Dorsett→EXPO誘導</t>
        </is>
      </c>
      <c r="E11" s="95" t="n"/>
      <c r="F11" s="169" t="inlineStr">
        <is>
          <t>Keynote/Panel1</t>
        </is>
      </c>
      <c r="G11" s="94" t="n"/>
      <c r="H11" s="94" t="n"/>
      <c r="I11" s="94" t="n"/>
      <c r="J11" s="94" t="n"/>
      <c r="K11" s="95" t="n"/>
      <c r="O11" s="169" t="inlineStr">
        <is>
          <t>Exhibition Tour/Panel2</t>
        </is>
      </c>
      <c r="P11" s="94" t="n"/>
      <c r="Q11" s="94" t="n"/>
      <c r="R11" s="94" t="n"/>
      <c r="S11" s="94" t="n"/>
      <c r="T11" s="95" t="n"/>
      <c r="V11" s="158" t="inlineStr">
        <is>
          <t>参加者出発案内</t>
        </is>
      </c>
      <c r="W11" s="94" t="n"/>
      <c r="X11" s="94" t="n"/>
      <c r="Y11" s="95" t="n"/>
      <c r="AB11" s="196" t="inlineStr">
        <is>
          <t>空港へ(AY132 22:05)</t>
        </is>
      </c>
      <c r="AC11" s="94" t="n"/>
      <c r="AD11" s="94" t="n"/>
      <c r="AE11" s="94" t="n"/>
      <c r="AF11" s="95" t="n"/>
    </row>
    <row r="12" ht="21.75" customHeight="1" s="107">
      <c r="A12" s="40">
        <f>人員一覧・判定!B11</f>
        <v/>
      </c>
      <c r="F12" s="158" t="inlineStr">
        <is>
          <t>受付/清算</t>
        </is>
      </c>
      <c r="G12" s="94" t="n"/>
      <c r="H12" s="94" t="n"/>
      <c r="I12" s="94" t="n"/>
      <c r="J12" s="94" t="n"/>
      <c r="K12" s="95" t="n"/>
      <c r="O12" s="158" t="inlineStr">
        <is>
          <t>会場(受付)</t>
        </is>
      </c>
      <c r="P12" s="94" t="n"/>
      <c r="Q12" s="94" t="n"/>
      <c r="R12" s="94" t="n"/>
      <c r="S12" s="94" t="n"/>
      <c r="T12" s="95" t="n"/>
      <c r="V12" s="159" t="inlineStr">
        <is>
          <t>Dorsett出発対応・支払</t>
        </is>
      </c>
      <c r="W12" s="94" t="n"/>
      <c r="X12" s="94" t="n"/>
      <c r="Y12" s="94" t="n"/>
      <c r="Z12" s="94" t="n"/>
      <c r="AA12" s="94" t="n"/>
      <c r="AB12" s="94" t="n"/>
      <c r="AC12" s="95" t="n"/>
    </row>
    <row r="13" ht="21.75" customHeight="1" s="107">
      <c r="A13" s="40">
        <f>人員一覧・判定!B12</f>
        <v/>
      </c>
      <c r="D13" s="197" t="inlineStr">
        <is>
          <t>Dorsett→EXPO誘導</t>
        </is>
      </c>
      <c r="E13" s="95" t="n"/>
      <c r="F13" s="158" t="inlineStr">
        <is>
          <t>受付</t>
        </is>
      </c>
      <c r="G13" s="94" t="n"/>
      <c r="H13" s="94" t="n"/>
      <c r="I13" s="94" t="n"/>
      <c r="J13" s="94" t="n"/>
      <c r="K13" s="95" t="n"/>
      <c r="O13" s="158" t="inlineStr">
        <is>
          <t>会場(受付)</t>
        </is>
      </c>
      <c r="P13" s="94" t="n"/>
      <c r="Q13" s="94" t="n"/>
      <c r="R13" s="94" t="n"/>
      <c r="S13" s="94" t="n"/>
      <c r="T13" s="95" t="n"/>
      <c r="V13" s="159" t="inlineStr">
        <is>
          <t>Dorsett出発対応・送迎確認</t>
        </is>
      </c>
      <c r="W13" s="94" t="n"/>
      <c r="X13" s="94" t="n"/>
      <c r="Y13" s="94" t="n"/>
      <c r="Z13" s="94" t="n"/>
      <c r="AA13" s="94" t="n"/>
      <c r="AB13" s="94" t="n"/>
      <c r="AC13" s="95" t="n"/>
    </row>
    <row r="14" ht="21.75" customHeight="1" s="107">
      <c r="A14" s="40">
        <f>人員一覧・判定!B13</f>
        <v/>
      </c>
      <c r="F14" s="169" t="inlineStr">
        <is>
          <t>Keynote/Panel1</t>
        </is>
      </c>
      <c r="G14" s="94" t="n"/>
      <c r="H14" s="94" t="n"/>
      <c r="I14" s="94" t="n"/>
      <c r="J14" s="94" t="n"/>
      <c r="K14" s="95" t="n"/>
      <c r="O14" s="198" t="inlineStr">
        <is>
          <t>Exhibition Tour誘導(Japan Pavilion)</t>
        </is>
      </c>
      <c r="P14" s="94" t="n"/>
      <c r="Q14" s="95" t="n"/>
      <c r="R14" s="169" t="inlineStr">
        <is>
          <t>Panel2/Closing</t>
        </is>
      </c>
      <c r="S14" s="94" t="n"/>
      <c r="T14" s="95" t="n"/>
      <c r="V14" s="156" t="inlineStr">
        <is>
          <t>機材撤収</t>
        </is>
      </c>
      <c r="W14" s="94" t="n"/>
      <c r="X14" s="94" t="n"/>
      <c r="Y14" s="95" t="n"/>
      <c r="AE14" s="199" t="inlineStr">
        <is>
          <t>空港へ(01:30発)</t>
        </is>
      </c>
      <c r="AF14" s="95" t="n"/>
    </row>
    <row r="15" ht="21.75" customHeight="1" s="107">
      <c r="A15" s="58">
        <f>人員一覧・判定!C14</f>
        <v/>
      </c>
      <c r="F15" s="169" t="inlineStr">
        <is>
          <t>Keynote/Panel1/Summary最終化</t>
        </is>
      </c>
      <c r="G15" s="94" t="n"/>
      <c r="H15" s="94" t="n"/>
      <c r="I15" s="94" t="n"/>
      <c r="J15" s="94" t="n"/>
      <c r="K15" s="95" t="n"/>
      <c r="O15" s="169" t="inlineStr">
        <is>
          <t>Exhibition Tour/Panel2</t>
        </is>
      </c>
      <c r="P15" s="94" t="n"/>
      <c r="Q15" s="94" t="n"/>
      <c r="R15" s="94" t="n"/>
      <c r="S15" s="94" t="n"/>
      <c r="T15" s="95" t="n"/>
      <c r="AE15" s="199" t="inlineStr">
        <is>
          <t>空港へ(01:30発)</t>
        </is>
      </c>
      <c r="AF15" s="95" t="n"/>
    </row>
    <row r="16" ht="21.75" customHeight="1" s="107">
      <c r="A16" s="40">
        <f>人員一覧・判定!C15</f>
        <v/>
      </c>
      <c r="F16" s="169" t="inlineStr">
        <is>
          <t>Keynote/Panel1</t>
        </is>
      </c>
      <c r="G16" s="94" t="n"/>
      <c r="H16" s="94" t="n"/>
      <c r="I16" s="94" t="n"/>
      <c r="J16" s="94" t="n"/>
      <c r="K16" s="95" t="n"/>
      <c r="O16" s="169" t="inlineStr">
        <is>
          <t>Exhibition Tour/Panel2</t>
        </is>
      </c>
      <c r="P16" s="94" t="n"/>
      <c r="Q16" s="94" t="n"/>
      <c r="R16" s="94" t="n"/>
      <c r="S16" s="94" t="n"/>
      <c r="T16" s="95" t="n"/>
    </row>
    <row r="17" ht="21.75" customHeight="1" s="107">
      <c r="A17" s="40">
        <f>人員一覧・判定!B16</f>
        <v/>
      </c>
      <c r="F17" s="156" t="inlineStr">
        <is>
          <t>写真/誘導</t>
        </is>
      </c>
      <c r="G17" s="94" t="n"/>
      <c r="H17" s="94" t="n"/>
      <c r="I17" s="94" t="n"/>
      <c r="J17" s="94" t="n"/>
      <c r="K17" s="95" t="n"/>
      <c r="O17" s="156" t="inlineStr">
        <is>
          <t>Exhibition Tour誘導/写真</t>
        </is>
      </c>
      <c r="P17" s="94" t="n"/>
      <c r="Q17" s="94" t="n"/>
      <c r="R17" s="94" t="n"/>
      <c r="S17" s="94" t="n"/>
      <c r="T17" s="95" t="n"/>
      <c r="V17" s="158" t="inlineStr">
        <is>
          <t>帰国準備→深夜空港へ（TR818 11/1 03:05発、藤中・田中と同便）</t>
        </is>
      </c>
      <c r="W17" s="94" t="n"/>
      <c r="X17" s="94" t="n"/>
      <c r="Y17" s="94" t="n"/>
      <c r="Z17" s="94" t="n"/>
      <c r="AA17" s="95" t="n"/>
    </row>
    <row r="18" ht="21.75" customHeight="1" s="107">
      <c r="A18" s="40">
        <f>人員一覧・判定!B17</f>
        <v/>
      </c>
      <c r="F18" s="179" t="inlineStr">
        <is>
          <t>Keynote記録</t>
        </is>
      </c>
      <c r="G18" s="94" t="n"/>
      <c r="H18" s="94" t="n"/>
      <c r="I18" s="94" t="n"/>
      <c r="J18" s="94" t="n"/>
      <c r="K18" s="95" t="n"/>
      <c r="O18" s="158" t="inlineStr">
        <is>
          <t>参加者誘導</t>
        </is>
      </c>
      <c r="P18" s="94" t="n"/>
      <c r="Q18" s="94" t="n"/>
      <c r="R18" s="94" t="n"/>
      <c r="S18" s="94" t="n"/>
      <c r="T18" s="95" t="n"/>
      <c r="V18" s="158" t="inlineStr">
        <is>
          <t>帰国準備→空港へ（TG410 21:00発。閉会16:50後すぐ移動）</t>
        </is>
      </c>
      <c r="W18" s="94" t="n"/>
      <c r="X18" s="94" t="n"/>
      <c r="Y18" s="94" t="n"/>
      <c r="Z18" s="94" t="n"/>
      <c r="AA18" s="95" t="n"/>
    </row>
    <row r="19" ht="14.25" customHeight="1" s="107">
      <c r="A19" s="10" t="inlineStr">
        <is>
          <t>稼働人数(自動)</t>
        </is>
      </c>
      <c r="B19" s="59">
        <f>COUNTA(B5:B18)</f>
        <v/>
      </c>
      <c r="C19" s="59">
        <f>COUNTA(C5:C18)</f>
        <v/>
      </c>
      <c r="D19" s="59">
        <f>COUNTA(D5:D18)</f>
        <v/>
      </c>
      <c r="E19" s="59">
        <f>COUNTA(E5:E18)</f>
        <v/>
      </c>
      <c r="F19" s="59">
        <f>COUNTA(F5:F18)</f>
        <v/>
      </c>
      <c r="G19" s="59">
        <f>COUNTA(G5:G18)</f>
        <v/>
      </c>
      <c r="H19" s="59">
        <f>COUNTA(H5:H18)</f>
        <v/>
      </c>
      <c r="I19" s="59">
        <f>COUNTA(I5:I18)</f>
        <v/>
      </c>
      <c r="J19" s="59">
        <f>COUNTA(J5:J18)</f>
        <v/>
      </c>
      <c r="K19" s="59">
        <f>COUNTA(K5:K18)</f>
        <v/>
      </c>
      <c r="L19" s="59">
        <f>COUNTA(L5:L18)</f>
        <v/>
      </c>
      <c r="M19" s="59">
        <f>COUNTA(M5:M18)</f>
        <v/>
      </c>
      <c r="N19" s="59">
        <f>COUNTA(N5:N18)</f>
        <v/>
      </c>
      <c r="O19" s="59">
        <f>COUNTA(O5:O18)</f>
        <v/>
      </c>
      <c r="P19" s="59">
        <f>COUNTA(P5:P18)</f>
        <v/>
      </c>
      <c r="Q19" s="59">
        <f>COUNTA(Q5:Q18)</f>
        <v/>
      </c>
      <c r="R19" s="59">
        <f>COUNTA(R5:R18)</f>
        <v/>
      </c>
      <c r="S19" s="59">
        <f>COUNTA(S5:S18)</f>
        <v/>
      </c>
      <c r="T19" s="59">
        <f>COUNTA(T5:T18)</f>
        <v/>
      </c>
      <c r="U19" s="59">
        <f>COUNTA(U5:U18)</f>
        <v/>
      </c>
      <c r="V19" s="59">
        <f>COUNTA(V5:V18)</f>
        <v/>
      </c>
      <c r="W19" s="59">
        <f>COUNTA(W5:W18)</f>
        <v/>
      </c>
      <c r="X19" s="59">
        <f>COUNTA(X5:X18)</f>
        <v/>
      </c>
      <c r="Y19" s="59">
        <f>COUNTA(Y5:Y18)</f>
        <v/>
      </c>
      <c r="Z19" s="59">
        <f>COUNTA(Z5:Z18)</f>
        <v/>
      </c>
      <c r="AA19" s="59">
        <f>COUNTA(AA5:AA18)</f>
        <v/>
      </c>
      <c r="AB19" s="59">
        <f>COUNTA(AB5:AB18)</f>
        <v/>
      </c>
      <c r="AC19" s="59">
        <f>COUNTA(AC5:AC18)</f>
        <v/>
      </c>
      <c r="AD19" s="59">
        <f>COUNTA(AD5:AD18)</f>
        <v/>
      </c>
      <c r="AE19" s="59">
        <f>COUNTA(AE5:AE18)</f>
        <v/>
      </c>
      <c r="AF19" s="59">
        <f>COUNTA(AF5:AF18)</f>
        <v/>
      </c>
      <c r="AG19" s="59">
        <f>COUNTA(AG5:AG18)</f>
        <v/>
      </c>
    </row>
    <row r="20" ht="14.25" customHeight="1" s="107">
      <c r="A20" s="60" t="n"/>
    </row>
    <row r="21" ht="60" customHeight="1" s="107">
      <c r="A21" s="106" t="inlineStr">
        <is>
          <t>留意事項:
(1) 10/30夜〜10/31午前に出発が集中（メンバー国15組以上、役員3名）する。　【9/25】3日目はSIDEX側の運営。西川専門員がパネリスト。ACDR本体は29日11:30のサマリーで終了。</t>
        </is>
      </c>
    </row>
    <row r="22" ht="14.25" customHeight="1" s="107"/>
    <row r="23" ht="14.25" customHeight="1" s="107">
      <c r="A23" s="108" t="inlineStr">
        <is>
          <t>日本側サポート（神戸）※列はシンガポール時間、JSTは+1時間</t>
        </is>
      </c>
    </row>
    <row r="24" ht="21.75" customHeight="1" s="107">
      <c r="A24" s="49">
        <f>人員一覧・判定!B18</f>
        <v/>
      </c>
      <c r="F24" s="200" t="inlineStr">
        <is>
          <t>（SIDEX配信はSCDF側）Webinar/Zoom終了処理・AI通訳ログ整理</t>
        </is>
      </c>
      <c r="G24" s="94" t="n"/>
      <c r="H24" s="94" t="n"/>
      <c r="I24" s="94" t="n"/>
      <c r="J24" s="94" t="n"/>
      <c r="K24" s="95" t="n"/>
    </row>
    <row r="25" ht="21.75" customHeight="1" s="107">
      <c r="A25" s="49">
        <f>人員一覧・判定!B19</f>
        <v/>
      </c>
      <c r="F25" s="161" t="inlineStr">
        <is>
          <t>録画データ整理・保存（報告書・Highlights用）</t>
        </is>
      </c>
      <c r="G25" s="94" t="n"/>
      <c r="H25" s="94" t="n"/>
      <c r="I25" s="94" t="n"/>
      <c r="J25" s="94" t="n"/>
      <c r="K25" s="94" t="n"/>
      <c r="L25" s="94" t="n"/>
      <c r="M25" s="94" t="n"/>
      <c r="N25" s="94" t="n"/>
      <c r="O25" s="94" t="n"/>
      <c r="P25" s="94" t="n"/>
      <c r="Q25" s="94" t="n"/>
      <c r="R25" s="94" t="n"/>
      <c r="S25" s="95" t="n"/>
    </row>
    <row r="26" ht="14.25" customHeight="1" s="107">
      <c r="A26" s="60" t="n"/>
    </row>
  </sheetData>
  <mergeCells count="53">
    <mergeCell ref="F24:K24"/>
    <mergeCell ref="V12:AC12"/>
    <mergeCell ref="AD6:AF6"/>
    <mergeCell ref="F18:K18"/>
    <mergeCell ref="V9:AA9"/>
    <mergeCell ref="F17:K17"/>
    <mergeCell ref="F8:K8"/>
    <mergeCell ref="F25:S25"/>
    <mergeCell ref="L4:N4"/>
    <mergeCell ref="O16:T16"/>
    <mergeCell ref="V13:AC13"/>
    <mergeCell ref="V4:AF4"/>
    <mergeCell ref="D13:E13"/>
    <mergeCell ref="D11:E11"/>
    <mergeCell ref="F13:K13"/>
    <mergeCell ref="A23:L23"/>
    <mergeCell ref="AC7:AF7"/>
    <mergeCell ref="O12:T12"/>
    <mergeCell ref="F9:K9"/>
    <mergeCell ref="AE14:AF14"/>
    <mergeCell ref="O17:T17"/>
    <mergeCell ref="O4:P4"/>
    <mergeCell ref="O8:T8"/>
    <mergeCell ref="O11:T11"/>
    <mergeCell ref="V14:Y14"/>
    <mergeCell ref="O14:Q14"/>
    <mergeCell ref="V8:Y8"/>
    <mergeCell ref="F14:K14"/>
    <mergeCell ref="AB11:AF11"/>
    <mergeCell ref="R14:T14"/>
    <mergeCell ref="V18:AA18"/>
    <mergeCell ref="O13:T13"/>
    <mergeCell ref="V10:Y10"/>
    <mergeCell ref="A21:AF21"/>
    <mergeCell ref="F4:K4"/>
    <mergeCell ref="O7:T7"/>
    <mergeCell ref="V17:AA17"/>
    <mergeCell ref="F11:K11"/>
    <mergeCell ref="O10:T10"/>
    <mergeCell ref="O6:T6"/>
    <mergeCell ref="F16:K16"/>
    <mergeCell ref="F10:K10"/>
    <mergeCell ref="AE15:AF15"/>
    <mergeCell ref="F6:K6"/>
    <mergeCell ref="O15:T15"/>
    <mergeCell ref="O18:T18"/>
    <mergeCell ref="AA10:AF10"/>
    <mergeCell ref="O9:T9"/>
    <mergeCell ref="R4:T4"/>
    <mergeCell ref="F7:K7"/>
    <mergeCell ref="V11:Y11"/>
    <mergeCell ref="F12:K12"/>
    <mergeCell ref="F15:K15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topLeftCell="A11" zoomScaleNormal="100" workbookViewId="0">
      <selection activeCell="A19" sqref="A19:G19"/>
    </sheetView>
  </sheetViews>
  <sheetFormatPr baseColWidth="8" defaultColWidth="8.5546875" defaultRowHeight="14.4"/>
  <cols>
    <col width="22" customWidth="1" style="107" min="1" max="2"/>
    <col width="10" customWidth="1" style="107" min="3" max="3"/>
    <col width="30" customWidth="1" style="107" min="4" max="4"/>
    <col width="8" customWidth="1" style="107" min="5" max="5"/>
    <col width="44" customWidth="1" style="107" min="6" max="7"/>
  </cols>
  <sheetData>
    <row r="1" ht="15" customHeight="1" s="107">
      <c r="A1" s="65" t="inlineStr">
        <is>
          <t>機能別 必要人数と充足状況（現時点の確定・見込メンバーでの判定）</t>
        </is>
      </c>
    </row>
    <row r="2" ht="31.5" customHeight="1" s="107">
      <c r="A2" s="121" t="n"/>
    </row>
    <row r="4" ht="26.25" customHeight="1" s="107">
      <c r="A4" s="3" t="inlineStr">
        <is>
          <t>機能</t>
        </is>
      </c>
      <c r="B4" s="3" t="inlineStr">
        <is>
          <t>ピーク時間帯</t>
        </is>
      </c>
      <c r="C4" s="3" t="inlineStr">
        <is>
          <t>必要人数(目安)</t>
        </is>
      </c>
      <c r="D4" s="3" t="inlineStr">
        <is>
          <t>現在の担当（確定・見込）</t>
        </is>
      </c>
      <c r="E4" s="3" t="inlineStr">
        <is>
          <t>充足</t>
        </is>
      </c>
      <c r="F4" s="3" t="inlineStr">
        <is>
          <t>ギャップ・リスク</t>
        </is>
      </c>
      <c r="G4" s="3" t="inlineStr">
        <is>
          <t>対応案（追加要員の配置）</t>
        </is>
      </c>
    </row>
    <row r="5" ht="90" customHeight="1" s="107">
      <c r="A5" s="5" t="inlineStr">
        <is>
          <t>受付・参加者デスク（会場／公邸／ホテル）</t>
        </is>
      </c>
      <c r="B5" s="4" t="inlineStr">
        <is>
          <t>10/26夕〜10/27（到着・名札配布）、10/28-29終日</t>
        </is>
      </c>
      <c r="C5" s="4" t="inlineStr">
        <is>
          <t>3</t>
        </is>
      </c>
      <c r="D5" s="5" t="inlineStr">
        <is>
          <t>藤中、田中（＋吉田は10/27夜・10/28午前のみ）</t>
        </is>
      </c>
      <c r="E5" s="66" t="inlineStr">
        <is>
          <t>△</t>
        </is>
      </c>
      <c r="F5" s="4" t="inlineStr">
        <is>
          <t>ACDR2023は3名体制（堀池・藤中・田中）。今回は名札セットのQR配布(100-120名)と宿泊37室/泊の対応が加わる。</t>
        </is>
      </c>
      <c r="G5" s="5" t="inlineStr">
        <is>
          <t>藤本を3人目として配置（本人8/7『アドミサポート・会議補助なら可』）。または寺坂（デマケ上のリスト出力担当）。</t>
        </is>
      </c>
    </row>
    <row r="6" ht="90" customHeight="1" s="107">
      <c r="A6" s="4" t="inlineStr">
        <is>
          <t>AV・PC・Zoom・AI翻訳オペレーション（現地側）</t>
        </is>
      </c>
      <c r="B6" s="4" t="inlineStr">
        <is>
          <t>10/28 07:30-16:45、10/29 08:00-12:00</t>
        </is>
      </c>
      <c r="C6" s="4" t="inlineStr">
        <is>
          <t>2（うち1名は現地専任）</t>
        </is>
      </c>
      <c r="D6" s="5" t="inlineStr">
        <is>
          <t>現地: 荒木田、池田／日本側: 中村（Zoom・AI通訳設定・Q&amp;A確認）、山口（録画・オンライン質疑）</t>
        </is>
      </c>
      <c r="E6" s="66" t="inlineStr">
        <is>
          <t>△</t>
        </is>
      </c>
      <c r="F6" s="5" t="inlineStr">
        <is>
          <t>Zoomホスト・AI通訳監視・Q&amp;A・録画は2025年同様に神戸側、現地の負荷は『会場AVとAI通訳端末の物理接続・トラブル一次対応』に絞られる。Webinar進行・機材・スクリーンをホスト国（SCDF/COSEM）側が担えるか確認中。会場は横長レイアウトへ変更交渉中、レイアウト表を次回までに作成</t>
        </is>
      </c>
      <c r="G6" s="5" t="inlineStr">
        <is>
          <t>現地の一次対応は藤本を推奨。会場AVはSCDF側スタッフに操作依頼できるか9月合同会議で確認。日本側と現地の連絡手段（WhatsApp等）と時差1時間の運用ルールを事前に決める。</t>
        </is>
      </c>
    </row>
    <row r="7" ht="90" customHeight="1" s="107">
      <c r="A7" s="5" t="inlineStr">
        <is>
          <t>セッション運営（RT・Tech Session）</t>
        </is>
      </c>
      <c r="B7" s="4" t="inlineStr">
        <is>
          <t>10/28 13:00-15:30、10/29 09:30-12:00</t>
        </is>
      </c>
      <c r="C7" s="4" t="inlineStr">
        <is>
          <t>3（PIC・Co-Chair・フロア）</t>
        </is>
      </c>
      <c r="D7" s="4" t="inlineStr">
        <is>
          <t>RT: 吉田・Gerry／TS: Mizan(Co-Chair)・池田</t>
        </is>
      </c>
      <c r="E7" s="66" t="inlineStr">
        <is>
          <t>△</t>
        </is>
      </c>
      <c r="F7" s="4" t="inlineStr">
        <is>
          <t>TSはMizanが登壇側に回ると、登壇者6名の誘導・時間管理・Q&amp;A取次を行うフロア担当が池田1名。</t>
        </is>
      </c>
      <c r="G7" s="7" t="inlineStr">
        <is>
          <t>塩見（承諾済み）をRT/TSの記録・フロア補助に配置。</t>
        </is>
      </c>
    </row>
    <row r="8" ht="90" customHeight="1" s="107">
      <c r="A8" s="5" t="inlineStr">
        <is>
          <t>写真・動画記録（Highlight Movie含む）</t>
        </is>
      </c>
      <c r="B8" s="5" t="inlineStr">
        <is>
          <t>会期中全日</t>
        </is>
      </c>
      <c r="C8" s="4" t="inlineStr">
        <is>
          <t>1</t>
        </is>
      </c>
      <c r="D8" s="5" t="inlineStr">
        <is>
          <t>藤本（撮影を主担当、児玉 9/4）</t>
        </is>
      </c>
      <c r="E8" s="67" t="inlineStr">
        <is>
          <t>○</t>
        </is>
      </c>
      <c r="F8" s="5" t="inlineStr">
        <is>
          <t>藤本が撮影主担当で本人承諾済み（9/4）。COSEM側の公式カメラマンの有無と集合写真の場所・時刻はCOSEM協議事項</t>
        </is>
      </c>
      <c r="G8" s="5" t="inlineStr">
        <is>
          <t>撮影計画（Opening集合写真、RT、TS、公邸、パレード）を作成。ハイライト動画の編集場所と素材受渡しをCOSEMと確認</t>
        </is>
      </c>
    </row>
    <row r="9" ht="90" customHeight="1" s="107">
      <c r="A9" s="4" t="inlineStr">
        <is>
          <t>Field Trip引率（CDA、バス点呼）</t>
        </is>
      </c>
      <c r="B9" s="4" t="inlineStr">
        <is>
          <t>10/29 13:00-17:15</t>
        </is>
      </c>
      <c r="C9" s="4" t="inlineStr">
        <is>
          <t>2-3</t>
        </is>
      </c>
      <c r="D9" s="5" t="inlineStr">
        <is>
          <t>荒木田、吉田（デマケ）、田中（名簿）</t>
        </is>
      </c>
      <c r="E9" s="67" t="inlineStr">
        <is>
          <t>○</t>
        </is>
      </c>
      <c r="F9" s="5" t="inlineStr">
        <is>
          <t>引率自体は足りるが、同時刻に会場撤収・Day3準備・バイ会談が残る（児玉・藤中・池田）。</t>
        </is>
      </c>
      <c r="G9" s="7" t="inlineStr">
        <is>
          <t>現状維持。塩見参加で引率を1名追加可能。</t>
        </is>
      </c>
    </row>
    <row r="10" ht="90" customHeight="1" s="107">
      <c r="A10" s="5" t="inlineStr">
        <is>
          <t>到着・出発対応（空港・ホテル）</t>
        </is>
      </c>
      <c r="B10" s="4" t="inlineStr">
        <is>
          <t>10/26 15:00-24:00、10/27午前、10/30夜〜10/31午前</t>
        </is>
      </c>
      <c r="C10" s="4" t="inlineStr">
        <is>
          <t>2</t>
        </is>
      </c>
      <c r="D10" s="5" t="inlineStr">
        <is>
          <t>藤中、田中（COSEMが空港送迎）</t>
        </is>
      </c>
      <c r="E10" s="66" t="inlineStr">
        <is>
          <t>△</t>
        </is>
      </c>
      <c r="F10" s="4" t="inlineStr">
        <is>
          <t>10/26は宮木・児玉が前日（10/25夜）入りしているためDorsett到着対応を分担できる。一方10/31朝は宮木・児玉（06:35発）、池田・Gerry（深夜発）も帰国し、見送り・清算は藤中・田中の2名のみ。</t>
        </is>
      </c>
      <c r="G10" s="4" t="inlineStr">
        <is>
          <t>10/26夕方は宮木・児玉・藤中・田中でDorsett対応（藤本は17:30着で夕方から合流可、塩見は19:55着）。10/31朝は藤中・田中の2名で見送り・清算。</t>
        </is>
      </c>
    </row>
    <row r="11" ht="90" customHeight="1" s="107">
      <c r="A11" s="5" t="inlineStr">
        <is>
          <t>オンライン配信・録画・Q&amp;A（日本側）</t>
        </is>
      </c>
      <c r="B11" s="4" t="inlineStr">
        <is>
          <t>10/28 12:30-16:45、10/29 08:00-12:00（SGT）</t>
        </is>
      </c>
      <c r="C11" s="4" t="inlineStr">
        <is>
          <t>2＋バックアップ</t>
        </is>
      </c>
      <c r="D11" s="7" t="inlineStr">
        <is>
          <t>中村（Zoom Webinar/Meeting設定・ホスト、AI通訳設定・監視、Q&amp;A確認）、山口（録画クラウド＋ローカル、オンライン質疑）／寺坂（録画日英）、伊達（ホスト確認）</t>
        </is>
      </c>
      <c r="E11" s="67" t="inlineStr">
        <is>
          <t>○</t>
        </is>
      </c>
      <c r="F11" s="4" t="inlineStr">
        <is>
          <t>2025年はSC・ACDRとも神戸側でWebinar設定・録画・Q&amp;A確認を行い問題なし。今回はAI通訳が加わるため、事前リハーサル（10/26-27）で現地端末との接続確認が必要。</t>
        </is>
      </c>
      <c r="G11" s="4" t="inlineStr">
        <is>
          <t>10/26-27に中村・山口が現地（荒木田・池田）と接続テスト。寺坂・伊達のバックアップ要否を本人に確認。</t>
        </is>
      </c>
    </row>
    <row r="12" ht="90" customHeight="1" s="107">
      <c r="A12" s="5" t="inlineStr">
        <is>
          <t>参加者誘導（Dorsett⇔EXPO、パレード前）</t>
        </is>
      </c>
      <c r="B12" s="4" t="inlineStr">
        <is>
          <t>10/29・30 朝 08:00-09:00、10/29 17:00-18:30</t>
        </is>
      </c>
      <c r="C12" s="4" t="inlineStr">
        <is>
          <t>2</t>
        </is>
      </c>
      <c r="D12" s="5" t="inlineStr">
        <is>
          <t>田中、吉田、塩見</t>
        </is>
      </c>
      <c r="E12" s="66" t="inlineStr">
        <is>
          <t>△</t>
        </is>
      </c>
      <c r="F12" s="4" t="inlineStr">
        <is>
          <t>9/4打合せ: SCDFの引率は28日のみ。29・30日朝と、パレード前（ホテルで着替え後にEXPOへ再移動、渋滞で遅れるリスク）の誘導はADRC側で必要。参加者リストを作って担当を割り当てる（荒木田アクション）</t>
        </is>
      </c>
      <c r="G12" s="4" t="inlineStr">
        <is>
          <t>Field Trip参加者リストを基に誘導担当を確定。バス・タクシーの手配はCOSEMと調整。ドレスコードを事前周知</t>
        </is>
      </c>
    </row>
    <row r="13" ht="14.25" customHeight="1" s="107">
      <c r="A13" s="68" t="inlineStr">
        <is>
          <t>今後のスケジュール（9/4打合せ）</t>
        </is>
      </c>
    </row>
    <row r="14" ht="30" customHeight="1" s="107">
      <c r="A14" s="151" t="inlineStr">
        <is>
          <t>・9/12: Google登壇者の回答期限。TS登壇者（JAXA確定、内閣府枠でJapan Pavilion出展企業2社程度、モデレーター代替候補、Mizan=Co-Chair案）を荒木田が池田と確認しインビテーション発出</t>
        </is>
      </c>
    </row>
    <row r="15" ht="30" customHeight="1" s="107">
      <c r="A15" s="151" t="inlineStr">
        <is>
          <t>・9月下旬: 次回所内打合せ（会場レイアウト表、COSEMとの役割分担案、動態表更新版を提示）</t>
        </is>
      </c>
    </row>
    <row r="16" ht="30" customHeight="1" s="107">
      <c r="A16" s="151" t="inlineStr">
        <is>
          <t>・10/9(金) 理想、遅くとも10/13-16: ロジ最終版・アジェンダ最終ドラフト・SC書類を完成、メンバー国・参加者へ送付（藤中）</t>
        </is>
      </c>
    </row>
    <row r="17" ht="30" customHeight="1" s="107">
      <c r="A17" s="151" t="inlineStr">
        <is>
          <t>・10/13: Final Announcement（開催2週間前）</t>
        </is>
      </c>
    </row>
    <row r="18" ht="30" customHeight="1" s="107">
      <c r="A18" s="151" t="inlineStr">
        <is>
          <t>・10/26-27: 現地入り、日本側との接続・運用テスト、27日午前に全員で会場下見</t>
        </is>
      </c>
    </row>
    <row r="19" ht="30" customHeight="1" s="107">
      <c r="A19" s="151" t="inlineStr">
        <is>
          <t>・広報: 内閣府・県庁記者クラブへのプレスリリース（管理部と宮木）、神戸新聞記者（7月来訪、ネパール取材）へ案内（荒木田）</t>
        </is>
      </c>
    </row>
    <row r="20" ht="30" customHeight="1" s="107">
      <c r="A20" s="151" t="inlineStr">
        <is>
          <t>・9/25 所内打合せ: RT分割案（RT(1) 28日13:00-15:00、SC 15:15-16:15、RT(2) 29日09:00-09:30）をCOSEM（9/29合同会議）・内閣府へ提案。10/9全確定、10/13 Final Announcement。</t>
        </is>
      </c>
    </row>
    <row r="21" ht="30" customHeight="1" s="107">
      <c r="A21" s="151" t="inlineStr">
        <is>
          <t>・9/25 後の確認事項: ①Mizanのフライト（唯一未確定）、②フィールドトリップの点呼・誘導担当、③27日の前日設営に残る者（会場の前日利用可能時刻次第）、④事務局席の前方再配置、⑤27日午前の大使表敬（足立氏と調整）。</t>
        </is>
      </c>
    </row>
  </sheetData>
  <mergeCells count="9">
    <mergeCell ref="A14:G14"/>
    <mergeCell ref="A17:G17"/>
    <mergeCell ref="A18:G18"/>
    <mergeCell ref="A21:G21"/>
    <mergeCell ref="A20:G20"/>
    <mergeCell ref="A16:G16"/>
    <mergeCell ref="A2:G2"/>
    <mergeCell ref="A15:G15"/>
    <mergeCell ref="A19:G19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4"/>
  <sheetViews>
    <sheetView zoomScaleNormal="100" workbookViewId="0">
      <pane xSplit="3" ySplit="4" topLeftCell="D24" activePane="bottomRight" state="frozen"/>
      <selection pane="topRight" activeCell="D1" sqref="D1"/>
      <selection pane="bottomLeft" activeCell="A5" sqref="A5"/>
      <selection pane="bottomRight" activeCell="A1" sqref="A1"/>
    </sheetView>
  </sheetViews>
  <sheetFormatPr baseColWidth="8" defaultColWidth="8.5546875" defaultRowHeight="14.4"/>
  <cols>
    <col width="5" customWidth="1" style="107" min="1" max="1"/>
    <col width="12" customWidth="1" style="107" min="2" max="2"/>
    <col width="26" customWidth="1" style="107" min="3" max="3"/>
    <col width="44" customWidth="1" style="107" min="4" max="4"/>
    <col width="48" customWidth="1" style="107" min="5" max="5"/>
    <col width="30" customWidth="1" style="107" min="6" max="6"/>
    <col width="14" customWidth="1" style="107" min="7" max="8"/>
    <col width="9" customWidth="1" style="107" min="9" max="9"/>
  </cols>
  <sheetData>
    <row r="1" ht="16.5" customHeight="1" s="107">
      <c r="A1" s="69" t="inlineStr">
        <is>
          <t>COSEM/SCDFとの協議事項（役割分担・ドレスコード・会場・導線・記録・事務・プログラム）　as of 2026/9/30 v2_93</t>
        </is>
      </c>
    </row>
    <row r="2" ht="39.75" customHeight="1" s="107">
      <c r="A2" s="121" t="inlineStr">
        <is>
          <t>協議の場: 第5回合同会議（9/15、オンライン。Sylvia 6/18・内閣府8/31資料で確認）＋メール＋Zoom（9/4 荒木田）。5月の事前協議チェックリストで「未対応」のまま残る項目を再掲し、9/4所内打合せで出た論点を加えた。合意内容はGI改訂（Final Announcement 10/13前）と運営マニュアルに反映する。状態: 未協議／協議中／合意。</t>
        </is>
      </c>
    </row>
    <row r="4" ht="15" customHeight="1" s="107">
      <c r="A4" s="70" t="inlineStr">
        <is>
          <t>No.</t>
        </is>
      </c>
      <c r="B4" s="3" t="inlineStr">
        <is>
          <t>区分</t>
        </is>
      </c>
      <c r="C4" s="3" t="inlineStr">
        <is>
          <t>項目</t>
        </is>
      </c>
      <c r="D4" s="70" t="inlineStr">
        <is>
          <t>ADRC側の現状認識・案</t>
        </is>
      </c>
      <c r="E4" s="70" t="inlineStr">
        <is>
          <t>COSEM/SCDFに確認・合意したいこと</t>
        </is>
      </c>
      <c r="F4" s="3" t="inlineStr">
        <is>
          <t>根拠</t>
        </is>
      </c>
      <c r="G4" s="3" t="inlineStr">
        <is>
          <t>希望期限</t>
        </is>
      </c>
      <c r="H4" s="70" t="inlineStr">
        <is>
          <t>ADRC担当</t>
        </is>
      </c>
      <c r="I4" s="3" t="inlineStr">
        <is>
          <t>状態</t>
        </is>
      </c>
    </row>
    <row r="5" ht="78" customHeight="1" s="107">
      <c r="A5" s="71" t="inlineStr">
        <is>
          <t>A1</t>
        </is>
      </c>
      <c r="B5" s="72" t="inlineStr">
        <is>
          <t>役割分担</t>
        </is>
      </c>
      <c r="C5" s="71" t="inlineStr">
        <is>
          <t>28日朝の会場・NW最終テスト</t>
        </is>
      </c>
      <c r="D5" s="72" t="inlineStr">
        <is>
          <t>荒木田・池田が07:30から実施し、日本側（中村・山口）と接続確認。9/24メールで07:30入室の可否をSylvia氏に照会中。</t>
        </is>
      </c>
      <c r="E5" s="72" t="inlineStr">
        <is>
          <t>開始時刻（7:30か8:00）、COSEM/SCDF側の立会い者とAV操作者、演台・客席・事務局部屋での実測、衛星データ/ARデモの再生確認／前日（27日）に会場へ入れる時刻（設営・テスト可否）</t>
        </is>
      </c>
      <c r="F5" s="71" t="inlineStr">
        <is>
          <t>5月CL 1-IT（要確定）、9/4打合せ</t>
        </is>
      </c>
      <c r="G5" s="72" t="inlineStr">
        <is>
          <t>第5回合同会議（9/15）</t>
        </is>
      </c>
      <c r="H5" s="72" t="inlineStr">
        <is>
          <t>荒木田・池田</t>
        </is>
      </c>
      <c r="I5" s="73" t="inlineStr">
        <is>
          <t>協議中</t>
        </is>
      </c>
    </row>
    <row r="6" ht="78" customHeight="1" s="107">
      <c r="A6" s="74" t="inlineStr">
        <is>
          <t>A2</t>
        </is>
      </c>
      <c r="B6" s="75" t="inlineStr">
        <is>
          <t>役割分担</t>
        </is>
      </c>
      <c r="C6" s="74" t="inlineStr">
        <is>
          <t>Webinar／Zoom／AI通訳ツールの運用</t>
        </is>
      </c>
      <c r="D6" s="75" t="inlineStr">
        <is>
          <t>日本側: 中村（Zoomホスト・AI通訳設定・Q&amp;A確認）、山口（録画・オンライン質疑）。現地一次対応: 藤本。ホスト国側で進行・機材を担えるなら望ましい（9/4 荒木田）</t>
        </is>
      </c>
      <c r="E6" s="75" t="inlineStr">
        <is>
          <t>会場PCへの接続方法、スクリーン切替の担当、翻訳ツール（ポケトーク等）のURL/QRの掲示方法、WhatsApp参加者グループの共有、ハイブリッド配信の範囲（RT・TS・SC）</t>
        </is>
      </c>
      <c r="F6" s="74" t="inlineStr">
        <is>
          <t>5月CL 2「記録・メディア 未対応」「使用言語 未対応」、GI（AI翻訳ツール試行）、9/4打合せ</t>
        </is>
      </c>
      <c r="G6" s="75" t="inlineStr">
        <is>
          <t>第5回合同会議（9/15）</t>
        </is>
      </c>
      <c r="H6" s="75" t="inlineStr">
        <is>
          <t>荒木田・中村</t>
        </is>
      </c>
      <c r="I6" s="76" t="inlineStr">
        <is>
          <t>未協議</t>
        </is>
      </c>
    </row>
    <row r="7" ht="78" customHeight="1" s="107">
      <c r="A7" s="74" t="inlineStr">
        <is>
          <t>A3</t>
        </is>
      </c>
      <c r="B7" s="75" t="inlineStr">
        <is>
          <t>役割分担</t>
        </is>
      </c>
      <c r="C7" s="75" t="inlineStr">
        <is>
          <t>モデレーター体制</t>
        </is>
      </c>
      <c r="D7" s="74" t="inlineStr">
        <is>
          <t>TSモデレーター: LTC Chen Yong Kai, Deputy Commander, 3rd SCDF Division（Sylvia 9/17）。ADRC側Co-Chair（所内版=Mizan）。予備のLTC Adrianはプログラム・レセプションに含めない。</t>
        </is>
      </c>
      <c r="E7" s="74" t="inlineStr">
        <is>
          <t>9/29（代替9/30、10/8、10/9）のオンライン事前ブリーフィング日程（MizanがSylvia氏と設定）。RTのSCDFモデレーターは別途。</t>
        </is>
      </c>
      <c r="F7" s="74" t="inlineStr">
        <is>
          <t>Sylvia 9/17 WhatsApp、9/18週次</t>
        </is>
      </c>
      <c r="G7" s="74" t="inlineStr">
        <is>
          <t>9/19（登壇者確定）</t>
        </is>
      </c>
      <c r="H7" s="75" t="inlineStr">
        <is>
          <t>荒木田・Mizan・池田</t>
        </is>
      </c>
      <c r="I7" s="73" t="inlineStr">
        <is>
          <t>合意</t>
        </is>
      </c>
    </row>
    <row r="8" ht="78" customHeight="1" s="107">
      <c r="A8" s="74" t="inlineStr">
        <is>
          <t>A4</t>
        </is>
      </c>
      <c r="B8" s="75" t="inlineStr">
        <is>
          <t>役割分担</t>
        </is>
      </c>
      <c r="C8" s="75" t="inlineStr">
        <is>
          <t>受付・名札（QRセット）</t>
        </is>
      </c>
      <c r="D8" s="74" t="inlineStr">
        <is>
          <t>QR付き名札セットは27日の公邸レセプションで手渡し。会場受付は藤中・田中（＋藤本）。当日参加者への対応方針は未定。事前に詳細を渡せばCOSEMがADRC招待者のSIDEX登録を裏で行いパスを印刷（Sylvia 8/17 WhatsApp）</t>
        </is>
      </c>
      <c r="E8" s="75" t="inlineStr">
        <is>
          <t>会場受付のSCDF/ADRCスタッフ配置、QR読取機の台数・場所、公邸で受け取れなかった人への当日発行、当日飛び込み参加の扱い、会議セット（バッグ等）の配布場所</t>
        </is>
      </c>
      <c r="F8" s="74" t="inlineStr">
        <is>
          <t>5月CL 2「事前登録」「受付対応 未対応」「参加者サポート 未対応」</t>
        </is>
      </c>
      <c r="G8" s="75" t="inlineStr">
        <is>
          <t>第5回合同会議（9/15）</t>
        </is>
      </c>
      <c r="H8" s="75" t="inlineStr">
        <is>
          <t>田中・藤中</t>
        </is>
      </c>
      <c r="I8" s="76" t="inlineStr">
        <is>
          <t>未協議</t>
        </is>
      </c>
    </row>
    <row r="9" ht="78" customHeight="1" s="107">
      <c r="A9" s="74" t="inlineStr">
        <is>
          <t>A5</t>
        </is>
      </c>
      <c r="B9" s="75" t="inlineStr">
        <is>
          <t>役割分担</t>
        </is>
      </c>
      <c r="C9" s="75" t="inlineStr">
        <is>
          <t>事務局部屋（28-29日）</t>
        </is>
      </c>
      <c r="D9" s="74" t="inlineStr">
        <is>
          <t>28日朝にGerry・Mizan・塩見が設営。29日終了後に児玉・藤中が撤収（27日と30日は部屋なし）。Tourmaline 207・Peridot 202-205はCOSEM負担で無償（Sylvia 8/25 WhatsApp）</t>
        </is>
      </c>
      <c r="E9" s="75" t="inlineStr">
        <is>
          <t>広さ・施錠・複合機・延長コード・水、28日朝の入室可能時刻、30日の荷物置き場</t>
        </is>
      </c>
      <c r="F9" s="74" t="inlineStr">
        <is>
          <t>5月CL 1「事務局部屋 詳細未対応」、9/4打合せ</t>
        </is>
      </c>
      <c r="G9" s="75" t="inlineStr">
        <is>
          <t>第5回合同会議（9/15）</t>
        </is>
      </c>
      <c r="H9" s="75" t="inlineStr">
        <is>
          <t>藤中</t>
        </is>
      </c>
      <c r="I9" s="76" t="inlineStr">
        <is>
          <t>未協議</t>
        </is>
      </c>
    </row>
    <row r="10" ht="78" customHeight="1" s="107">
      <c r="A10" s="74" t="inlineStr">
        <is>
          <t>A6</t>
        </is>
      </c>
      <c r="B10" s="75" t="inlineStr">
        <is>
          <t>役割分担</t>
        </is>
      </c>
      <c r="C10" s="75" t="inlineStr">
        <is>
          <t>参加者の引率（ホテル⇔EXPO）</t>
        </is>
      </c>
      <c r="D10" s="74" t="inlineStr">
        <is>
          <t>28日はSCDFが Dorsett→会場を引率。29・30日は引率なし（9/4 藤中）→ADRC側で誘導（田中・吉田・塩見）。パレード前はホテルで着替えてEXPOへ再移動。Field Trip後のEXPO帰着は17:00、パレードは18:00着席・GOH 18:30到着（Sylvia 8/26）→ホテルで着替える時間は約1時間</t>
        </is>
      </c>
      <c r="E10" s="74" t="inlineStr">
        <is>
          <t>29・30日朝のシャトル時刻とバス台数、Hotel Mi→EXPO朝バス、パレード前のホテル→EXPO便と出発時刻、Gala出発（17:30 Dorsett）の集合方法</t>
        </is>
      </c>
      <c r="F10" s="74" t="inlineStr">
        <is>
          <t>5月CL 3「導線」、9/4打合せ、Agenda 0805r</t>
        </is>
      </c>
      <c r="G10" s="75" t="inlineStr">
        <is>
          <t>第5回合同会議（9/15）</t>
        </is>
      </c>
      <c r="H10" s="75" t="inlineStr">
        <is>
          <t>田中</t>
        </is>
      </c>
      <c r="I10" s="73" t="inlineStr">
        <is>
          <t>協議中</t>
        </is>
      </c>
    </row>
    <row r="11" ht="78" customHeight="1" s="107">
      <c r="A11" s="74" t="inlineStr">
        <is>
          <t>A7</t>
        </is>
      </c>
      <c r="B11" s="75" t="inlineStr">
        <is>
          <t>役割分担</t>
        </is>
      </c>
      <c r="C11" s="74" t="inlineStr">
        <is>
          <t>Field Trip（CDA）の運行</t>
        </is>
      </c>
      <c r="D11" s="75" t="inlineStr">
        <is>
          <t>荒木田・吉田が引率、田中が名簿・点呼。最新版は13:00 EXPO発・16:15帰着（9/18 WhatsApp配布）。ADRC Web用アジェンダv2は13:00-16:15で整合。</t>
        </is>
      </c>
      <c r="E11" s="75" t="inlineStr">
        <is>
          <t>ヘルメット・ベスト貸出、服装要件（9/6〜未回答）、休憩・水分、渋滞時の対応、登壇者の同行可否（空きがあれば可・main guest list優先）</t>
        </is>
      </c>
      <c r="F11" s="74" t="inlineStr">
        <is>
          <t>WhatsApp 9/18、Sylvia 9/18</t>
        </is>
      </c>
      <c r="G11" s="75" t="inlineStr">
        <is>
          <t>第5回合同会議（9/15）</t>
        </is>
      </c>
      <c r="H11" s="75" t="inlineStr">
        <is>
          <t>荒木田・吉田</t>
        </is>
      </c>
      <c r="I11" s="76" t="inlineStr">
        <is>
          <t>協議中</t>
        </is>
      </c>
    </row>
    <row r="12" ht="78" customHeight="1" s="107">
      <c r="A12" s="74" t="inlineStr">
        <is>
          <t>A8</t>
        </is>
      </c>
      <c r="B12" s="75" t="inlineStr">
        <is>
          <t>役割分担</t>
        </is>
      </c>
      <c r="C12" s="75" t="inlineStr">
        <is>
          <t>写真・ビデオ・集合写真</t>
        </is>
      </c>
      <c r="D12" s="75" t="inlineStr">
        <is>
          <t>藤本が撮影主担当（承諾済み）。ハイライト動画は閉会時上映の想定。撮影ポイントは27日公邸レセプションとCDA視察（ひな壇型）で合意（WhatsApp 8/14）</t>
        </is>
      </c>
      <c r="E12" s="74" t="inlineStr">
        <is>
          <t>COSEM公式カメラマンの有無、集合写真の場所（Hall 3入口等）と時刻（Day1 Opening後）、素材の受渡しフロー、動画編集の場所</t>
        </is>
      </c>
      <c r="F12" s="74" t="inlineStr">
        <is>
          <t>5月CL 2「写真・ビデオ 未対応」「集合写真 未対応」</t>
        </is>
      </c>
      <c r="G12" s="75" t="inlineStr">
        <is>
          <t>第5回合同会議（9/15）</t>
        </is>
      </c>
      <c r="H12" s="75" t="inlineStr">
        <is>
          <t>藤本・Gerry</t>
        </is>
      </c>
      <c r="I12" s="76" t="inlineStr">
        <is>
          <t>未協議</t>
        </is>
      </c>
    </row>
    <row r="13" ht="78" customHeight="1" s="107">
      <c r="A13" s="74" t="inlineStr">
        <is>
          <t>A9</t>
        </is>
      </c>
      <c r="B13" s="75" t="inlineStr">
        <is>
          <t>役割分担</t>
        </is>
      </c>
      <c r="C13" s="75" t="inlineStr">
        <is>
          <t>バナー・バックドロップ・サイン</t>
        </is>
      </c>
      <c r="D13" s="75" t="inlineStr">
        <is>
          <t>物理バナーで確定（スクリーンはビデオ会議で使用）。COSEM/SCDFのデザイン案を9/24に受領し、ADRCは同案で可と回答。修正依頼2点: 上段ロゴ・国旗の上下中心線を揃え両国旗を同サイズに、正式名称「Asian Conference on Disaster Reduction 2026」を大きく。【9/25】期間表記は28-29ではなくACDR2026全体の「27-30 October 2026」に訂正を申入れ（会場名Singapore Expoは維持）。内閣府の確認（9/25午後）後に確定。</t>
        </is>
      </c>
      <c r="E13" s="75" t="inlineStr">
        <is>
          <t>寸法（EXPO照会中）、修正版デザイン、高解像度ロゴ・国旗データの要否、設置位置（ステージ床かバックドロップか）</t>
        </is>
      </c>
      <c r="F13" s="74" t="inlineStr">
        <is>
          <t>WhatsApp 9/18〜9/24、荒木田→藤本 9/18</t>
        </is>
      </c>
      <c r="G13" s="74" t="inlineStr">
        <is>
          <t>9月末</t>
        </is>
      </c>
      <c r="H13" s="75" t="inlineStr">
        <is>
          <t>荒木田・藤本</t>
        </is>
      </c>
      <c r="I13" s="73" t="inlineStr">
        <is>
          <t>協議中</t>
        </is>
      </c>
    </row>
    <row r="14" ht="78" customHeight="1" s="107">
      <c r="A14" s="74" t="inlineStr">
        <is>
          <t>A10</t>
        </is>
      </c>
      <c r="B14" s="75" t="inlineStr">
        <is>
          <t>役割分担</t>
        </is>
      </c>
      <c r="C14" s="75" t="inlineStr">
        <is>
          <t>会場レイアウト（Peridot）</t>
        </is>
      </c>
      <c r="D14" s="75" t="inlineStr">
        <is>
          <t>Peridot 201-203で確定（28日終日＋29日午前）。EXPO縮尺図（動線2.60m/1.50m/1.30m）を9/22受領。ADRCは9/24メールで「U字28席（12+4+12、ホスト6＋メンバー国22）＋両サイド12席×2列＋教室型8席×4列＋シアター席」を提案し、EXPOの作図を依頼。【9/25】U28=最大23か国＋SG1＋日本1＋ADRC1（＋NZ1・ADPC1、入らなければ2列目）。事務局席は前方寄り（ADRC席後方）に再配置。実スケール確認後に電源・マイクを確定。</t>
        </is>
      </c>
      <c r="E14" s="74" t="inlineStr">
        <is>
          <t>EXPOによる再作図、スクリーン位置の図示、前方エリアのセッション別バリエーション（開会・RT・SC・TS・閉会）はADRCが作成</t>
        </is>
      </c>
      <c r="F14" s="74" t="inlineStr">
        <is>
          <t>Sylvia 9/18 WhatsApp・9/22メール、荒木田 9/24メール</t>
        </is>
      </c>
      <c r="G14" s="74" t="inlineStr">
        <is>
          <t>10/1 第6回合同会議</t>
        </is>
      </c>
      <c r="H14" s="75" t="inlineStr">
        <is>
          <t>荒木田・池田</t>
        </is>
      </c>
      <c r="I14" s="73" t="inlineStr">
        <is>
          <t>協議中</t>
        </is>
      </c>
    </row>
    <row r="15" ht="78" customHeight="1" s="107">
      <c r="A15" s="74" t="inlineStr">
        <is>
          <t>A11</t>
        </is>
      </c>
      <c r="B15" s="75" t="inlineStr">
        <is>
          <t>役割分担</t>
        </is>
      </c>
      <c r="C15" s="75" t="inlineStr">
        <is>
          <t>バイ会談スペース・VIP控室</t>
        </is>
      </c>
      <c r="D15" s="75" t="inlineStr">
        <is>
          <t>宮木・児玉が内閣府・COSEMとの調整を担当（張り付きはしない）</t>
        </is>
      </c>
      <c r="E15" s="75" t="inlineStr">
        <is>
          <t>小部屋・ブースの予約ルール、内閣府随行の控室、水の配置</t>
        </is>
      </c>
      <c r="F15" s="74" t="inlineStr">
        <is>
          <t>5月CL 1「バイ会談 未対応」「VIP控室 未対応」</t>
        </is>
      </c>
      <c r="G15" s="75" t="inlineStr">
        <is>
          <t>第5回合同会議（9/15）</t>
        </is>
      </c>
      <c r="H15" s="75" t="inlineStr">
        <is>
          <t>宮木・児玉</t>
        </is>
      </c>
      <c r="I15" s="76" t="inlineStr">
        <is>
          <t>未協議</t>
        </is>
      </c>
    </row>
    <row r="16" ht="78" customHeight="1" s="107">
      <c r="A16" s="74" t="inlineStr">
        <is>
          <t>A12</t>
        </is>
      </c>
      <c r="B16" s="75" t="inlineStr">
        <is>
          <t>役割分担</t>
        </is>
      </c>
      <c r="C16" s="75" t="inlineStr">
        <is>
          <t>アンケート</t>
        </is>
      </c>
      <c r="D16" s="74" t="inlineStr">
        <is>
          <t>Googleフォーム（QR）で実施。回答率向上のため閉会前に5分の回答時間を確保したい（9/4）</t>
        </is>
      </c>
      <c r="E16" s="74" t="inlineStr">
        <is>
          <t>ACDR Closing前のプログラムに回答時間を入れることの了承、QR掲示</t>
        </is>
      </c>
      <c r="F16" s="74" t="inlineStr">
        <is>
          <t>9/4 荒木田・藤本</t>
        </is>
      </c>
      <c r="G16" s="75" t="inlineStr">
        <is>
          <t>アジェンダ確定時</t>
        </is>
      </c>
      <c r="H16" s="75" t="inlineStr">
        <is>
          <t>藤本・荒木田</t>
        </is>
      </c>
      <c r="I16" s="76" t="inlineStr">
        <is>
          <t>未協議</t>
        </is>
      </c>
    </row>
    <row r="17" ht="78" customHeight="1" s="107">
      <c r="A17" s="71" t="inlineStr">
        <is>
          <t>B13</t>
        </is>
      </c>
      <c r="B17" s="72" t="inlineStr">
        <is>
          <t>ドレスコード</t>
        </is>
      </c>
      <c r="C17" s="71" t="inlineStr">
        <is>
          <t>SIDEX Gala Dinner（10/28 Orchard Hotel）</t>
        </is>
      </c>
      <c r="D17" s="72" t="inlineStr">
        <is>
          <t>前回シンガポール開催時はネクタイなしの指定があった（宮木）。通常ADRC会議では指定なし</t>
        </is>
      </c>
      <c r="E17" s="72" t="inlineStr">
        <is>
          <t>主催側のドレスコード（スマートカジュアル等）の明示。参加者への周知文をGI/リマインダーに入れる</t>
        </is>
      </c>
      <c r="F17" s="71" t="inlineStr">
        <is>
          <t>9/4打合せ（宮木・藤中）</t>
        </is>
      </c>
      <c r="G17" s="71" t="inlineStr">
        <is>
          <t>GI改訂（9月末）</t>
        </is>
      </c>
      <c r="H17" s="72" t="inlineStr">
        <is>
          <t>藤中</t>
        </is>
      </c>
      <c r="I17" s="76" t="inlineStr">
        <is>
          <t>未協議</t>
        </is>
      </c>
    </row>
    <row r="18" ht="78" customHeight="1" s="107">
      <c r="A18" s="74" t="inlineStr">
        <is>
          <t>B14</t>
        </is>
      </c>
      <c r="B18" s="75" t="inlineStr">
        <is>
          <t>ドレスコード</t>
        </is>
      </c>
      <c r="C18" s="74" t="inlineStr">
        <is>
          <t>SCDF Parade &amp; Dinner Reception（10/29）</t>
        </is>
      </c>
      <c r="D18" s="75" t="inlineStr">
        <is>
          <t>服装指定の言及あり（長袖等、詳細不明）。Field Trip後にホテルで着替える前提。Field Trip帰着17:00→18:00着席（Sylvia 8/26）のため着替え時間は約1時間</t>
        </is>
      </c>
      <c r="E18" s="75" t="inlineStr">
        <is>
          <t>正式なドレスコード、大臣到着前の着席要件、着替え時間を見込んだ移動計画</t>
        </is>
      </c>
      <c r="F18" s="74" t="inlineStr">
        <is>
          <t>9/4打合せ（児玉・藤中）</t>
        </is>
      </c>
      <c r="G18" s="74" t="inlineStr">
        <is>
          <t>GI改訂（9月末）</t>
        </is>
      </c>
      <c r="H18" s="75" t="inlineStr">
        <is>
          <t>藤中</t>
        </is>
      </c>
      <c r="I18" s="76" t="inlineStr">
        <is>
          <t>未協議</t>
        </is>
      </c>
    </row>
    <row r="19" ht="78" customHeight="1" s="107">
      <c r="A19" s="74" t="inlineStr">
        <is>
          <t>B15</t>
        </is>
      </c>
      <c r="B19" s="75" t="inlineStr">
        <is>
          <t>ドレスコード</t>
        </is>
      </c>
      <c r="C19" s="75" t="inlineStr">
        <is>
          <t>大使公邸レセプション（10/27）</t>
        </is>
      </c>
      <c r="D19" s="75" t="inlineStr">
        <is>
          <t>大使館側に確認（宮木依頼）。SJ60記念レセプション</t>
        </is>
      </c>
      <c r="E19" s="75" t="inlineStr">
        <is>
          <t>大使館としての服装指定の有無（ビジネス／スマートカジュアル）、招待状への記載</t>
        </is>
      </c>
      <c r="F19" s="74" t="inlineStr">
        <is>
          <t>9/4打合せ（宮木）</t>
        </is>
      </c>
      <c r="G19" s="75" t="inlineStr">
        <is>
          <t>招待状発送（10/13）前</t>
        </is>
      </c>
      <c r="H19" s="75" t="inlineStr">
        <is>
          <t>児玉</t>
        </is>
      </c>
      <c r="I19" s="76" t="inlineStr">
        <is>
          <t>未協議</t>
        </is>
      </c>
    </row>
    <row r="20" ht="78" customHeight="1" s="107">
      <c r="A20" s="74" t="inlineStr">
        <is>
          <t>B16</t>
        </is>
      </c>
      <c r="B20" s="75" t="inlineStr">
        <is>
          <t>ドレスコード</t>
        </is>
      </c>
      <c r="C20" s="74" t="inlineStr">
        <is>
          <t>Field Trip（10/29）</t>
        </is>
      </c>
      <c r="D20" s="75" t="inlineStr">
        <is>
          <t>歩きやすい靴で、と毎回GIに記載。汚れる行程はない</t>
        </is>
      </c>
      <c r="E20" s="74" t="inlineStr">
        <is>
          <t>CDA側の安全上の要件（長ズボン等）があれば明示</t>
        </is>
      </c>
      <c r="F20" s="74" t="inlineStr">
        <is>
          <t>5月CL 4、9/4</t>
        </is>
      </c>
      <c r="G20" s="74" t="inlineStr">
        <is>
          <t>GI改訂</t>
        </is>
      </c>
      <c r="H20" s="75" t="inlineStr">
        <is>
          <t>藤中</t>
        </is>
      </c>
      <c r="I20" s="76" t="inlineStr">
        <is>
          <t>未協議</t>
        </is>
      </c>
    </row>
    <row r="21" ht="78" customHeight="1" s="107">
      <c r="A21" s="74" t="inlineStr">
        <is>
          <t>B17</t>
        </is>
      </c>
      <c r="B21" s="75" t="inlineStr">
        <is>
          <t>ドレスコード</t>
        </is>
      </c>
      <c r="C21" s="75" t="inlineStr">
        <is>
          <t>会議（Opening／RT／TS／SIDEX）</t>
        </is>
      </c>
      <c r="D21" s="75" t="inlineStr">
        <is>
          <t>通常はスーツまたは民族衣装で、特段の指定はしていない。SIDEX展示入場はつま先の隠れる靴が必須（Sylvia 8/17 WhatsApp）→GIに明記</t>
        </is>
      </c>
      <c r="E21" s="74" t="inlineStr">
        <is>
          <t>SIDEX Opening（Senior Minister出席）に合わせた指定の要否</t>
        </is>
      </c>
      <c r="F21" s="74" t="inlineStr">
        <is>
          <t>9/4（藤中）</t>
        </is>
      </c>
      <c r="G21" s="74" t="inlineStr">
        <is>
          <t>GI改訂</t>
        </is>
      </c>
      <c r="H21" s="75" t="inlineStr">
        <is>
          <t>藤中</t>
        </is>
      </c>
      <c r="I21" s="76" t="inlineStr">
        <is>
          <t>未協議</t>
        </is>
      </c>
    </row>
    <row r="22" ht="78" customHeight="1" s="107">
      <c r="A22" s="71" t="inlineStr">
        <is>
          <t>C18</t>
        </is>
      </c>
      <c r="B22" s="72" t="inlineStr">
        <is>
          <t>会場・機材</t>
        </is>
      </c>
      <c r="C22" s="72" t="inlineStr">
        <is>
          <t>投影・接続・データ受渡し</t>
        </is>
      </c>
      <c r="D22" s="72" t="inlineStr">
        <is>
          <t>Peridot 203: 21,000lm 3-chip 2560×1600。201-202: 8,000lm 1920×1200。HDMI 1本で全面ミラー。切替はAVオペレータ。クリッカー1本無償。タイマーなし。</t>
        </is>
      </c>
      <c r="E22" s="72" t="inlineStr">
        <is>
          <t>スクリーン位置の図示のみ残る</t>
        </is>
      </c>
      <c r="F22" s="71" t="inlineStr">
        <is>
          <t>Sylvia 9/22メール</t>
        </is>
      </c>
      <c r="G22" s="72" t="inlineStr">
        <is>
          <t>第5回合同会議（9/15）</t>
        </is>
      </c>
      <c r="H22" s="72" t="inlineStr">
        <is>
          <t>池田・荒木田</t>
        </is>
      </c>
      <c r="I22" s="76" t="inlineStr">
        <is>
          <t>合意</t>
        </is>
      </c>
    </row>
    <row r="23" ht="78" customHeight="1" s="107">
      <c r="A23" s="74" t="inlineStr">
        <is>
          <t>C19</t>
        </is>
      </c>
      <c r="B23" s="75" t="inlineStr">
        <is>
          <t>会場・機材</t>
        </is>
      </c>
      <c r="C23" s="75" t="inlineStr">
        <is>
          <t>音響・マイク・電源・照明</t>
        </is>
      </c>
      <c r="D23" s="74" t="inlineStr">
        <is>
          <t>9/24メールで機材リストを提示: U字の卓上マイク2席に1本（14）＋前方最大8、スタンドマイク4、ハンドマイク2、演壇マイク（EXPO演壇はマイクなし）、外部カメラ、双方向音声、録画。会議用マイクで可。2列目テーブルにマイクなし。</t>
        </is>
      </c>
      <c r="E23" s="75" t="inlineStr">
        <is>
          <t>AV業者の見積、費用負担の区分（見積後に協議）、照明は室内パネル</t>
        </is>
      </c>
      <c r="F23" s="74" t="inlineStr">
        <is>
          <t>Sylvia 9/22、荒木田 9/24メール・WhatsApp</t>
        </is>
      </c>
      <c r="G23" s="75" t="inlineStr">
        <is>
          <t>10/1</t>
        </is>
      </c>
      <c r="H23" s="75" t="inlineStr">
        <is>
          <t>池田</t>
        </is>
      </c>
      <c r="I23" s="76" t="inlineStr">
        <is>
          <t>協議中</t>
        </is>
      </c>
    </row>
    <row r="24" ht="78" customHeight="1" s="107">
      <c r="A24" s="74" t="inlineStr">
        <is>
          <t>C20</t>
        </is>
      </c>
      <c r="B24" s="75" t="inlineStr">
        <is>
          <t>会場・機材</t>
        </is>
      </c>
      <c r="C24" s="75" t="inlineStr">
        <is>
          <t>通信</t>
        </is>
      </c>
      <c r="D24" s="74" t="inlineStr">
        <is>
          <t>無料Wi-Fiは最大10Mbps・ランディングページ付き。有線LANはEXPO価格S$1,000＋GST/回線。COSEMが他業者を探す。ADRCは有線1回線を希望（Zoom用）。</t>
        </is>
      </c>
      <c r="E24" s="74" t="inlineStr">
        <is>
          <t>安価なLAN回線の有無、Zoom用帯域が確保できない場合の通信会社への増速依頼</t>
        </is>
      </c>
      <c r="F24" s="74" t="inlineStr">
        <is>
          <t>Sylvia 9/22、荒木田 9/24</t>
        </is>
      </c>
      <c r="G24" s="75" t="inlineStr">
        <is>
          <t>第5回合同会議（9/15）</t>
        </is>
      </c>
      <c r="H24" s="75" t="inlineStr">
        <is>
          <t>荒木田</t>
        </is>
      </c>
      <c r="I24" s="76" t="inlineStr">
        <is>
          <t>協議中</t>
        </is>
      </c>
    </row>
    <row r="25" ht="78" customHeight="1" s="107">
      <c r="A25" s="74" t="inlineStr">
        <is>
          <t>C21</t>
        </is>
      </c>
      <c r="B25" s="75" t="inlineStr">
        <is>
          <t>会場・機材</t>
        </is>
      </c>
      <c r="C25" s="75" t="inlineStr">
        <is>
          <t>空調・給水</t>
        </is>
      </c>
      <c r="D25" s="75" t="inlineStr">
        <is>
          <t>未確認</t>
        </is>
      </c>
      <c r="E25" s="75" t="inlineStr">
        <is>
          <t>温度設定の柔軟性、ブランケット、会議中の水・コーヒー補充頻度、飲食可能エリア</t>
        </is>
      </c>
      <c r="F25" s="74" t="inlineStr">
        <is>
          <t>5月CL 1・3</t>
        </is>
      </c>
      <c r="G25" s="75" t="inlineStr">
        <is>
          <t>第5回合同会議（9/15）</t>
        </is>
      </c>
      <c r="H25" s="75" t="inlineStr">
        <is>
          <t>藤中</t>
        </is>
      </c>
      <c r="I25" s="76" t="inlineStr">
        <is>
          <t>未協議</t>
        </is>
      </c>
    </row>
    <row r="26" ht="78" customHeight="1" s="107">
      <c r="A26" s="71" t="inlineStr">
        <is>
          <t>D22</t>
        </is>
      </c>
      <c r="B26" s="72" t="inlineStr">
        <is>
          <t>導線</t>
        </is>
      </c>
      <c r="C26" s="72" t="inlineStr">
        <is>
          <t>空港送迎</t>
        </is>
      </c>
      <c r="D26" s="72" t="inlineStr">
        <is>
          <t>到着日1回の送迎バス（COSEM）。26日夕〜27日午前に到着集中、14時台着（バングラデシュ等）はタクシー送迎の想定</t>
        </is>
      </c>
      <c r="E26" s="72" t="inlineStr">
        <is>
          <t>待ち受け場所と情報デスク、送迎対象と回数、遅延時の連絡経路（WhatsApp）</t>
        </is>
      </c>
      <c r="F26" s="71" t="inlineStr">
        <is>
          <t>5月CL 3「導線」、9/4（藤中）</t>
        </is>
      </c>
      <c r="G26" s="72" t="inlineStr">
        <is>
          <t>フライト確定後（9月末）</t>
        </is>
      </c>
      <c r="H26" s="72" t="inlineStr">
        <is>
          <t>田中</t>
        </is>
      </c>
      <c r="I26" s="73" t="inlineStr">
        <is>
          <t>協議中</t>
        </is>
      </c>
    </row>
    <row r="27" ht="78" customHeight="1" s="107">
      <c r="A27" s="74" t="inlineStr">
        <is>
          <t>D23</t>
        </is>
      </c>
      <c r="B27" s="75" t="inlineStr">
        <is>
          <t>導線</t>
        </is>
      </c>
      <c r="C27" s="75" t="inlineStr">
        <is>
          <t>公邸レセプションの送迎（10/27）</t>
        </is>
      </c>
      <c r="D27" s="74" t="inlineStr">
        <is>
          <t>Dorsett→公邸の送迎バス（COSEM手配、5月）。従来は17:30〜18:30頃出発の想定だったが、8/26版アジェンダでレセプションが19:00-21:00となったため再確認が必要</t>
        </is>
      </c>
      <c r="E27" s="75" t="inlineStr">
        <is>
          <t>出発時刻・台数、Hotel Mi宿泊スタッフの移動、21:00終了後の撤収と帰路</t>
        </is>
      </c>
      <c r="F27" s="74" t="inlineStr">
        <is>
          <t>5月CL 3、月次ToDo 10月</t>
        </is>
      </c>
      <c r="G27" s="74" t="inlineStr">
        <is>
          <t>9月末</t>
        </is>
      </c>
      <c r="H27" s="75" t="inlineStr">
        <is>
          <t>児玉・田中</t>
        </is>
      </c>
      <c r="I27" s="73" t="inlineStr">
        <is>
          <t>協議中</t>
        </is>
      </c>
    </row>
    <row r="28" ht="78" customHeight="1" s="107">
      <c r="A28" s="74" t="inlineStr">
        <is>
          <t>D24</t>
        </is>
      </c>
      <c r="B28" s="75" t="inlineStr">
        <is>
          <t>導線</t>
        </is>
      </c>
      <c r="C28" s="75" t="inlineStr">
        <is>
          <t>バス乗降場・雨天対応</t>
        </is>
      </c>
      <c r="D28" s="75" t="inlineStr">
        <is>
          <t>大型バスは入口で乗降、待機スペースあり（5月）</t>
        </is>
      </c>
      <c r="E28" s="74" t="inlineStr">
        <is>
          <t>EXPO・CDAの正確な停車位置、雨天時の屋根</t>
        </is>
      </c>
      <c r="F28" s="74" t="inlineStr">
        <is>
          <t>5月CL 3「バス乗降場」</t>
        </is>
      </c>
      <c r="G28" s="75" t="inlineStr">
        <is>
          <t>第5回合同会議（9/15）</t>
        </is>
      </c>
      <c r="H28" s="75" t="inlineStr">
        <is>
          <t>田中</t>
        </is>
      </c>
      <c r="I28" s="76" t="inlineStr">
        <is>
          <t>未協議</t>
        </is>
      </c>
    </row>
    <row r="29" ht="78" customHeight="1" s="107">
      <c r="A29" s="74" t="inlineStr">
        <is>
          <t>D25</t>
        </is>
      </c>
      <c r="B29" s="75" t="inlineStr">
        <is>
          <t>ホスピタリティ</t>
        </is>
      </c>
      <c r="C29" s="75" t="inlineStr">
        <is>
          <t>ハラル・アレルギー・祈祷室</t>
        </is>
      </c>
      <c r="D29" s="75" t="inlineStr">
        <is>
          <t>参加者の食事希望は登録で収集（Halal多数）</t>
        </is>
      </c>
      <c r="E29" s="75" t="inlineStr">
        <is>
          <t>全メニューのハラル認証、アレルギー表示、Prayer Roomの場所・男女別・Wudu</t>
        </is>
      </c>
      <c r="F29" s="74" t="inlineStr">
        <is>
          <t>5月CL 3</t>
        </is>
      </c>
      <c r="G29" s="75" t="inlineStr">
        <is>
          <t>第5回合同会議（9/15）</t>
        </is>
      </c>
      <c r="H29" s="75" t="inlineStr">
        <is>
          <t>田中・藤中</t>
        </is>
      </c>
      <c r="I29" s="76" t="inlineStr">
        <is>
          <t>未協議</t>
        </is>
      </c>
    </row>
    <row r="30" ht="78" customHeight="1" s="107">
      <c r="A30" s="74" t="inlineStr">
        <is>
          <t>D26</t>
        </is>
      </c>
      <c r="B30" s="75" t="inlineStr">
        <is>
          <t>ホスピタリティ</t>
        </is>
      </c>
      <c r="C30" s="75" t="inlineStr">
        <is>
          <t>ホテル朝食・Dorsett客室</t>
        </is>
      </c>
      <c r="D30" s="74" t="inlineStr">
        <is>
          <t>Dorsett 180室夜を確保、9/28に10%リリース可。宮木・児玉は10/25 23:40着のため25日泊が必要（9/6確認）。所長の宿泊先（Dorsett/任意）は未定、児玉はHotel Mi追加</t>
        </is>
      </c>
      <c r="E30" s="75" t="inlineStr">
        <is>
          <t>朝食開始時刻・メニュー、早期チェックイン/レイトチェックアウトの扱い、追加客室の余地、リリース日程の確認（25日泊の宿泊先はADRC内部で決定し、部屋チャートで通知）</t>
        </is>
      </c>
      <c r="F30" s="75" t="inlineStr">
        <is>
          <t>藤中→Sylvia 8/28・9/1、9/4</t>
        </is>
      </c>
      <c r="G30" s="74" t="inlineStr">
        <is>
          <t>9/28（リリース期限）</t>
        </is>
      </c>
      <c r="H30" s="75" t="inlineStr">
        <is>
          <t>藤中</t>
        </is>
      </c>
      <c r="I30" s="73" t="inlineStr">
        <is>
          <t>協議中</t>
        </is>
      </c>
    </row>
    <row r="31" ht="78" customHeight="1" s="107">
      <c r="A31" s="71" t="inlineStr">
        <is>
          <t>E27</t>
        </is>
      </c>
      <c r="B31" s="72" t="inlineStr">
        <is>
          <t>記録・広報</t>
        </is>
      </c>
      <c r="C31" s="72" t="inlineStr">
        <is>
          <t>議事録・サマリー・ハイライト動画</t>
        </is>
      </c>
      <c r="D31" s="71" t="inlineStr">
        <is>
          <t>Draft SummaryはGerry・Mizan、記録補助は塩見。日本側で録画</t>
        </is>
      </c>
      <c r="E31" s="71" t="inlineStr">
        <is>
          <t>SCDF側の記録担当、閉会時のハイライト動画上映の可否と編集場所、報告書用素材の共有</t>
        </is>
      </c>
      <c r="F31" s="71" t="inlineStr">
        <is>
          <t>5月CL 2「記録・メディア 未対応」</t>
        </is>
      </c>
      <c r="G31" s="72" t="inlineStr">
        <is>
          <t>第5回合同会議（9/15）</t>
        </is>
      </c>
      <c r="H31" s="71" t="inlineStr">
        <is>
          <t>Gerry・荒木田</t>
        </is>
      </c>
      <c r="I31" s="76" t="inlineStr">
        <is>
          <t>未協議</t>
        </is>
      </c>
    </row>
    <row r="32" ht="78" customHeight="1" s="107">
      <c r="A32" s="74" t="inlineStr">
        <is>
          <t>E28</t>
        </is>
      </c>
      <c r="B32" s="75" t="inlineStr">
        <is>
          <t>記録・広報</t>
        </is>
      </c>
      <c r="C32" s="75" t="inlineStr">
        <is>
          <t>プレスリリース</t>
        </is>
      </c>
      <c r="D32" s="75" t="inlineStr">
        <is>
          <t>内閣府・県庁記者クラブへ管理部と宮木が投げ込み、神戸新聞記者へ荒木田が案内（9/4）</t>
        </is>
      </c>
      <c r="E32" s="74" t="inlineStr">
        <is>
          <t>SCDF/COSEM側の広報（共同通信・時事通信の検討あり）との整合、写真・ロゴの使用ルール</t>
        </is>
      </c>
      <c r="F32" s="74" t="inlineStr">
        <is>
          <t>5月CL 3「大使館ディナー 広報」、9/4</t>
        </is>
      </c>
      <c r="G32" s="74" t="inlineStr">
        <is>
          <t>10月上旬</t>
        </is>
      </c>
      <c r="H32" s="75" t="inlineStr">
        <is>
          <t>宮木</t>
        </is>
      </c>
      <c r="I32" s="76" t="inlineStr">
        <is>
          <t>未協議</t>
        </is>
      </c>
    </row>
    <row r="33" ht="78" customHeight="1" s="107">
      <c r="A33" s="71" t="inlineStr">
        <is>
          <t>F29</t>
        </is>
      </c>
      <c r="B33" s="72" t="inlineStr">
        <is>
          <t>事務・契約</t>
        </is>
      </c>
      <c r="C33" s="72" t="inlineStr">
        <is>
          <t>支払方法・支払同意書</t>
        </is>
      </c>
      <c r="D33" s="72" t="inlineStr">
        <is>
          <t>事後銀行振込の可否、事前送金割合・通貨・時期、COSEMの同意書発行が未確認</t>
        </is>
      </c>
      <c r="E33" s="72" t="inlineStr">
        <is>
          <t>支払スケジュール、分割条件、キャンセルポリシーを含む同意書、ホテル・バス・ケータリングの精算方法</t>
        </is>
      </c>
      <c r="F33" s="71" t="inlineStr">
        <is>
          <t>5月CL 5（全項目未対応）</t>
        </is>
      </c>
      <c r="G33" s="71" t="inlineStr">
        <is>
          <t>9月中</t>
        </is>
      </c>
      <c r="H33" s="72" t="inlineStr">
        <is>
          <t>藤中</t>
        </is>
      </c>
      <c r="I33" s="76" t="inlineStr">
        <is>
          <t>未協議</t>
        </is>
      </c>
    </row>
    <row r="34" ht="78" customHeight="1" s="107">
      <c r="A34" s="74" t="inlineStr">
        <is>
          <t>F30</t>
        </is>
      </c>
      <c r="B34" s="75" t="inlineStr">
        <is>
          <t>事務・契約</t>
        </is>
      </c>
      <c r="C34" s="75" t="inlineStr">
        <is>
          <t>ビザ招聘状・申請案内</t>
        </is>
      </c>
      <c r="D34" s="74" t="inlineStr">
        <is>
          <t>ADRCがForm V39A（紹介状）を作成しCOSEMがCorppassで一括申請。Form 14Aは本人記入。申請は到着30日前から、発行3営業日。COSEMの手順にはLetter of undertaking（COSEM作成・本人署名）あり。対象: インド3（Officialなら不要）、パキスタン2、アゼルバイジャン同行者、アルメニア1。ウズベキスタン・タジキスタンはビザ要。</t>
        </is>
      </c>
      <c r="E34" s="74" t="inlineStr">
        <is>
          <t>Letter of undertakingの様式と提出時期、ウズベキスタン登壇者の申請時期</t>
        </is>
      </c>
      <c r="F34" s="74" t="inlineStr">
        <is>
          <t>JM3資料 p.29、田中 9/17-18、ICA</t>
        </is>
      </c>
      <c r="G34" s="74" t="inlineStr">
        <is>
          <t>9/26 申請開始</t>
        </is>
      </c>
      <c r="H34" s="75" t="inlineStr">
        <is>
          <t>田中・寺坂</t>
        </is>
      </c>
      <c r="I34" s="76" t="inlineStr">
        <is>
          <t>協議中</t>
        </is>
      </c>
    </row>
    <row r="35" ht="78" customHeight="1" s="107">
      <c r="A35" s="74" t="inlineStr">
        <is>
          <t>F31</t>
        </is>
      </c>
      <c r="B35" s="75" t="inlineStr">
        <is>
          <t>事務・契約</t>
        </is>
      </c>
      <c r="C35" s="75" t="inlineStr">
        <is>
          <t>ロジカード・緊急連絡先</t>
        </is>
      </c>
      <c r="D35" s="75" t="inlineStr">
        <is>
          <t>作成が必要（5月）</t>
        </is>
      </c>
      <c r="E35" s="75" t="inlineStr">
        <is>
          <t>病院・警察・大使館・事務局・COSEM担当者の連絡先、当日の緊急連絡網</t>
        </is>
      </c>
      <c r="F35" s="74" t="inlineStr">
        <is>
          <t>5月CL 2「緊急連絡先 未対応」</t>
        </is>
      </c>
      <c r="G35" s="74" t="inlineStr">
        <is>
          <t>10月上旬</t>
        </is>
      </c>
      <c r="H35" s="75" t="inlineStr">
        <is>
          <t>田中</t>
        </is>
      </c>
      <c r="I35" s="76" t="inlineStr">
        <is>
          <t>未協議</t>
        </is>
      </c>
    </row>
    <row r="36" ht="78" customHeight="1" s="107">
      <c r="A36" s="74" t="inlineStr">
        <is>
          <t>F32</t>
        </is>
      </c>
      <c r="B36" s="75" t="inlineStr">
        <is>
          <t>事務・契約</t>
        </is>
      </c>
      <c r="C36" s="75" t="inlineStr">
        <is>
          <t>内閣府のホテル</t>
        </is>
      </c>
      <c r="D36" s="74" t="inlineStr">
        <is>
          <t>COSEMから問い合わせ中で回答期限を確認する必要あり（9/4 児玉）。内閣府は林副大臣の出席が決定（児玉 8/28）、御手洗参事官は単独出席（9/1）</t>
        </is>
      </c>
      <c r="E36" s="75" t="inlineStr">
        <is>
          <t>内閣府（林統括官＋随行2名）の宿泊先と手配主体</t>
        </is>
      </c>
      <c r="F36" s="74" t="inlineStr">
        <is>
          <t>9/4打合せ</t>
        </is>
      </c>
      <c r="G36" s="74" t="inlineStr">
        <is>
          <t>9月中</t>
        </is>
      </c>
      <c r="H36" s="75" t="inlineStr">
        <is>
          <t>児玉</t>
        </is>
      </c>
      <c r="I36" s="73" t="inlineStr">
        <is>
          <t>協議中</t>
        </is>
      </c>
    </row>
    <row r="37" ht="78" customHeight="1" s="107">
      <c r="A37" s="74" t="inlineStr">
        <is>
          <t>F33</t>
        </is>
      </c>
      <c r="B37" s="75" t="inlineStr">
        <is>
          <t>事務・契約</t>
        </is>
      </c>
      <c r="C37" s="75" t="inlineStr">
        <is>
          <t>ADRC関係者13名分の無料会議パス</t>
        </is>
      </c>
      <c r="D37" s="74" t="inlineStr">
        <is>
          <t>ADRC WG 10名＋会長・ED・理事の13名分の無料パスはSCDF長官の承認待ち（Sylvia 7/29 WhatsApp）</t>
        </is>
      </c>
      <c r="E37" s="75" t="inlineStr">
        <is>
          <t>承認結果と、パス発行に必要な名簿の提出期限</t>
        </is>
      </c>
      <c r="F37" s="74" t="inlineStr">
        <is>
          <t>WhatsApp 7/29</t>
        </is>
      </c>
      <c r="G37" s="74" t="inlineStr">
        <is>
          <t>9月中</t>
        </is>
      </c>
      <c r="H37" s="75" t="inlineStr">
        <is>
          <t>田中・藤中</t>
        </is>
      </c>
      <c r="I37" s="73" t="inlineStr">
        <is>
          <t>協議中</t>
        </is>
      </c>
    </row>
    <row r="38" ht="78" customHeight="1" s="107">
      <c r="A38" s="74" t="inlineStr">
        <is>
          <t>G34</t>
        </is>
      </c>
      <c r="B38" s="75" t="inlineStr">
        <is>
          <t>プログラム</t>
        </is>
      </c>
      <c r="C38" s="75" t="inlineStr">
        <is>
          <t>Gala Dinner（10/28）での副大臣挨拶枠</t>
        </is>
      </c>
      <c r="D38" s="74" t="inlineStr">
        <is>
          <t>COSEM側で挨拶枠は設けられないとの回答（Leow氏 9/15）。内閣府へ9/15に児玉から通知済み。</t>
        </is>
      </c>
      <c r="E38" s="75" t="inlineStr">
        <is>
          <t>—</t>
        </is>
      </c>
      <c r="F38" s="74" t="inlineStr">
        <is>
          <t>Leow 9/15、児玉 9/15</t>
        </is>
      </c>
      <c r="G38" s="74" t="inlineStr">
        <is>
          <t>9/15前</t>
        </is>
      </c>
      <c r="H38" s="75" t="inlineStr">
        <is>
          <t>児玉</t>
        </is>
      </c>
      <c r="I38" s="73" t="inlineStr">
        <is>
          <t>合意</t>
        </is>
      </c>
    </row>
    <row r="39" ht="78" customHeight="1" s="107">
      <c r="A39" s="74" t="inlineStr">
        <is>
          <t>G35</t>
        </is>
      </c>
      <c r="B39" s="75" t="inlineStr">
        <is>
          <t>プログラム</t>
        </is>
      </c>
      <c r="C39" s="75" t="inlineStr">
        <is>
          <t>SJ60記念レセプション（10/27）のSCDF共催</t>
        </is>
      </c>
      <c r="D39" s="75" t="inlineStr">
        <is>
          <t>招待状は大使館から全参加者へ発出（個別formal invite不要）。シンガポール側はComr＋Alan Chow＋LTC Chen、COSEMはLeow氏・Sylvia氏ほか。名簿は1か月前（9/27頃）に提出。</t>
        </is>
      </c>
      <c r="E39" s="75" t="inlineStr">
        <is>
          <t>SIDEXスピーカーディナーとの重複者（Nishikawa氏、NZ Gawn氏、AUS NEMA、Comr）の扱い</t>
        </is>
      </c>
      <c r="F39" s="75" t="inlineStr">
        <is>
          <t>WhatsApp 9/17 児玉・田中</t>
        </is>
      </c>
      <c r="G39" s="74" t="inlineStr">
        <is>
          <t>9/27 名簿</t>
        </is>
      </c>
      <c r="H39" s="75" t="inlineStr">
        <is>
          <t>児玉</t>
        </is>
      </c>
      <c r="I39" s="73" t="inlineStr">
        <is>
          <t>協議中</t>
        </is>
      </c>
    </row>
    <row r="40" ht="78" customHeight="1" s="107">
      <c r="A40" s="74" t="inlineStr">
        <is>
          <t>G36</t>
        </is>
      </c>
      <c r="B40" s="75" t="inlineStr">
        <is>
          <t>プログラム</t>
        </is>
      </c>
      <c r="C40" s="75" t="inlineStr">
        <is>
          <t>MOU署名（内閣府⇔内務省）の日時・場所</t>
        </is>
      </c>
      <c r="D40" s="74" t="inlineStr">
        <is>
          <t>COSEM/SCDFはJoint Opening直後に本会場での実施を希望。内閣府の回答待ち（8/24・8/26時点）</t>
        </is>
      </c>
      <c r="E40" s="75" t="inlineStr">
        <is>
          <t>内閣府回答後の日時・場所の確定、表敬の重複回避</t>
        </is>
      </c>
      <c r="F40" s="74" t="inlineStr">
        <is>
          <t>WhatsApp 8/24・8/26</t>
        </is>
      </c>
      <c r="G40" s="74" t="inlineStr">
        <is>
          <t>9月中</t>
        </is>
      </c>
      <c r="H40" s="75" t="inlineStr">
        <is>
          <t>児玉</t>
        </is>
      </c>
      <c r="I40" s="73" t="inlineStr">
        <is>
          <t>協議中</t>
        </is>
      </c>
    </row>
    <row r="41" ht="78" customHeight="1" s="107">
      <c r="A41" s="74" t="inlineStr">
        <is>
          <t>G37</t>
        </is>
      </c>
      <c r="B41" s="75" t="inlineStr">
        <is>
          <t>プログラム</t>
        </is>
      </c>
      <c r="C41" s="75" t="inlineStr">
        <is>
          <t>日本パビリオン開会式の時間（GOHツアー内）</t>
        </is>
      </c>
      <c r="D41" s="74" t="inlineStr">
        <is>
          <t>GOHツアーは53分固定で日本ブースは5分のみ。延長は困難（Sylvia 8/24）。内閣府は2番目なら5分で可（8/31資料）</t>
        </is>
      </c>
      <c r="E41" s="75" t="inlineStr">
        <is>
          <t>内閣府の希望を踏まえた最終調整</t>
        </is>
      </c>
      <c r="F41" s="74" t="inlineStr">
        <is>
          <t>WhatsApp 8/24、内閣府8/31資料</t>
        </is>
      </c>
      <c r="G41" s="74" t="inlineStr">
        <is>
          <t>9月中</t>
        </is>
      </c>
      <c r="H41" s="75" t="inlineStr">
        <is>
          <t>児玉</t>
        </is>
      </c>
      <c r="I41" s="73" t="inlineStr">
        <is>
          <t>協議中</t>
        </is>
      </c>
    </row>
    <row r="42" ht="78" customHeight="1" s="107">
      <c r="A42" s="74" t="inlineStr">
        <is>
          <t>G38</t>
        </is>
      </c>
      <c r="B42" s="75" t="inlineStr">
        <is>
          <t>記録</t>
        </is>
      </c>
      <c r="C42" s="75" t="inlineStr">
        <is>
          <t>第4回合同会議（8/25）の議事録</t>
        </is>
      </c>
      <c r="D42" s="75" t="inlineStr">
        <is>
          <t>未受領（Gmail 9/6時点）</t>
        </is>
      </c>
      <c r="E42" s="75" t="inlineStr">
        <is>
          <t>NOM 4/2026の送付依頼</t>
        </is>
      </c>
      <c r="F42" s="74" t="inlineStr">
        <is>
          <t>Gmail検索 9/6</t>
        </is>
      </c>
      <c r="G42" s="74" t="inlineStr">
        <is>
          <t>9/15前</t>
        </is>
      </c>
      <c r="H42" s="75" t="inlineStr">
        <is>
          <t>荒木田</t>
        </is>
      </c>
      <c r="I42" s="73" t="inlineStr">
        <is>
          <t>未協議</t>
        </is>
      </c>
    </row>
    <row r="43" ht="78" customHeight="1" s="107">
      <c r="A43" s="74" t="inlineStr">
        <is>
          <t>H39</t>
        </is>
      </c>
      <c r="B43" s="75" t="inlineStr">
        <is>
          <t>プログラム</t>
        </is>
      </c>
      <c r="C43" s="75" t="inlineStr">
        <is>
          <t>Day 1 の前倒し（Sylvia氏要望 9/18）</t>
        </is>
      </c>
      <c r="D43" s="75" t="inlineStr">
        <is>
          <t>【9/25所内決定】RT・SCは短縮せず、RTを2分割: RT(1) 28日13:00-15:00、SC 15:15-16:15（30分前倒し）、RT(2) 29日09:00-09:30、TSは09:30据え置き。Gala出発17:30まで75分確保。日本パビリオンは開会式ではなくVIPツアー立寄り時の展示挨拶（児玉）。</t>
        </is>
      </c>
      <c r="E43" s="75" t="inlineStr">
        <is>
          <t>上記案の可否。ADRC参加者のEXPO見学はVIPツアーに合わせて短縮。内閣府（9/25 16:30）の意向を踏まえて提示</t>
        </is>
      </c>
      <c r="F43" s="74" t="inlineStr">
        <is>
          <t>WhatsApp 9/18、田中 9/18、9/25所内打合せ</t>
        </is>
      </c>
      <c r="G43" s="74" t="inlineStr">
        <is>
          <t>9/29 第6回合同会議</t>
        </is>
      </c>
      <c r="H43" s="75" t="inlineStr">
        <is>
          <t>荒木田→田中</t>
        </is>
      </c>
      <c r="I43" s="73" t="inlineStr">
        <is>
          <t>協議中</t>
        </is>
      </c>
    </row>
    <row r="44" ht="78" customHeight="1" s="107">
      <c r="A44" s="74" t="inlineStr">
        <is>
          <t>H40</t>
        </is>
      </c>
      <c r="B44" s="75" t="inlineStr">
        <is>
          <t>会場・機材</t>
        </is>
      </c>
      <c r="C44" s="75" t="inlineStr">
        <is>
          <t>名札とマイクの範囲</t>
        </is>
      </c>
      <c r="D44" s="75" t="inlineStr">
        <is>
          <t>U字28席は全席名札＋2席に1本のマイク。サイド列・教室型は机あり・卓上マイクなし。名札はリソースパーソン、アドバイザー国、オブザーバー、国際機関（AHAセンター等）に付け、その他一般参加者は自由席。シアター席は椅子のみ。</t>
        </is>
      </c>
      <c r="E44" s="75" t="inlineStr">
        <is>
          <t>席割リスト（名札用）の提出時期と様式</t>
        </is>
      </c>
      <c r="F44" s="74" t="inlineStr">
        <is>
          <t>WhatsApp 9/24（荒木田→Sylvia）</t>
        </is>
      </c>
      <c r="G44" s="74" t="inlineStr">
        <is>
          <t>10月上旬</t>
        </is>
      </c>
      <c r="H44" s="75" t="inlineStr">
        <is>
          <t>荒木田・田中</t>
        </is>
      </c>
      <c r="I44" s="73" t="inlineStr">
        <is>
          <t>協議中</t>
        </is>
      </c>
    </row>
    <row r="45" ht="78" customHeight="1" s="107">
      <c r="A45" s="74" t="inlineStr">
        <is>
          <t>H41</t>
        </is>
      </c>
      <c r="B45" s="75" t="inlineStr">
        <is>
          <t>事務・契約</t>
        </is>
      </c>
      <c r="C45" s="75" t="inlineStr">
        <is>
          <t>AV費用の負担区分</t>
        </is>
      </c>
      <c r="D45" s="75" t="inlineStr">
        <is>
          <t>見積待ち。【9/25】上限額は費用が判明するまで提示しない。削減案: 卓上マイク全席は見送り、移動用＋モデレーター用2本程度に絞る（9/24送付の機材リストとの整合を要再検討）。支払は現地での現金持込を避け、COSEMへの一括払いかホテル精算への合算を確認。</t>
        </is>
      </c>
      <c r="E45" s="75" t="inlineStr">
        <is>
          <t>見積の受領、支払方法（COSEM一括／ホテル精算合算）、機材削減の可否</t>
        </is>
      </c>
      <c r="F45" s="74" t="inlineStr">
        <is>
          <t>Sylvia 9/22</t>
        </is>
      </c>
      <c r="G45" s="74" t="inlineStr">
        <is>
          <t>10/1</t>
        </is>
      </c>
      <c r="H45" s="75" t="inlineStr">
        <is>
          <t>児玉・藤中</t>
        </is>
      </c>
      <c r="I45" s="73" t="inlineStr">
        <is>
          <t>協議中</t>
        </is>
      </c>
    </row>
    <row r="46" ht="78" customHeight="1" s="107">
      <c r="A46" s="74" t="inlineStr">
        <is>
          <t>H42</t>
        </is>
      </c>
      <c r="B46" s="75" t="inlineStr">
        <is>
          <t>事務・契約</t>
        </is>
      </c>
      <c r="C46" s="75" t="inlineStr">
        <is>
          <t>リソースパーソン招待状のシンガポール側署名者</t>
        </is>
      </c>
      <c r="D46" s="75" t="inlineStr">
        <is>
          <t>招待状v2はADRC（三浦会長）とシンガポール側の双方署名。池田はSG側署名完了後に各登壇者へ発送（9/24）。SG側の署名者は未確認。</t>
        </is>
      </c>
      <c r="E46" s="75" t="inlineStr">
        <is>
          <t>SCDF/COSEMのどちらが誰の名で署名するか、署名の手順（電子か原本か）</t>
        </is>
      </c>
      <c r="F46" s="74" t="inlineStr">
        <is>
          <t>池田 9/24メール、荒木田 9/24</t>
        </is>
      </c>
      <c r="G46" s="74" t="inlineStr">
        <is>
          <t>9/30</t>
        </is>
      </c>
      <c r="H46" s="75" t="inlineStr">
        <is>
          <t>荒木田→Sylvia</t>
        </is>
      </c>
      <c r="I46" s="73" t="inlineStr">
        <is>
          <t>未協議</t>
        </is>
      </c>
    </row>
    <row r="47" ht="78" customHeight="1" s="107">
      <c r="A47" s="74" t="inlineStr">
        <is>
          <t>H43</t>
        </is>
      </c>
      <c r="B47" s="75" t="inlineStr">
        <is>
          <t>記録</t>
        </is>
      </c>
      <c r="C47" s="75" t="inlineStr">
        <is>
          <t>第6回合同会議（10/1 15:00）の議題</t>
        </is>
      </c>
      <c r="D47" s="75" t="inlineStr">
        <is>
          <t>ADRC側から: 座席案（U28）の確認、AV見積と費用分担、Day 1前倒し、バナー修正版、07:30入室、ビザ申請状況、レセプション名簿【9/29 JM6実施済み。要点は Day1/Day2 留意事項と J48〜J56】</t>
        </is>
      </c>
      <c r="E47" s="75" t="inlineStr">
        <is>
          <t>議題の事前共有</t>
        </is>
      </c>
      <c r="F47" s="74" t="inlineStr">
        <is>
          <t>本表</t>
        </is>
      </c>
      <c r="G47" s="74" t="inlineStr">
        <is>
          <t>9/29</t>
        </is>
      </c>
      <c r="H47" s="75" t="inlineStr">
        <is>
          <t>荒木田・児玉</t>
        </is>
      </c>
      <c r="I47" s="73" t="inlineStr">
        <is>
          <t>合意</t>
        </is>
      </c>
    </row>
    <row r="48" ht="78" customHeight="1" s="107">
      <c r="A48" s="74" t="inlineStr">
        <is>
          <t>H44</t>
        </is>
      </c>
      <c r="B48" s="75" t="inlineStr">
        <is>
          <t>事務・契約</t>
        </is>
      </c>
      <c r="C48" s="75" t="inlineStr">
        <is>
          <t>3人目以降の参加者の費用（ランチ・Gala・3日目パス）</t>
        </is>
      </c>
      <c r="D48" s="75" t="inlineStr">
        <is>
          <t>【9/25所内】2人目までは COSEM 負担（ランチ・Gala）、3人目以降は自己負担が原則。ADRC職員分の割当をメンバー国・NZに回す（Galaは可と聞いている、ランチはSylvia氏が確認中）。不可ならメンバー国・アドバイザー国の3人目以降はランチと3日目パスを自己負担。ADPC追加2名（4名へ）はADRC負担なし（GIでランチ付きと案内した経緯があるため言い方に配慮）。原則を崩さない（宮木）。</t>
        </is>
      </c>
      <c r="E48" s="75" t="inlineStr">
        <is>
          <t>ADRC職員分のランチ・Gala割当をメンバー国・NZへ振り替えられるか。GI発出時点（6月）にランチ有償の連絡がなかった経緯も伝える</t>
        </is>
      </c>
      <c r="F48" s="74" t="inlineStr">
        <is>
          <t>9/25所内打合せ</t>
        </is>
      </c>
      <c r="G48" s="74" t="inlineStr">
        <is>
          <t>9/29 第6回合同会議</t>
        </is>
      </c>
      <c r="H48" s="75" t="inlineStr">
        <is>
          <t>藤中</t>
        </is>
      </c>
      <c r="I48" s="73" t="inlineStr">
        <is>
          <t>未協議</t>
        </is>
      </c>
    </row>
    <row r="49" ht="78" customHeight="1" s="107">
      <c r="A49" s="74" t="inlineStr">
        <is>
          <t>H45</t>
        </is>
      </c>
      <c r="B49" s="75" t="inlineStr">
        <is>
          <t>ホスピタリティ</t>
        </is>
      </c>
      <c r="C49" s="75" t="inlineStr">
        <is>
          <t>Dorsett客室の増枠</t>
        </is>
      </c>
      <c r="D49" s="75" t="inlineStr">
        <is>
          <t>【9/25】確保37室に対し2人目・3人目の希望が増加。早期に増枠を申入れ。確保できない場合は「できない」と明確に伝える。</t>
        </is>
      </c>
      <c r="E49" s="75" t="inlineStr">
        <is>
          <t>追加可能室数とリリース期限（9/28）の扱い</t>
        </is>
      </c>
      <c r="F49" s="74" t="inlineStr">
        <is>
          <t>藤中 9/25</t>
        </is>
      </c>
      <c r="G49" s="74" t="inlineStr">
        <is>
          <t>9/29</t>
        </is>
      </c>
      <c r="H49" s="75" t="inlineStr">
        <is>
          <t>藤中</t>
        </is>
      </c>
      <c r="I49" s="73" t="inlineStr">
        <is>
          <t>未協議</t>
        </is>
      </c>
    </row>
    <row r="50" ht="78" customHeight="1" s="107">
      <c r="A50" s="74" t="inlineStr">
        <is>
          <t>H46</t>
        </is>
      </c>
      <c r="B50" s="75" t="inlineStr">
        <is>
          <t>記録</t>
        </is>
      </c>
      <c r="C50" s="75" t="inlineStr">
        <is>
          <t>第6回合同会議の日程変更</t>
        </is>
      </c>
      <c r="D50" s="75" t="inlineStr">
        <is>
          <t>【9/25】Sylvia氏（9/24）から時間変更の申入れ。児玉は9/29午前なら可。10/1 15:00から9/29午前へ変更を回答。※SCDFモデレーター事前ブリーフィングも9/29が第一候補のため重複に注意。</t>
        </is>
      </c>
      <c r="E50" s="75" t="inlineStr">
        <is>
          <t>9/29午前の時刻確定</t>
        </is>
      </c>
      <c r="F50" s="74" t="inlineStr">
        <is>
          <t>Sylvia 9/24、9/25所内打合せ</t>
        </is>
      </c>
      <c r="G50" s="74" t="inlineStr">
        <is>
          <t>9/26</t>
        </is>
      </c>
      <c r="H50" s="75" t="inlineStr">
        <is>
          <t>荒木田</t>
        </is>
      </c>
      <c r="I50" s="73" t="inlineStr">
        <is>
          <t>未協議</t>
        </is>
      </c>
    </row>
    <row r="51" ht="78" customHeight="1" s="107">
      <c r="A51" s="74" t="inlineStr">
        <is>
          <t>H47</t>
        </is>
      </c>
      <c r="B51" s="75" t="inlineStr">
        <is>
          <t>プログラム</t>
        </is>
      </c>
      <c r="C51" s="75" t="inlineStr">
        <is>
          <t>大使館表敬（27日午前）</t>
        </is>
      </c>
      <c r="D51" s="75" t="inlineStr">
        <is>
          <t>【9/25】役員（三浦・北本・宮木中心）が27日午前に会場を短時間見た後、大使館へ表敬。26日は長官夕食会のため不可。</t>
        </is>
      </c>
      <c r="E51" s="75" t="inlineStr">
        <is>
          <t>大使館側（足立氏）の都合、Dorsett→大使館の移動手段</t>
        </is>
      </c>
      <c r="F51" s="74" t="inlineStr">
        <is>
          <t>9/25所内打合せ（宮木）</t>
        </is>
      </c>
      <c r="G51" s="74" t="inlineStr">
        <is>
          <t>10/9</t>
        </is>
      </c>
      <c r="H51" s="75" t="inlineStr">
        <is>
          <t>荒木田・児玉</t>
        </is>
      </c>
      <c r="I51" s="73" t="inlineStr">
        <is>
          <t>未協議</t>
        </is>
      </c>
    </row>
    <row r="52" ht="78" customHeight="1" s="107">
      <c r="A52" s="201" t="inlineStr">
        <is>
          <t>J48</t>
        </is>
      </c>
      <c r="B52" s="202" t="inlineStr">
        <is>
          <t>会場・機材</t>
        </is>
      </c>
      <c r="C52" s="202" t="inlineStr">
        <is>
          <t>ステージ（riser）と前方登壇者卓</t>
        </is>
      </c>
      <c r="D52" s="202" t="inlineStr">
        <is>
          <t>Sylvia 9/29: 9パネルのステージに前方2卓を載せる提案（パネルが少ないと不安定）。ADRC: 無償なら可、有償なら床レベルで可（演台はTSのみ、視認性は問題なし）。28日は演台のみ。</t>
        </is>
      </c>
      <c r="E52" s="202" t="inlineStr">
        <is>
          <t>費用負担、パネル数、28日の前方構成</t>
        </is>
      </c>
      <c r="F52" s="201" t="inlineStr">
        <is>
          <t>WhatsApp 9/29、JM6</t>
        </is>
      </c>
      <c r="G52" s="201" t="inlineStr">
        <is>
          <t>10/8</t>
        </is>
      </c>
      <c r="H52" s="202" t="inlineStr">
        <is>
          <t>児玉・荒木田</t>
        </is>
      </c>
      <c r="I52" s="203" t="inlineStr">
        <is>
          <t>協議中</t>
        </is>
      </c>
    </row>
    <row r="53" ht="78" customHeight="1" s="107">
      <c r="A53" s="201" t="inlineStr">
        <is>
          <t>J49</t>
        </is>
      </c>
      <c r="B53" s="202" t="inlineStr">
        <is>
          <t>会場・機材</t>
        </is>
      </c>
      <c r="C53" s="202" t="inlineStr">
        <is>
          <t>バナーの設置方法</t>
        </is>
      </c>
      <c r="D53" s="202" t="inlineStr">
        <is>
          <t>スクリーン下への取付は不可。案: (a)登壇者卓前面の布バナー、(b)床置き2本ポール（MC席で隠れる）、(c)2025年型A型スタンド400×80cm（写真送付済み）。</t>
        </is>
      </c>
      <c r="E53" s="202" t="inlineStr">
        <is>
          <t>方式の選択、制作・費用の分担</t>
        </is>
      </c>
      <c r="F53" s="201" t="inlineStr">
        <is>
          <t>WhatsApp 9/29</t>
        </is>
      </c>
      <c r="G53" s="201" t="inlineStr">
        <is>
          <t>10/8</t>
        </is>
      </c>
      <c r="H53" s="202" t="inlineStr">
        <is>
          <t>児玉</t>
        </is>
      </c>
      <c r="I53" s="203" t="inlineStr">
        <is>
          <t>協議中</t>
        </is>
      </c>
    </row>
    <row r="54" ht="78" customHeight="1" s="107">
      <c r="A54" s="201" t="inlineStr">
        <is>
          <t>J50</t>
        </is>
      </c>
      <c r="B54" s="202" t="inlineStr">
        <is>
          <t>会場・機材</t>
        </is>
      </c>
      <c r="C54" s="202" t="inlineStr">
        <is>
          <t>会場拡張とティーブレイク区画</t>
        </is>
      </c>
      <c r="D54" s="202" t="inlineStr">
        <is>
          <t>教室型1列の撤去可（荒木田）。204-206側（NOT IN USE区画）へ拡張。ティーブレイクは青（204-206前）かピンク（201-203側廊下）、ADRCはどちらでも可。AV席・事務局席の位置を要確認。</t>
        </is>
      </c>
      <c r="E54" s="202" t="inlineStr">
        <is>
          <t>Expoの最終図面</t>
        </is>
      </c>
      <c r="F54" s="201" t="inlineStr">
        <is>
          <t>WhatsApp 9/29</t>
        </is>
      </c>
      <c r="G54" s="201" t="inlineStr">
        <is>
          <t>至急</t>
        </is>
      </c>
      <c r="H54" s="202" t="inlineStr">
        <is>
          <t>児玉</t>
        </is>
      </c>
      <c r="I54" s="203" t="inlineStr">
        <is>
          <t>協議中</t>
        </is>
      </c>
    </row>
    <row r="55" ht="78" customHeight="1" s="107">
      <c r="A55" s="201" t="inlineStr">
        <is>
          <t>J51</t>
        </is>
      </c>
      <c r="B55" s="202" t="inlineStr">
        <is>
          <t>会場・機材</t>
        </is>
      </c>
      <c r="C55" s="202" t="inlineStr">
        <is>
          <t>カメラ（Zoom用）の持込と2台運用の可否</t>
        </is>
      </c>
      <c r="D55" s="202" t="inlineStr">
        <is>
          <t>【決定】Zoom用ビデオカメラ1台はADRCが持込（仙台と同様にHDMI接続、AVオペレータへ渡す）。2台運用（演台固定＋U字パン、Sylvia 9/29案）にするかは未決。10月はカメラマン確保困難、業者機材を職員が操作する場合の損害責任をSylviaが懸念。教室型1列目のRT発言者（仙台市・Google）をどう撮るかも未決。</t>
        </is>
      </c>
      <c r="E55" s="202" t="inlineStr">
        <is>
          <t>2台目の要否と費用、HDMI入力、見積からの減額</t>
        </is>
      </c>
      <c r="F55" s="201" t="inlineStr">
        <is>
          <t>Sylvia 9/22、荒木田 9/24、JM6、WhatsApp 9/29</t>
        </is>
      </c>
      <c r="G55" s="201" t="inlineStr">
        <is>
          <t>10/8</t>
        </is>
      </c>
      <c r="H55" s="202" t="inlineStr">
        <is>
          <t>荒木田</t>
        </is>
      </c>
      <c r="I55" s="203" t="inlineStr">
        <is>
          <t>協議中</t>
        </is>
      </c>
    </row>
    <row r="56" ht="78" customHeight="1" s="107">
      <c r="A56" s="201" t="inlineStr">
        <is>
          <t>J52</t>
        </is>
      </c>
      <c r="B56" s="202" t="inlineStr">
        <is>
          <t>役割分担</t>
        </is>
      </c>
      <c r="C56" s="202" t="inlineStr">
        <is>
          <t>名札65枚の調達</t>
        </is>
      </c>
      <c r="D56" s="202" t="inlineStr">
        <is>
          <t>COSEMは提供せず。SylviaがSCDF各部署から借用（14〜15枚確保済）。ADRCは国旗ロゴ等の素材と名簿（10/13）を提供。</t>
        </is>
      </c>
      <c r="E56" s="202" t="inlineStr">
        <is>
          <t>テンプレート様式、素材の形式</t>
        </is>
      </c>
      <c r="F56" s="201" t="inlineStr">
        <is>
          <t>JM6 9/29</t>
        </is>
      </c>
      <c r="G56" s="201" t="inlineStr">
        <is>
          <t>10/13</t>
        </is>
      </c>
      <c r="H56" s="202" t="inlineStr">
        <is>
          <t>荒木田・田中</t>
        </is>
      </c>
      <c r="I56" s="203" t="inlineStr">
        <is>
          <t>協議中</t>
        </is>
      </c>
    </row>
    <row r="57" ht="78" customHeight="1" s="107">
      <c r="A57" s="201" t="inlineStr">
        <is>
          <t>J53</t>
        </is>
      </c>
      <c r="B57" s="202" t="inlineStr">
        <is>
          <t>会場・機材</t>
        </is>
      </c>
      <c r="C57" s="202" t="inlineStr">
        <is>
          <t>当日早朝設営（前日設営の追加課金回避）</t>
        </is>
      </c>
      <c r="D57" s="202" t="inlineStr">
        <is>
          <t>前日設営はExpoが1日分課金。JM6でSylvia「Expoに確認したところ設営開始は最早08:00」（録音83:28、要確認）。ADRCの07:30入室希望（9/24メール）は未承認。当日早朝設営の可否と開始時刻をSylviaがExpo/COSEMに確認中。【荒木田 9/30】机・椅子の配置を28・29日で共通にし（前方登壇者卓・演台・ステージは28日朝に設営してそのまま）、29日朝はAVと名札の準備のみとすれば08:00入室で足りる。9/24メールの「28日夜の前方組替」は不要。</t>
        </is>
      </c>
      <c r="E57" s="202" t="inlineStr">
        <is>
          <t>設営開始時刻（08:00）、28日の前方構成を29日と同じにする可否（RT・SCでも登壇者卓を置いたまま）</t>
        </is>
      </c>
      <c r="F57" s="201" t="inlineStr">
        <is>
          <t>JM6 9/29</t>
        </is>
      </c>
      <c r="G57" s="201" t="inlineStr">
        <is>
          <t>10/8</t>
        </is>
      </c>
      <c r="H57" s="202" t="inlineStr">
        <is>
          <t>荒木田・池田</t>
        </is>
      </c>
      <c r="I57" s="203" t="inlineStr">
        <is>
          <t>協議中</t>
        </is>
      </c>
    </row>
    <row r="58" ht="78" customHeight="1" s="107">
      <c r="A58" s="201" t="inlineStr">
        <is>
          <t>J54</t>
        </is>
      </c>
      <c r="B58" s="202" t="inlineStr">
        <is>
          <t>プログラム</t>
        </is>
      </c>
      <c r="C58" s="202" t="inlineStr">
        <is>
          <t>ACDR Opening/ClosingのSCDF登壇者</t>
        </is>
      </c>
      <c r="D58" s="202" t="inlineStr">
        <is>
          <t>Opening 12:45: Commissioner（tbc、不在時はAlan Chow氏）。Closing 11:54: SCDF代表【TBC】。</t>
        </is>
      </c>
      <c r="E58" s="202" t="inlineStr">
        <is>
          <t>登壇者の確定</t>
        </is>
      </c>
      <c r="F58" s="201" t="inlineStr">
        <is>
          <t>進行シナリオ案0929</t>
        </is>
      </c>
      <c r="G58" s="201" t="inlineStr">
        <is>
          <t>10/8</t>
        </is>
      </c>
      <c r="H58" s="202" t="inlineStr">
        <is>
          <t>荒木田</t>
        </is>
      </c>
      <c r="I58" s="203" t="inlineStr">
        <is>
          <t>未協議</t>
        </is>
      </c>
    </row>
    <row r="59" ht="78" customHeight="1" s="107">
      <c r="A59" s="201" t="inlineStr">
        <is>
          <t>J55</t>
        </is>
      </c>
      <c r="B59" s="202" t="inlineStr">
        <is>
          <t>プログラム</t>
        </is>
      </c>
      <c r="C59" s="202" t="inlineStr">
        <is>
          <t>ブリーフィング日程</t>
        </is>
      </c>
      <c r="D59" s="202" t="inlineStr">
        <is>
          <t>10/8（木）全体シナリオ、10/9（金）TS（Mizan）＋RT（吉田・Gerry）個別。SylviaがGoogle Meet招待。</t>
        </is>
      </c>
      <c r="E59" s="202" t="inlineStr">
        <is>
          <t>時刻の確定</t>
        </is>
      </c>
      <c r="F59" s="201" t="inlineStr">
        <is>
          <t>JM6 9/29</t>
        </is>
      </c>
      <c r="G59" s="201" t="inlineStr">
        <is>
          <t>10/3</t>
        </is>
      </c>
      <c r="H59" s="202" t="inlineStr">
        <is>
          <t>荒木田</t>
        </is>
      </c>
      <c r="I59" s="203" t="inlineStr">
        <is>
          <t>協議中</t>
        </is>
      </c>
    </row>
    <row r="60" ht="78" customHeight="1" s="107">
      <c r="A60" s="201" t="inlineStr">
        <is>
          <t>J56</t>
        </is>
      </c>
      <c r="B60" s="202" t="inlineStr">
        <is>
          <t>事務・契約</t>
        </is>
      </c>
      <c r="C60" s="202" t="inlineStr">
        <is>
          <t>3人目以降のスワップ（約5名）</t>
        </is>
      </c>
      <c r="D60" s="202" t="inlineStr">
        <is>
          <t>韓国2・インド1・ベトナム1・トルコ1（未確定）。Sylviaが「110枠内の入替」としてCOSEMに再交渉。</t>
        </is>
      </c>
      <c r="E60" s="202" t="inlineStr">
        <is>
          <t>結果</t>
        </is>
      </c>
      <c r="F60" s="201" t="inlineStr">
        <is>
          <t>JM6 9/29</t>
        </is>
      </c>
      <c r="G60" s="201" t="inlineStr">
        <is>
          <t>10/3</t>
        </is>
      </c>
      <c r="H60" s="202" t="inlineStr">
        <is>
          <t>藤中</t>
        </is>
      </c>
      <c r="I60" s="203" t="inlineStr">
        <is>
          <t>協議中</t>
        </is>
      </c>
    </row>
    <row r="61" ht="78" customHeight="1" s="107">
      <c r="A61" s="201" t="inlineStr">
        <is>
          <t>J57</t>
        </is>
      </c>
      <c r="B61" s="202" t="inlineStr">
        <is>
          <t>プログラム</t>
        </is>
      </c>
      <c r="C61" s="202" t="inlineStr">
        <is>
          <t>ACDR Opening の持ち時間と登壇順</t>
        </is>
      </c>
      <c r="D61" s="202" t="inlineStr">
        <is>
          <t>Sylvia 9/30（児玉経由）: Commissioner は5分、Chairman は短めに。→ 三浦 約3分・Commissioner 5分・林副大臣 4〜5分・MC 計2分（15分枠）。登壇順は暫定で三浦→Commissioner→林副大臣（後の登壇者ほど上位とするSG側プロトコルを尊重）。三浦開会挨拶は rev3（英語約340語、3分）。 【9/30 内閣府確認（児玉）】林副大臣は英語で挨拶（通訳なし）、肩書 Deputy Minister for Disaster Management, Cabinet Office of Japan。 【10/2 Sylvia WhatsApp 08:01】アジェンダ順（Commissioner→林副大臣→三浦センター長が開会宣言）で可（We are ok with the order!）。9/30 の暫定順は取り下げ、進行シナリオ案1004に反映。</t>
        </is>
      </c>
      <c r="E61" s="202" t="inlineStr">
        <is>
          <t>Commissioner 原稿の分量（Sylvia 起案）、Commissioner 出席の最終確認</t>
        </is>
      </c>
      <c r="F61" s="201" t="inlineStr">
        <is>
          <t>WhatsApp 9/30、進行シナリオ 0930 rev2、WhatsApp 10/2、進行シナリオ 案1004</t>
        </is>
      </c>
      <c r="G61" s="201" t="inlineStr">
        <is>
          <t>10/8</t>
        </is>
      </c>
      <c r="H61" s="202" t="inlineStr">
        <is>
          <t>荒木田</t>
        </is>
      </c>
      <c r="I61" s="203" t="inlineStr">
        <is>
          <t>登壇順 確定</t>
        </is>
      </c>
    </row>
    <row r="62" ht="78" customHeight="1" s="107">
      <c r="A62" s="201" t="inlineStr">
        <is>
          <t>J58</t>
        </is>
      </c>
      <c r="B62" s="202" t="inlineStr">
        <is>
          <t>ホスピタリティ</t>
        </is>
      </c>
      <c r="C62" s="202" t="inlineStr">
        <is>
          <t>長官主催夕食会（10/26）</t>
        </is>
      </c>
      <c r="D62" s="202" t="inlineStr">
        <is>
          <t>Sylvia 9/30: Home Team NS Khatib（Orchid Live Seafood）18:30。出席者は三浦・北本・宮木ほか役員（大使館表敬は27日午前に変更済）。 【10/2】北本理事は到着遅延の懸念で辞退（児玉→Sylvia、Sylvia が先方へ伝達）。出席は三浦センター長・宮木所長・児玉の3名。COSEM が北本理事を空港で出迎え（SQ637 16:30 着）、遅延時は Sylvia へ連絡。</t>
        </is>
      </c>
      <c r="E62" s="202" t="inlineStr">
        <is>
          <t>出席者名簿、Dorsett からの送迎</t>
        </is>
      </c>
      <c r="F62" s="201" t="inlineStr">
        <is>
          <t>WhatsApp 9/30</t>
        </is>
      </c>
      <c r="G62" s="201" t="inlineStr">
        <is>
          <t>10/9</t>
        </is>
      </c>
      <c r="H62" s="202" t="inlineStr">
        <is>
          <t>児玉</t>
        </is>
      </c>
      <c r="I62" s="203" t="inlineStr">
        <is>
          <t>協議中</t>
        </is>
      </c>
    </row>
    <row r="63" ht="78" customHeight="1" s="107">
      <c r="A63" s="201" t="inlineStr">
        <is>
          <t>J59</t>
        </is>
      </c>
      <c r="B63" s="202" t="inlineStr">
        <is>
          <t>事務・契約</t>
        </is>
      </c>
      <c r="C63" s="202" t="inlineStr">
        <is>
          <t>Dorsett 客室リリースと10%アトリション</t>
        </is>
      </c>
      <c r="D63" s="202" t="inlineStr">
        <is>
          <t>Jillian 9/30: 10%超のリリースはペナルティ（26日 30→24室: 3室分、30日 37→27室: 6室分）。契約（COSEM⇔Dorsett）: 保証ブロックは10/27〜30 各60室、S$250++/275++、2nd review 9/27「10% release of any unsold room」、「on each cut-off date」で日割り解釈の余地。26日はブロック外（追加室）。ADRC/藤中は総室泊の10%と理解、契約書は未見。</t>
        </is>
      </c>
      <c r="E63" s="202" t="inlineStr">
        <is>
          <t>(1) 26日分はブロック外で10%規定の適用外ではないか、(2) 30日分の10%の算定基準（日別か総室泊か）、(3) ペナルティ相当分は空室で払うより利用に充てる（Hotel Mi泊の職員等を移す）、(4) 負担者（COSEM⇔ADRC）</t>
        </is>
      </c>
      <c r="F63" s="201" t="inlineStr">
        <is>
          <t>Jillian メール 9/30、契約書画像、WhatsApp 9/30</t>
        </is>
      </c>
      <c r="G63" s="201" t="inlineStr">
        <is>
          <t>10/3</t>
        </is>
      </c>
      <c r="H63" s="202" t="inlineStr">
        <is>
          <t>藤中・児玉</t>
        </is>
      </c>
      <c r="I63" s="203" t="inlineStr">
        <is>
          <t>協議中</t>
        </is>
      </c>
    </row>
    <row r="64" ht="78" customHeight="1" s="107">
      <c r="A64" s="201" t="inlineStr">
        <is>
          <t>J60</t>
        </is>
      </c>
      <c r="B64" s="202" t="inlineStr">
        <is>
          <t>会場・機材</t>
        </is>
      </c>
      <c r="C64" s="202" t="inlineStr">
        <is>
          <t>会場バナーのデザイン案</t>
        </is>
      </c>
      <c r="D64" s="202" t="inlineStr">
        <is>
          <t>Sylvia 9/30 → 荒木田に確認依頼。案: 上段 SG国旗・SCDF・COSEM・ADRC ロゴ・日本国旗、下段「SIDEX-ACDR 2026 in conjunction with FiSAC」ロゴ＋「ASIAN CONFERENCE ON DISASTER REDUCTION 2026 / 27-30 October 2026 | Singapore Expo」。会期表記はアジェンダ（27-30 Oct）と一致。内閣府ロゴ・名称なし（記者発表では内閣府が主催）→ 児玉経由で内閣府に確認。ADRC ロゴは公式データを送付。 【9/30 児玉】内閣府ロゴは不要（打合せと大使館で確認済）。→ Sylvia に「デザイン了承、ADRC ロゴ高解像度データを送付」と返答。</t>
        </is>
      </c>
      <c r="E64" s="202" t="inlineStr">
        <is>
          <t>ADRC ロゴ公式データの送付、寸法（卓前面布バナー／A型スタンド）</t>
        </is>
      </c>
      <c r="F64" s="201" t="inlineStr">
        <is>
          <t>WhatsApp 9/30</t>
        </is>
      </c>
      <c r="G64" s="201" t="inlineStr">
        <is>
          <t>10/3</t>
        </is>
      </c>
      <c r="H64" s="202" t="inlineStr">
        <is>
          <t>荒木田・児玉</t>
        </is>
      </c>
      <c r="I64" s="203" t="inlineStr">
        <is>
          <t>合意</t>
        </is>
      </c>
    </row>
    <row r="66">
      <c r="B66" s="77" t="inlineStr">
        <is>
          <t>凡例</t>
        </is>
      </c>
    </row>
    <row r="67">
      <c r="B67" s="18" t="n"/>
      <c r="C67" s="78" t="inlineStr">
        <is>
          <t>未協議（COSEM/SCDFにまだ提示していない）</t>
        </is>
      </c>
    </row>
    <row r="68">
      <c r="B68" s="17" t="n"/>
      <c r="C68" s="78" t="inlineStr">
        <is>
          <t>協議中（提示済み・回答待ち）</t>
        </is>
      </c>
    </row>
    <row r="69">
      <c r="B69" s="15" t="n"/>
      <c r="C69" s="78" t="inlineStr">
        <is>
          <t>合意</t>
        </is>
      </c>
    </row>
    <row r="71">
      <c r="B71" s="77" t="inlineStr">
        <is>
          <t>集計</t>
        </is>
      </c>
    </row>
    <row r="72">
      <c r="B72" s="78" t="inlineStr">
        <is>
          <t>未協議</t>
        </is>
      </c>
      <c r="C72" s="79">
        <f>COUNTIF(I5:I64,"未協議")</f>
        <v/>
      </c>
    </row>
    <row r="73">
      <c r="B73" s="78" t="inlineStr">
        <is>
          <t>協議中</t>
        </is>
      </c>
      <c r="C73" s="79">
        <f>COUNTIF(I5:I64,"協議中")</f>
        <v/>
      </c>
    </row>
    <row r="74">
      <c r="B74" s="78" t="inlineStr">
        <is>
          <t>合意</t>
        </is>
      </c>
      <c r="C74" s="79">
        <f>COUNTIF(I5:I64,"合意")</f>
        <v/>
      </c>
    </row>
  </sheetData>
  <mergeCells count="1">
    <mergeCell ref="A2:I2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6"/>
  <sheetViews>
    <sheetView zoomScaleNormal="100" workbookViewId="0">
      <selection activeCell="E26" sqref="E26"/>
    </sheetView>
  </sheetViews>
  <sheetFormatPr baseColWidth="8" defaultColWidth="8.5546875" defaultRowHeight="14.4"/>
  <cols>
    <col width="22" customWidth="1" style="107" min="1" max="1"/>
    <col width="30" customWidth="1" style="107" min="2" max="2"/>
    <col width="10" customWidth="1" style="107" min="3" max="6"/>
    <col width="18" customWidth="1" style="107" min="7" max="7"/>
    <col width="14" customWidth="1" style="107" min="8" max="8"/>
    <col width="10" customWidth="1" style="107" min="9" max="9"/>
    <col width="30" customWidth="1" style="107" min="10" max="10"/>
  </cols>
  <sheetData>
    <row r="1" ht="15" customHeight="1" s="107">
      <c r="A1" s="65" t="inlineStr">
        <is>
          <t>メンバー国等 到着・出発予定（ホテル部屋数検討用リスト_tt.xlsx Dorsettシート, as of 2026/8/25-28）</t>
        </is>
      </c>
    </row>
    <row r="2" ht="14.25" customHeight="1" s="107">
      <c r="A2" s="13" t="inlineStr">
        <is>
          <t>※TBDは招待済みで人選未定。DS=Dorsett自己負担。到着時刻はCOSEM送迎・Dorsett受付配置の検討用。</t>
        </is>
      </c>
    </row>
    <row r="3" ht="63.75" customHeight="1" s="107">
      <c r="A3" s="152" t="inlineStr">
        <is>
          <t>【9/4打合せ時点の登録状況】メンバー国15か国（日本・シンガポール除く。含めると17か国でSC定足数を確保）、現地登録42名、オンライン3名。新規: バングラデシュ、パキスタン2名、PNG2名、フィジー3名、カンボジア3名、韓国3名予定（登録未）、NZ（アドバイザー）3名。ウズベキスタン2名（リソース1＋メンバー1）は回答待ち。インドネシア環境省の扱い（メンバー国か）は要確認。フィリピン・タイ・ブルネイの追加で約20か国の見込み。到着は26日と27日午前に集中させる方針だが、14時台着（バングラデシュ等）はタクシー送迎の想定。　【9/24更新】9/17以降の登録: ブルネイ1名（9/20）、韓国3名（9/21）、COSEM Fabian Tan氏（9/24）、一般オンライン1名。タイはDDPMがPrasong Thammapala氏を指名予定（9/22、ADRCは1名分負担と回答）。タジキスタン・ウズベキスタンは9/24にWhatsAppで再リマインド（両国ともビザ要）。ウズベキスタンは連絡が取れ、2名を選出・登録予定（事務局が案内メールを再送）。　【9/25 藤中の登録リスト】メンバー国20か国36名（＋日本・タイ・ウズベキスタンで23か国）、NZ3名、一般22名（ADPCは2→4名予定）、リソース2名追加、ADRC12名。現地61名→最大83名。詳細は「参加者登録状況(9-25)」シート。</t>
        </is>
      </c>
    </row>
    <row r="4" ht="14.25" customHeight="1" s="107">
      <c r="A4" s="3" t="inlineStr">
        <is>
          <t>国・組織</t>
        </is>
      </c>
      <c r="B4" s="3" t="inlineStr">
        <is>
          <t>氏名</t>
        </is>
      </c>
      <c r="C4" s="3" t="inlineStr">
        <is>
          <t>到着日</t>
        </is>
      </c>
      <c r="D4" s="3" t="inlineStr">
        <is>
          <t>到着時刻</t>
        </is>
      </c>
      <c r="E4" s="3" t="inlineStr">
        <is>
          <t>出発日</t>
        </is>
      </c>
      <c r="F4" s="3" t="inlineStr">
        <is>
          <t>出発時刻</t>
        </is>
      </c>
      <c r="G4" s="3" t="inlineStr">
        <is>
          <t>便名(到着/出発)</t>
        </is>
      </c>
      <c r="H4" s="3" t="inlineStr">
        <is>
          <t>宿泊</t>
        </is>
      </c>
      <c r="I4" s="2" t="inlineStr">
        <is>
          <t>Field Trip</t>
        </is>
      </c>
      <c r="J4" s="3" t="inlineStr">
        <is>
          <t>備考</t>
        </is>
      </c>
    </row>
    <row r="5" ht="26.25" customHeight="1" s="107">
      <c r="A5" s="80" t="inlineStr">
        <is>
          <t>モルディブ</t>
        </is>
      </c>
      <c r="B5" s="81" t="inlineStr">
        <is>
          <t>Hassan Hisan (Chief Executive, NDMA)</t>
        </is>
      </c>
      <c r="C5" s="81" t="inlineStr">
        <is>
          <t>10/27</t>
        </is>
      </c>
      <c r="D5" s="81" t="inlineStr">
        <is>
          <t>07:15</t>
        </is>
      </c>
      <c r="E5" s="81" t="inlineStr">
        <is>
          <t>10/31</t>
        </is>
      </c>
      <c r="F5" s="81" t="inlineStr">
        <is>
          <t>10:25</t>
        </is>
      </c>
      <c r="G5" s="81" t="inlineStr">
        <is>
          <t>―</t>
        </is>
      </c>
      <c r="H5" s="81" t="inlineStr">
        <is>
          <t>D</t>
        </is>
      </c>
      <c r="I5" s="81" t="inlineStr">
        <is>
          <t>Yes</t>
        </is>
      </c>
      <c r="J5" s="81" t="inlineStr">
        <is>
          <t>Halal</t>
        </is>
      </c>
    </row>
    <row r="6" ht="14.25" customHeight="1" s="107">
      <c r="A6" s="80" t="inlineStr">
        <is>
          <t>アルメニア</t>
        </is>
      </c>
      <c r="B6" s="81" t="inlineStr">
        <is>
          <t>Syuzanna Vardazari Kakoyan</t>
        </is>
      </c>
      <c r="C6" s="81" t="inlineStr">
        <is>
          <t>10/27</t>
        </is>
      </c>
      <c r="D6" s="81" t="inlineStr">
        <is>
          <t>08:45</t>
        </is>
      </c>
      <c r="E6" s="81" t="inlineStr">
        <is>
          <t>11/1</t>
        </is>
      </c>
      <c r="F6" s="81" t="inlineStr">
        <is>
          <t>―</t>
        </is>
      </c>
      <c r="G6" s="81" t="inlineStr">
        <is>
          <t>TK208/TK209</t>
        </is>
      </c>
      <c r="H6" s="81" t="inlineStr">
        <is>
          <t>D(+10/31 DS)</t>
        </is>
      </c>
      <c r="I6" s="81" t="inlineStr">
        <is>
          <t>Yes</t>
        </is>
      </c>
      <c r="J6" s="80" t="inlineStr">
        <is>
          <t>本人希望で1泊延長</t>
        </is>
      </c>
    </row>
    <row r="7" ht="14.25" customHeight="1" s="107">
      <c r="A7" s="80" t="inlineStr">
        <is>
          <t>アゼルバイジャン</t>
        </is>
      </c>
      <c r="B7" s="81" t="inlineStr">
        <is>
          <t>Zamanov Niyazi</t>
        </is>
      </c>
      <c r="C7" s="81" t="inlineStr">
        <is>
          <t>10/26</t>
        </is>
      </c>
      <c r="D7" s="81" t="inlineStr">
        <is>
          <t>17:40</t>
        </is>
      </c>
      <c r="E7" s="81" t="inlineStr">
        <is>
          <t>10/30</t>
        </is>
      </c>
      <c r="F7" s="81" t="inlineStr">
        <is>
          <t>23:15</t>
        </is>
      </c>
      <c r="G7" s="81" t="inlineStr">
        <is>
          <t>TK335/TK54</t>
        </is>
      </c>
      <c r="H7" s="81" t="inlineStr">
        <is>
          <t>D</t>
        </is>
      </c>
      <c r="I7" s="81" t="inlineStr">
        <is>
          <t>Yes</t>
        </is>
      </c>
      <c r="J7" s="81" t="inlineStr">
        <is>
          <t>Halal</t>
        </is>
      </c>
    </row>
    <row r="8" ht="14.25" customHeight="1" s="107">
      <c r="A8" s="80" t="inlineStr">
        <is>
          <t>アゼルバイジャン</t>
        </is>
      </c>
      <c r="B8" s="81" t="inlineStr">
        <is>
          <t>Rustamzade Kamran</t>
        </is>
      </c>
      <c r="C8" s="81" t="inlineStr">
        <is>
          <t>10/26</t>
        </is>
      </c>
      <c r="D8" s="81" t="inlineStr">
        <is>
          <t>17:40</t>
        </is>
      </c>
      <c r="E8" s="81" t="inlineStr">
        <is>
          <t>10/30</t>
        </is>
      </c>
      <c r="F8" s="81" t="inlineStr">
        <is>
          <t>23:15</t>
        </is>
      </c>
      <c r="G8" s="81" t="inlineStr">
        <is>
          <t>TK335/TK54</t>
        </is>
      </c>
      <c r="H8" s="81" t="inlineStr">
        <is>
          <t>DS</t>
        </is>
      </c>
      <c r="I8" s="81" t="inlineStr">
        <is>
          <t>Yes</t>
        </is>
      </c>
      <c r="J8" s="81" t="inlineStr">
        <is>
          <t>Halal</t>
        </is>
      </c>
    </row>
    <row r="9" ht="26.25" customHeight="1" s="107">
      <c r="A9" s="80" t="inlineStr">
        <is>
          <t>トルコ</t>
        </is>
      </c>
      <c r="B9" s="81" t="inlineStr">
        <is>
          <t>Pehlivan Ali Hamza (Governor/Head of AFAD)</t>
        </is>
      </c>
      <c r="C9" s="81" t="inlineStr">
        <is>
          <t>10/27</t>
        </is>
      </c>
      <c r="D9" s="81" t="inlineStr">
        <is>
          <t>08:45</t>
        </is>
      </c>
      <c r="E9" s="81" t="inlineStr">
        <is>
          <t>10/31</t>
        </is>
      </c>
      <c r="F9" s="81" t="inlineStr">
        <is>
          <t>10:25</t>
        </is>
      </c>
      <c r="G9" s="81" t="inlineStr">
        <is>
          <t>―/TK209</t>
        </is>
      </c>
      <c r="H9" s="81" t="inlineStr">
        <is>
          <t>D</t>
        </is>
      </c>
      <c r="I9" s="81" t="inlineStr">
        <is>
          <t>Yes</t>
        </is>
      </c>
      <c r="J9" s="81" t="inlineStr">
        <is>
          <t>Halal</t>
        </is>
      </c>
    </row>
    <row r="10" ht="14.25" customHeight="1" s="107">
      <c r="A10" s="80" t="inlineStr">
        <is>
          <t>トルコ</t>
        </is>
      </c>
      <c r="B10" s="81" t="inlineStr">
        <is>
          <t>Yaman Muhammet Maruf</t>
        </is>
      </c>
      <c r="C10" s="81" t="inlineStr">
        <is>
          <t>10/27</t>
        </is>
      </c>
      <c r="D10" s="81" t="inlineStr">
        <is>
          <t>08:45</t>
        </is>
      </c>
      <c r="E10" s="81" t="inlineStr">
        <is>
          <t>10/31</t>
        </is>
      </c>
      <c r="F10" s="81" t="inlineStr">
        <is>
          <t>10:25</t>
        </is>
      </c>
      <c r="G10" s="81" t="inlineStr">
        <is>
          <t>―/TK209</t>
        </is>
      </c>
      <c r="H10" s="81" t="inlineStr">
        <is>
          <t>DS</t>
        </is>
      </c>
      <c r="I10" s="81" t="inlineStr">
        <is>
          <t>Yes</t>
        </is>
      </c>
      <c r="J10" s="81" t="inlineStr">
        <is>
          <t>Halal</t>
        </is>
      </c>
    </row>
    <row r="11" ht="26.25" customHeight="1" s="107">
      <c r="A11" s="80" t="inlineStr">
        <is>
          <t>モンゴル</t>
        </is>
      </c>
      <c r="B11" s="81" t="inlineStr">
        <is>
          <t>Nyambayar Tsedev (Director, NEMA)</t>
        </is>
      </c>
      <c r="C11" s="81" t="inlineStr">
        <is>
          <t>10/26</t>
        </is>
      </c>
      <c r="D11" s="81" t="inlineStr">
        <is>
          <t>21:55</t>
        </is>
      </c>
      <c r="E11" s="81" t="inlineStr">
        <is>
          <t>10/30</t>
        </is>
      </c>
      <c r="F11" s="81" t="inlineStr">
        <is>
          <t>23:55</t>
        </is>
      </c>
      <c r="G11" s="81" t="inlineStr">
        <is>
          <t>CA969/CA970</t>
        </is>
      </c>
      <c r="H11" s="81" t="inlineStr">
        <is>
          <t>D</t>
        </is>
      </c>
      <c r="I11" s="81" t="inlineStr">
        <is>
          <t>Yes</t>
        </is>
      </c>
      <c r="J11" s="80" t="inlineStr">
        <is>
          <t>中国国際航空(北京経由)</t>
        </is>
      </c>
    </row>
    <row r="12" ht="26.25" customHeight="1" s="107">
      <c r="A12" s="80" t="inlineStr">
        <is>
          <t>フィジー</t>
        </is>
      </c>
      <c r="B12" s="81" t="inlineStr">
        <is>
          <t>Naipolioni Dabea Boseiwaqa (Director, NDRMO)</t>
        </is>
      </c>
      <c r="C12" s="81" t="inlineStr">
        <is>
          <t>10/26</t>
        </is>
      </c>
      <c r="D12" s="81" t="inlineStr">
        <is>
          <t>21:35</t>
        </is>
      </c>
      <c r="E12" s="81" t="inlineStr">
        <is>
          <t>10/31</t>
        </is>
      </c>
      <c r="F12" s="81" t="inlineStr">
        <is>
          <t>13:40</t>
        </is>
      </c>
      <c r="G12" s="81" t="inlineStr">
        <is>
          <t>―</t>
        </is>
      </c>
      <c r="H12" s="81" t="inlineStr">
        <is>
          <t>D</t>
        </is>
      </c>
      <c r="I12" s="81" t="inlineStr">
        <is>
          <t>No</t>
        </is>
      </c>
      <c r="J12" s="80" t="inlineStr">
        <is>
          <t>【9/25】フライト手配のやり取りが進まず参加不透明。JICA櫻井氏にサポート依頼中</t>
        </is>
      </c>
    </row>
    <row r="13" ht="26.25" customHeight="1" s="107">
      <c r="A13" s="80" t="inlineStr">
        <is>
          <t>スリランカ</t>
        </is>
      </c>
      <c r="B13" s="81" t="inlineStr">
        <is>
          <t>Maj.Gen.(Retd.) Kotuwegoda (DG, DMC)</t>
        </is>
      </c>
      <c r="C13" s="81" t="inlineStr">
        <is>
          <t>10/27</t>
        </is>
      </c>
      <c r="D13" s="81" t="inlineStr">
        <is>
          <t>08:10</t>
        </is>
      </c>
      <c r="E13" s="81" t="inlineStr">
        <is>
          <t>10/31</t>
        </is>
      </c>
      <c r="F13" s="81" t="inlineStr">
        <is>
          <t>09:40</t>
        </is>
      </c>
      <c r="G13" s="81" t="inlineStr">
        <is>
          <t>―</t>
        </is>
      </c>
      <c r="H13" s="81" t="inlineStr">
        <is>
          <t>D</t>
        </is>
      </c>
      <c r="I13" s="81" t="inlineStr">
        <is>
          <t>No</t>
        </is>
      </c>
      <c r="J13" s="80" t="n"/>
    </row>
    <row r="14" ht="14.25" customHeight="1" s="107">
      <c r="A14" s="80" t="inlineStr">
        <is>
          <t>マレーシア</t>
        </is>
      </c>
      <c r="B14" s="81" t="inlineStr">
        <is>
          <t>Ezrin Rozani Bin Rosli (NADMA)</t>
        </is>
      </c>
      <c r="C14" s="81" t="inlineStr">
        <is>
          <t>10/27</t>
        </is>
      </c>
      <c r="D14" s="81" t="inlineStr">
        <is>
          <t>12:20</t>
        </is>
      </c>
      <c r="E14" s="81" t="inlineStr">
        <is>
          <t>10/31</t>
        </is>
      </c>
      <c r="F14" s="81" t="inlineStr">
        <is>
          <t>12:45</t>
        </is>
      </c>
      <c r="G14" s="81" t="inlineStr">
        <is>
          <t>―</t>
        </is>
      </c>
      <c r="H14" s="81" t="inlineStr">
        <is>
          <t>D(10/27-)</t>
        </is>
      </c>
      <c r="I14" s="81" t="inlineStr">
        <is>
          <t>Yes</t>
        </is>
      </c>
      <c r="J14" s="81" t="inlineStr">
        <is>
          <t>Halal</t>
        </is>
      </c>
    </row>
    <row r="15" ht="14.25" customHeight="1" s="107">
      <c r="A15" s="80" t="inlineStr">
        <is>
          <t>韓国</t>
        </is>
      </c>
      <c r="B15" s="81" t="inlineStr">
        <is>
          <t>Byungim So (MOIS)</t>
        </is>
      </c>
      <c r="C15" s="81" t="inlineStr">
        <is>
          <t>10/26</t>
        </is>
      </c>
      <c r="D15" s="81" t="inlineStr">
        <is>
          <t>20:25</t>
        </is>
      </c>
      <c r="E15" s="81" t="inlineStr">
        <is>
          <t>10/31</t>
        </is>
      </c>
      <c r="F15" s="81" t="inlineStr">
        <is>
          <t>01:35</t>
        </is>
      </c>
      <c r="G15" s="81" t="inlineStr">
        <is>
          <t>―</t>
        </is>
      </c>
      <c r="H15" s="81" t="inlineStr">
        <is>
          <t>D</t>
        </is>
      </c>
      <c r="I15" s="81" t="inlineStr">
        <is>
          <t>No</t>
        </is>
      </c>
      <c r="J15" s="80" t="n"/>
    </row>
    <row r="16" ht="14.25" customHeight="1" s="107">
      <c r="A16" s="80" t="inlineStr">
        <is>
          <t>韓国</t>
        </is>
      </c>
      <c r="B16" s="81" t="inlineStr">
        <is>
          <t>Kim Ingeon（Deputy Director）、Lee Taekgeon（Assistant Director）、Song Hana（Deputy Director）いずれもMOIS、9/21登録</t>
        </is>
      </c>
      <c r="C16" s="81" t="inlineStr">
        <is>
          <t>10/26</t>
        </is>
      </c>
      <c r="D16" s="81" t="inlineStr">
        <is>
          <t>20:25</t>
        </is>
      </c>
      <c r="E16" s="81" t="inlineStr">
        <is>
          <t>10/31</t>
        </is>
      </c>
      <c r="F16" s="81" t="inlineStr">
        <is>
          <t>01:35</t>
        </is>
      </c>
      <c r="G16" s="81" t="inlineStr">
        <is>
          <t>―</t>
        </is>
      </c>
      <c r="H16" s="81" t="inlineStr">
        <is>
          <t>DS</t>
        </is>
      </c>
      <c r="I16" s="80" t="n"/>
      <c r="J16" s="80" t="inlineStr">
        <is>
          <t>9/25: So氏を含め4名で確定（藤中リスト）</t>
        </is>
      </c>
    </row>
    <row r="17" ht="14.25" customHeight="1" s="107">
      <c r="A17" s="80" t="inlineStr">
        <is>
          <t>ベトナム</t>
        </is>
      </c>
      <c r="B17" s="81" t="inlineStr">
        <is>
          <t>Truong Son Nguyen（DDG）、Ba Nam Nguyen、Vu Thuy Duong</t>
        </is>
      </c>
      <c r="C17" s="81" t="inlineStr">
        <is>
          <t>10/26</t>
        </is>
      </c>
      <c r="D17" s="81" t="inlineStr">
        <is>
          <t>17:20</t>
        </is>
      </c>
      <c r="E17" s="81" t="inlineStr">
        <is>
          <t>10/31</t>
        </is>
      </c>
      <c r="F17" s="81" t="inlineStr">
        <is>
          <t>12:35</t>
        </is>
      </c>
      <c r="G17" s="81" t="inlineStr">
        <is>
          <t>―</t>
        </is>
      </c>
      <c r="H17" s="81" t="inlineStr">
        <is>
          <t>D/DS</t>
        </is>
      </c>
      <c r="I17" s="80" t="n"/>
      <c r="J17" s="81" t="inlineStr">
        <is>
          <t>9/25: 3名</t>
        </is>
      </c>
    </row>
    <row r="18" ht="26.25" customHeight="1" s="107">
      <c r="A18" s="80" t="inlineStr">
        <is>
          <t>ウズベキスタン</t>
        </is>
      </c>
      <c r="B18" s="81" t="inlineStr">
        <is>
          <t>2名（登壇者1名＋一般1名）を選出・登録予定（9/24-25）</t>
        </is>
      </c>
      <c r="C18" s="81" t="inlineStr">
        <is>
          <t>10/27</t>
        </is>
      </c>
      <c r="D18" s="81" t="inlineStr">
        <is>
          <t>08:45</t>
        </is>
      </c>
      <c r="E18" s="81" t="inlineStr">
        <is>
          <t>10/31</t>
        </is>
      </c>
      <c r="F18" s="81" t="inlineStr">
        <is>
          <t>10:25</t>
        </is>
      </c>
      <c r="G18" s="81" t="inlineStr">
        <is>
          <t>―</t>
        </is>
      </c>
      <c r="H18" s="81" t="inlineStr">
        <is>
          <t>D×2</t>
        </is>
      </c>
      <c r="I18" s="80" t="n"/>
      <c r="J18" s="80" t="inlineStr">
        <is>
          <t>9/24 WhatsApp再リマインドで連絡が取れ、2名の選出と登録を行う予定と確認。事務局からわかりやすい案内メールを再送するよう依頼済み。ビザ要（外交旅券のみ免除）、申請9/26〜。TS登壇者は10/2締切</t>
        </is>
      </c>
    </row>
    <row r="19" ht="14.25" customHeight="1" s="107">
      <c r="A19" s="80" t="inlineStr">
        <is>
          <t>フィリピン</t>
        </is>
      </c>
      <c r="B19" s="81" t="inlineStr">
        <is>
          <t>TBD ×2</t>
        </is>
      </c>
      <c r="C19" s="81" t="inlineStr">
        <is>
          <t>10/26</t>
        </is>
      </c>
      <c r="D19" s="81" t="inlineStr">
        <is>
          <t>18:00</t>
        </is>
      </c>
      <c r="E19" s="81" t="inlineStr">
        <is>
          <t>10/31</t>
        </is>
      </c>
      <c r="F19" s="81" t="inlineStr">
        <is>
          <t>12:10</t>
        </is>
      </c>
      <c r="G19" s="81" t="inlineStr">
        <is>
          <t>―</t>
        </is>
      </c>
      <c r="H19" s="81" t="inlineStr">
        <is>
          <t>D/DS</t>
        </is>
      </c>
      <c r="I19" s="80" t="n"/>
      <c r="J19" s="80" t="n"/>
    </row>
    <row r="20" ht="14.25" customHeight="1" s="107">
      <c r="A20" s="80" t="inlineStr">
        <is>
          <t>ブルネイ</t>
        </is>
      </c>
      <c r="B20" s="81" t="inlineStr">
        <is>
          <t>Rina Nurhafizah Binti Abdul Rani（Senior DM Officer, NDMC）＋1名の可能性</t>
        </is>
      </c>
      <c r="C20" s="81" t="inlineStr">
        <is>
          <t>10/27</t>
        </is>
      </c>
      <c r="D20" s="81" t="inlineStr">
        <is>
          <t>14:30</t>
        </is>
      </c>
      <c r="E20" s="81" t="inlineStr">
        <is>
          <t>10/31</t>
        </is>
      </c>
      <c r="F20" s="81" t="inlineStr">
        <is>
          <t>09:00</t>
        </is>
      </c>
      <c r="G20" s="81" t="inlineStr">
        <is>
          <t>―</t>
        </is>
      </c>
      <c r="H20" s="81" t="inlineStr">
        <is>
          <t>D/DS</t>
        </is>
      </c>
      <c r="I20" s="80" t="n"/>
      <c r="J20" s="80" t="inlineStr">
        <is>
          <t>9/25: 1名登録、もう1名増える可能性</t>
        </is>
      </c>
    </row>
    <row r="21" ht="14.25" customHeight="1" s="107">
      <c r="A21" s="80" t="inlineStr">
        <is>
          <t>ブータン</t>
        </is>
      </c>
      <c r="B21" s="81" t="inlineStr">
        <is>
          <t>Tshering Dorji（Senior Program Officer, MoHA）</t>
        </is>
      </c>
      <c r="C21" s="81" t="inlineStr">
        <is>
          <t>10/26</t>
        </is>
      </c>
      <c r="D21" s="81" t="inlineStr">
        <is>
          <t>19:30</t>
        </is>
      </c>
      <c r="E21" s="81" t="inlineStr">
        <is>
          <t>11/1</t>
        </is>
      </c>
      <c r="F21" s="81" t="inlineStr">
        <is>
          <t>12:30</t>
        </is>
      </c>
      <c r="G21" s="81" t="inlineStr">
        <is>
          <t>―</t>
        </is>
      </c>
      <c r="H21" s="81" t="inlineStr">
        <is>
          <t>D</t>
        </is>
      </c>
      <c r="I21" s="80" t="n"/>
      <c r="J21" s="80" t="n"/>
    </row>
    <row r="22" ht="14.25" customHeight="1" s="107">
      <c r="A22" s="81" t="inlineStr">
        <is>
          <t>PNG</t>
        </is>
      </c>
      <c r="B22" s="81" t="inlineStr">
        <is>
          <t>Lusete Laso Mana（DG, NDC）、Roland Kopeap（Research Officer）</t>
        </is>
      </c>
      <c r="C22" s="81" t="inlineStr">
        <is>
          <t>10/26</t>
        </is>
      </c>
      <c r="D22" s="81" t="inlineStr">
        <is>
          <t>19:30</t>
        </is>
      </c>
      <c r="E22" s="81" t="inlineStr">
        <is>
          <t>10/31</t>
        </is>
      </c>
      <c r="F22" s="81" t="inlineStr">
        <is>
          <t>20:40</t>
        </is>
      </c>
      <c r="G22" s="81" t="inlineStr">
        <is>
          <t>―</t>
        </is>
      </c>
      <c r="H22" s="81" t="inlineStr">
        <is>
          <t>D</t>
        </is>
      </c>
      <c r="I22" s="80" t="n"/>
      <c r="J22" s="80" t="inlineStr">
        <is>
          <t>9/25: 初めて2名参加</t>
        </is>
      </c>
    </row>
    <row r="23" ht="14.25" customHeight="1" s="107">
      <c r="A23" s="80" t="inlineStr">
        <is>
          <t>タイ</t>
        </is>
      </c>
      <c r="B23" s="81" t="inlineStr">
        <is>
          <t>Prasong Thammapala（Director, NDWC）予定</t>
        </is>
      </c>
      <c r="C23" s="81" t="inlineStr">
        <is>
          <t>10/27</t>
        </is>
      </c>
      <c r="D23" s="81" t="inlineStr">
        <is>
          <t>14:50</t>
        </is>
      </c>
      <c r="E23" s="81" t="inlineStr">
        <is>
          <t>10/31</t>
        </is>
      </c>
      <c r="F23" s="81" t="inlineStr">
        <is>
          <t>12:25</t>
        </is>
      </c>
      <c r="G23" s="81" t="inlineStr">
        <is>
          <t>―</t>
        </is>
      </c>
      <c r="H23" s="81" t="inlineStr">
        <is>
          <t>D(10/27-)</t>
        </is>
      </c>
      <c r="I23" s="81" t="inlineStr">
        <is>
          <t>No</t>
        </is>
      </c>
      <c r="J23" s="80" t="inlineStr">
        <is>
          <t>【9/25】DDPMからの連絡途絶。ヘッドは旅程のみでホテル予約なし。来訪は不確実</t>
        </is>
      </c>
    </row>
    <row r="24" ht="14.25" customHeight="1" s="107">
      <c r="A24" s="80" t="inlineStr">
        <is>
          <t>カンボジア</t>
        </is>
      </c>
      <c r="B24" s="81" t="inlineStr">
        <is>
          <t>Norith Ma（Deputy Secretary-General, NCDM）</t>
        </is>
      </c>
      <c r="C24" s="81" t="inlineStr">
        <is>
          <t>10/26</t>
        </is>
      </c>
      <c r="D24" s="81" t="inlineStr">
        <is>
          <t>18:00</t>
        </is>
      </c>
      <c r="E24" s="81" t="inlineStr">
        <is>
          <t>10/31</t>
        </is>
      </c>
      <c r="F24" s="81" t="inlineStr">
        <is>
          <t>12:45</t>
        </is>
      </c>
      <c r="G24" s="81" t="inlineStr">
        <is>
          <t>―</t>
        </is>
      </c>
      <c r="H24" s="81" t="inlineStr">
        <is>
          <t>D</t>
        </is>
      </c>
      <c r="I24" s="80" t="n"/>
      <c r="J24" s="81" t="inlineStr">
        <is>
          <t>9/1登録あり</t>
        </is>
      </c>
    </row>
    <row r="25" ht="14.25" customHeight="1" s="107">
      <c r="A25" s="80" t="inlineStr">
        <is>
          <t>ミャンマー</t>
        </is>
      </c>
      <c r="B25" s="81" t="inlineStr">
        <is>
          <t>Mar Kay Thi Hla（Director, DDM）</t>
        </is>
      </c>
      <c r="C25" s="81" t="inlineStr">
        <is>
          <t>10/27</t>
        </is>
      </c>
      <c r="D25" s="81" t="inlineStr">
        <is>
          <t>15:10</t>
        </is>
      </c>
      <c r="E25" s="81" t="inlineStr">
        <is>
          <t>10/31</t>
        </is>
      </c>
      <c r="F25" s="81" t="inlineStr">
        <is>
          <t>13:45</t>
        </is>
      </c>
      <c r="G25" s="81" t="inlineStr">
        <is>
          <t>―</t>
        </is>
      </c>
      <c r="H25" s="81" t="inlineStr">
        <is>
          <t>D(10/27-)</t>
        </is>
      </c>
      <c r="I25" s="80" t="n"/>
      <c r="J25" s="80" t="n"/>
    </row>
    <row r="26" ht="14.25" customHeight="1" s="107">
      <c r="A26" s="80" t="inlineStr">
        <is>
          <t>インドネシア</t>
        </is>
      </c>
      <c r="B26" s="81" t="inlineStr">
        <is>
          <t>（メンバー国としての登録なし。環境省 Alfarizi Zaky M. は一般扱い。BNPBは1回確認し返答なければ支援対象外）</t>
        </is>
      </c>
      <c r="C26" s="81" t="inlineStr">
        <is>
          <t>10/27</t>
        </is>
      </c>
      <c r="D26" s="81" t="inlineStr">
        <is>
          <t>11:20</t>
        </is>
      </c>
      <c r="E26" s="81" t="inlineStr">
        <is>
          <t>10/30</t>
        </is>
      </c>
      <c r="F26" s="81" t="inlineStr">
        <is>
          <t>22:40</t>
        </is>
      </c>
      <c r="G26" s="81" t="inlineStr">
        <is>
          <t>―</t>
        </is>
      </c>
      <c r="H26" s="81" t="inlineStr">
        <is>
          <t>D(10/27-)</t>
        </is>
      </c>
      <c r="I26" s="80" t="n"/>
      <c r="J26" s="80" t="n"/>
    </row>
    <row r="27" ht="14.25" customHeight="1" s="107">
      <c r="A27" s="80" t="inlineStr">
        <is>
          <t>パキスタン</t>
        </is>
      </c>
      <c r="B27" s="81" t="inlineStr">
        <is>
          <t>Muhammad Tahir Iqbal Malik（ED）、Shahzad Malik Saleem（Senior Director）</t>
        </is>
      </c>
      <c r="C27" s="81" t="inlineStr">
        <is>
          <t>10/27</t>
        </is>
      </c>
      <c r="D27" s="81" t="inlineStr">
        <is>
          <t>11:15</t>
        </is>
      </c>
      <c r="E27" s="81" t="inlineStr">
        <is>
          <t>10/31</t>
        </is>
      </c>
      <c r="F27" s="81" t="inlineStr">
        <is>
          <t>12:25</t>
        </is>
      </c>
      <c r="G27" s="81" t="inlineStr">
        <is>
          <t>―</t>
        </is>
      </c>
      <c r="H27" s="81" t="inlineStr">
        <is>
          <t>D(10/27-)</t>
        </is>
      </c>
      <c r="I27" s="80" t="n"/>
      <c r="J27" s="80" t="inlineStr">
        <is>
          <t>9/25: 2名</t>
        </is>
      </c>
    </row>
    <row r="28" ht="26.25" customHeight="1" s="107">
      <c r="A28" s="80" t="inlineStr">
        <is>
          <t>インド</t>
        </is>
      </c>
      <c r="B28" s="81" t="inlineStr">
        <is>
          <t>Awasthi Ashutosh、Govind Prasad Uniyal、Krishnan B Sandeep（MHA）</t>
        </is>
      </c>
      <c r="C28" s="81" t="inlineStr">
        <is>
          <t>10/26</t>
        </is>
      </c>
      <c r="D28" s="81" t="inlineStr">
        <is>
          <t>18:00</t>
        </is>
      </c>
      <c r="E28" s="81" t="inlineStr">
        <is>
          <t>10/31</t>
        </is>
      </c>
      <c r="F28" s="81" t="inlineStr">
        <is>
          <t>16:40</t>
        </is>
      </c>
      <c r="G28" s="81" t="inlineStr">
        <is>
          <t>―</t>
        </is>
      </c>
      <c r="H28" s="81" t="inlineStr">
        <is>
          <t>D+DS×2</t>
        </is>
      </c>
      <c r="I28" s="80" t="n"/>
      <c r="J28" s="80" t="n"/>
    </row>
    <row r="29" ht="14.25" customHeight="1" s="107">
      <c r="A29" s="80" t="inlineStr">
        <is>
          <t>内閣府（日本）</t>
        </is>
      </c>
      <c r="B29" s="80" t="inlineStr">
        <is>
          <t>林副大臣・御手洗参事官・中根補佐（27 日 SQ 08:30 HND 発 15:00 SIN 着）、青木補佐・起塚（26 日 16:40 HND 発 23:25 SIN 着）。出発: 林 28 日 22:20、御手洗 29 日 22:50、中根・青木・起塚 30 日 22:20。宿泊: 林・御手洗 Royal Plaza on Scotts、中根・青木・起塚 Dorsett（内閣府スケジュール 9/28 版、Sylvia 名簿 10/1）</t>
        </is>
      </c>
      <c r="C29" s="81" t="inlineStr">
        <is>
          <t>10/26・10/27</t>
        </is>
      </c>
      <c r="D29" s="81" t="inlineStr">
        <is>
          <t>23:25（青木・起塚）／15:00（林・御手洗・中根）</t>
        </is>
      </c>
      <c r="E29" s="81" t="inlineStr">
        <is>
          <t>10/28・29・30</t>
        </is>
      </c>
      <c r="F29" s="81" t="inlineStr">
        <is>
          <t>22:20（林）／22:50（御手洗）／22:20（中根・青木・起塚）</t>
        </is>
      </c>
      <c r="G29" s="81" t="inlineStr">
        <is>
          <t>―</t>
        </is>
      </c>
      <c r="H29" s="81" t="inlineStr">
        <is>
          <t>Royal Plaza on Scotts×2（林・御手洗）、Dorsett×3（中根・青木・起塚）</t>
        </is>
      </c>
      <c r="I29" s="80" t="n"/>
      <c r="J29" s="81" t="inlineStr">
        <is>
          <t>CV準備中。英語サポート要</t>
        </is>
      </c>
    </row>
    <row r="30" ht="14.25" customHeight="1" s="107">
      <c r="A30" s="80" t="inlineStr">
        <is>
          <t>リソース</t>
        </is>
      </c>
      <c r="B30" s="81" t="inlineStr">
        <is>
          <t>TSスピーカー: BRIN Yenni Vetrita氏（GA828 27日着で打診）、YI-Lab Pradip Khatiwada氏（Air India経由かSQ直行かアドミ確認中）、JAXA（人選中・自己負担）、Google Sirada氏（自己負担）、ウズベキスタン TBD、内閣府 TBD</t>
        </is>
      </c>
      <c r="C30" s="81" t="inlineStr">
        <is>
          <t>10/27</t>
        </is>
      </c>
      <c r="D30" s="81" t="inlineStr">
        <is>
          <t>―</t>
        </is>
      </c>
      <c r="E30" s="81" t="inlineStr">
        <is>
          <t>10/31</t>
        </is>
      </c>
      <c r="F30" s="81" t="inlineStr">
        <is>
          <t>―</t>
        </is>
      </c>
      <c r="G30" s="81" t="inlineStr">
        <is>
          <t>―</t>
        </is>
      </c>
      <c r="H30" s="81" t="inlineStr">
        <is>
          <t>D×2</t>
        </is>
      </c>
      <c r="I30" s="80" t="n"/>
      <c r="J30" s="81" t="inlineStr">
        <is>
          <t>藤本が見積取得中（9/18）。BRIN復路はMizan経由で照会中</t>
        </is>
      </c>
    </row>
    <row r="31" ht="52.5" customHeight="1" s="107">
      <c r="A31" s="80" t="inlineStr">
        <is>
          <t>観察者・一般</t>
        </is>
      </c>
      <c r="B31" s="81" t="inlineStr">
        <is>
          <t>ADPC 2名（Aslam Perwaiz ED、Weerapon）→4名予定、AHA Centre Krishna Putra Tanaja、JICAフィジー櫻井、東北大小野教授、仙台市4名（高橋副市長ほか）、Mercy Malaysia、JBP、近畿大、三重大、Oxfam、ADB、UNHAS、インドネシア環境省、大学関係ほか計22名</t>
        </is>
      </c>
      <c r="C31" s="81" t="inlineStr">
        <is>
          <t>―</t>
        </is>
      </c>
      <c r="D31" s="81" t="inlineStr">
        <is>
          <t>―</t>
        </is>
      </c>
      <c r="E31" s="81" t="inlineStr">
        <is>
          <t>―</t>
        </is>
      </c>
      <c r="F31" s="81" t="inlineStr">
        <is>
          <t>―</t>
        </is>
      </c>
      <c r="G31" s="81" t="inlineStr">
        <is>
          <t>―</t>
        </is>
      </c>
      <c r="H31" s="80" t="inlineStr">
        <is>
          <t>自己手配</t>
        </is>
      </c>
      <c r="I31" s="80" t="n"/>
      <c r="J31" s="80" t="inlineStr">
        <is>
          <t>昼食提供対象</t>
        </is>
      </c>
    </row>
    <row r="32" ht="52.5" customHeight="1" s="107">
      <c r="A32" s="80" t="inlineStr">
        <is>
          <t>タジキスタン</t>
        </is>
      </c>
      <c r="B32" s="81" t="inlineStr">
        <is>
          <t>TBD</t>
        </is>
      </c>
      <c r="C32" s="81" t="inlineStr">
        <is>
          <t>―</t>
        </is>
      </c>
      <c r="D32" s="81" t="inlineStr">
        <is>
          <t>―</t>
        </is>
      </c>
      <c r="E32" s="81" t="inlineStr">
        <is>
          <t>―</t>
        </is>
      </c>
      <c r="F32" s="81" t="inlineStr">
        <is>
          <t>―</t>
        </is>
      </c>
      <c r="G32" s="81" t="inlineStr">
        <is>
          <t>―</t>
        </is>
      </c>
      <c r="H32" s="80" t="inlineStr">
        <is>
          <t>D</t>
        </is>
      </c>
      <c r="I32" s="80" t="inlineStr">
        <is>
          <t>―</t>
        </is>
      </c>
      <c r="J32" s="80" t="inlineStr">
        <is>
          <t>9/24 WhatsApp再リマインド。ビザ要</t>
        </is>
      </c>
    </row>
    <row r="33" ht="52.5" customHeight="1" s="107">
      <c r="A33" s="80" t="inlineStr">
        <is>
          <t>SIDEXリソース（COSEM負担）</t>
        </is>
      </c>
      <c r="B33" s="81" t="inlineStr">
        <is>
          <t>西川 悟 JICA Senior Advisor</t>
        </is>
      </c>
      <c r="C33" s="81" t="inlineStr">
        <is>
          <t>―</t>
        </is>
      </c>
      <c r="D33" s="81" t="inlineStr">
        <is>
          <t>―</t>
        </is>
      </c>
      <c r="E33" s="81" t="inlineStr">
        <is>
          <t>―</t>
        </is>
      </c>
      <c r="F33" s="81" t="inlineStr">
        <is>
          <t>―</t>
        </is>
      </c>
      <c r="G33" s="81" t="inlineStr">
        <is>
          <t>―</t>
        </is>
      </c>
      <c r="H33" s="80" t="inlineStr">
        <is>
          <t>COSEM手配</t>
        </is>
      </c>
      <c r="I33" s="80" t="inlineStr">
        <is>
          <t>―</t>
        </is>
      </c>
      <c r="J33" s="80" t="inlineStr">
        <is>
          <t>3日目SIDEXイベントの登壇者。Welcome Dinner招待のためリソース登録（児玉→藤本 9/24）。費用はすべてCOSEM持ち。スピーカーディナーと重複の可能性</t>
        </is>
      </c>
    </row>
    <row r="34" ht="52.5" customHeight="1" s="107">
      <c r="A34" s="80" t="inlineStr">
        <is>
          <t>COSEM</t>
        </is>
      </c>
      <c r="B34" s="81" t="inlineStr">
        <is>
          <t>Fabian Hwi Min Tan（Deputy CEO, Operations）</t>
        </is>
      </c>
      <c r="C34" s="81" t="inlineStr">
        <is>
          <t>―</t>
        </is>
      </c>
      <c r="D34" s="81" t="inlineStr">
        <is>
          <t>―</t>
        </is>
      </c>
      <c r="E34" s="81" t="inlineStr">
        <is>
          <t>―</t>
        </is>
      </c>
      <c r="F34" s="81" t="inlineStr">
        <is>
          <t>―</t>
        </is>
      </c>
      <c r="G34" s="81" t="inlineStr">
        <is>
          <t>―</t>
        </is>
      </c>
      <c r="H34" s="80" t="inlineStr">
        <is>
          <t>―</t>
        </is>
      </c>
      <c r="I34" s="80" t="inlineStr">
        <is>
          <t>―</t>
        </is>
      </c>
      <c r="J34" s="80" t="inlineStr">
        <is>
          <t>9/24登録（現地参加）</t>
        </is>
      </c>
    </row>
    <row r="36">
      <c r="A36" s="82" t="inlineStr">
        <is>
          <t>Dorsett確保数（8/28にCOSEMへ通知）: 10/26 29室、10/27-30 37室/泊、10/31 2室、計180 room nights。9/28に10%リリース可、以後100%課金。</t>
        </is>
      </c>
    </row>
  </sheetData>
  <mergeCells count="1">
    <mergeCell ref="A3:J3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14" customWidth="1" style="107" min="1" max="1"/>
    <col width="5" customWidth="1" style="107" min="2" max="2"/>
    <col width="30" customWidth="1" style="107" min="3" max="3"/>
    <col width="18" customWidth="1" style="107" min="4" max="4"/>
    <col width="30" customWidth="1" style="107" min="5" max="6"/>
    <col width="34" customWidth="1" style="107" min="7" max="7"/>
    <col width="18" customWidth="1" style="107" min="8" max="8"/>
    <col width="36" customWidth="1" style="107" min="9" max="9"/>
  </cols>
  <sheetData>
    <row r="1" ht="15.6" customHeight="1" s="107">
      <c r="A1" s="90" t="inlineStr">
        <is>
          <t>ACDR2026 参加者登録状況（藤中の登録リスト 2026/9/25 所内打合せ配布、マスター登録ベース）</t>
        </is>
      </c>
    </row>
    <row r="2">
      <c r="A2" t="inlineStr">
        <is>
          <t>区分: メンバー国20か国36名（＋日本・タイ・ウズベキスタン＝23か国の見込み）／アドバイザー国NZ 3名／一般22名（リソース2名・ADPC2名が追加予定→現地71名）／ADRC 12名（現地73名、最大83名）／オンライン 一般7名・ADRC4名</t>
        </is>
      </c>
    </row>
    <row r="4">
      <c r="A4" s="91" t="inlineStr">
        <is>
          <t>区分</t>
        </is>
      </c>
      <c r="B4" s="91" t="inlineStr">
        <is>
          <t>No.</t>
        </is>
      </c>
      <c r="C4" s="91" t="inlineStr">
        <is>
          <t>氏名</t>
        </is>
      </c>
      <c r="D4" s="91" t="inlineStr">
        <is>
          <t>国</t>
        </is>
      </c>
      <c r="E4" s="91" t="inlineStr">
        <is>
          <t>役職</t>
        </is>
      </c>
      <c r="F4" s="91" t="inlineStr">
        <is>
          <t>部署</t>
        </is>
      </c>
      <c r="G4" s="91" t="inlineStr">
        <is>
          <t>組織</t>
        </is>
      </c>
      <c r="H4" s="91" t="inlineStr">
        <is>
          <t>参加形態</t>
        </is>
      </c>
      <c r="I4" s="91" t="inlineStr">
        <is>
          <t>備考（9/25所内打合せ）</t>
        </is>
      </c>
    </row>
    <row r="5" ht="28.8" customHeight="1" s="107">
      <c r="A5" s="92" t="inlineStr">
        <is>
          <t>メンバー国</t>
        </is>
      </c>
      <c r="B5" s="92" t="n">
        <v>1</v>
      </c>
      <c r="C5" s="92" t="inlineStr">
        <is>
          <t>Syuzanna Vardazari Kakoyan</t>
        </is>
      </c>
      <c r="D5" s="92" t="inlineStr">
        <is>
          <t>Armenia</t>
        </is>
      </c>
      <c r="E5" s="92" t="inlineStr">
        <is>
          <t>Head of the Department for Public Outreach</t>
        </is>
      </c>
      <c r="F5" s="92" t="inlineStr">
        <is>
          <t>Department for Public Outreach</t>
        </is>
      </c>
      <c r="G5" s="92" t="inlineStr">
        <is>
          <t xml:space="preserve">Regional Survey for Seismic Protection of MIA </t>
        </is>
      </c>
      <c r="H5" s="92" t="inlineStr">
        <is>
          <t>Onsite (face-to-face)</t>
        </is>
      </c>
      <c r="I5" s="92" t="n"/>
    </row>
    <row r="6">
      <c r="A6" s="92" t="inlineStr">
        <is>
          <t>メンバー国</t>
        </is>
      </c>
      <c r="B6" s="92" t="n">
        <v>2</v>
      </c>
      <c r="C6" s="92" t="inlineStr">
        <is>
          <t>Rustamzade Kamran</t>
        </is>
      </c>
      <c r="D6" s="92" t="inlineStr">
        <is>
          <t>Azerbaijan</t>
        </is>
      </c>
      <c r="E6" s="92" t="inlineStr">
        <is>
          <t>Head of Sector</t>
        </is>
      </c>
      <c r="F6" s="92" t="inlineStr">
        <is>
          <t>Protocol</t>
        </is>
      </c>
      <c r="G6" s="92" t="inlineStr">
        <is>
          <t>Ministry of Emergency Situations</t>
        </is>
      </c>
      <c r="H6" s="92" t="inlineStr">
        <is>
          <t>Onsite (face-to-face)</t>
        </is>
      </c>
      <c r="I6" s="92" t="n"/>
    </row>
    <row r="7" ht="43.2" customHeight="1" s="107">
      <c r="A7" s="92" t="inlineStr">
        <is>
          <t>メンバー国</t>
        </is>
      </c>
      <c r="B7" s="92" t="n">
        <v>3</v>
      </c>
      <c r="C7" s="92" t="inlineStr">
        <is>
          <t>Zamanov Niyazi</t>
        </is>
      </c>
      <c r="D7" s="92" t="inlineStr">
        <is>
          <t>Azerbaijan</t>
        </is>
      </c>
      <c r="E7" s="92" t="inlineStr">
        <is>
          <t>Chief of Main Department</t>
        </is>
      </c>
      <c r="F7" s="92" t="inlineStr">
        <is>
          <t>The Main Department for Organization of Activities on Civil Defense</t>
        </is>
      </c>
      <c r="G7" s="92" t="inlineStr">
        <is>
          <t>Ministry of Emergency Situations</t>
        </is>
      </c>
      <c r="H7" s="92" t="inlineStr">
        <is>
          <t>Onsite (face-to-face)</t>
        </is>
      </c>
      <c r="I7" s="92" t="n"/>
    </row>
    <row r="8" ht="28.8" customHeight="1" s="107">
      <c r="A8" s="92" t="inlineStr">
        <is>
          <t>メンバー国</t>
        </is>
      </c>
      <c r="B8" s="92" t="n">
        <v>4</v>
      </c>
      <c r="C8" s="92" t="inlineStr">
        <is>
          <t>A B M Shafiqul Haider</t>
        </is>
      </c>
      <c r="D8" s="92" t="inlineStr">
        <is>
          <t>Bangladesh</t>
        </is>
      </c>
      <c r="E8" s="92" t="inlineStr">
        <is>
          <t>Additional Secretary</t>
        </is>
      </c>
      <c r="F8" s="92" t="n"/>
      <c r="G8" s="92" t="inlineStr">
        <is>
          <t>Ministry of Disaster Management and Relief</t>
        </is>
      </c>
      <c r="H8" s="92" t="inlineStr">
        <is>
          <t>Onsite (face-to-face)</t>
        </is>
      </c>
      <c r="I8" s="92" t="n"/>
    </row>
    <row r="9" ht="28.8" customHeight="1" s="107">
      <c r="A9" s="92" t="inlineStr">
        <is>
          <t>メンバー国</t>
        </is>
      </c>
      <c r="B9" s="92" t="n">
        <v>5</v>
      </c>
      <c r="C9" s="92" t="inlineStr">
        <is>
          <t>Tshering Dorji</t>
        </is>
      </c>
      <c r="D9" s="92" t="inlineStr">
        <is>
          <t>Bhutan</t>
        </is>
      </c>
      <c r="E9" s="92" t="inlineStr">
        <is>
          <t>Senior Program Officer</t>
        </is>
      </c>
      <c r="F9" s="92" t="inlineStr">
        <is>
          <t xml:space="preserve">Department of Local Governance and Disaster Management </t>
        </is>
      </c>
      <c r="G9" s="92" t="inlineStr">
        <is>
          <t xml:space="preserve">Mininstry of Home Affairs </t>
        </is>
      </c>
      <c r="H9" s="92" t="inlineStr">
        <is>
          <t>Onsite (face-to-face)</t>
        </is>
      </c>
      <c r="I9" s="92" t="n"/>
    </row>
    <row r="10" ht="28.8" customHeight="1" s="107">
      <c r="A10" s="92" t="inlineStr">
        <is>
          <t>メンバー国</t>
        </is>
      </c>
      <c r="B10" s="92" t="n">
        <v>6</v>
      </c>
      <c r="C10" s="92" t="inlineStr">
        <is>
          <t>Rina Nurhafizah Binti Abdul Rani</t>
        </is>
      </c>
      <c r="D10" s="92" t="inlineStr">
        <is>
          <t>Brunei Darussalam</t>
        </is>
      </c>
      <c r="E10" s="92" t="inlineStr">
        <is>
          <t>Senior Disaster Management Officer</t>
        </is>
      </c>
      <c r="F10" s="92" t="inlineStr">
        <is>
          <t>Operations Division</t>
        </is>
      </c>
      <c r="G10" s="92" t="inlineStr">
        <is>
          <t>National Disaster Management Centre</t>
        </is>
      </c>
      <c r="H10" s="92" t="inlineStr">
        <is>
          <t>Onsite (face-to-face)</t>
        </is>
      </c>
      <c r="I10" s="92" t="inlineStr">
        <is>
          <t>もう1名増える可能性</t>
        </is>
      </c>
    </row>
    <row r="11" ht="28.8" customHeight="1" s="107">
      <c r="A11" s="92" t="inlineStr">
        <is>
          <t>メンバー国</t>
        </is>
      </c>
      <c r="B11" s="92" t="n">
        <v>7</v>
      </c>
      <c r="C11" s="92" t="inlineStr">
        <is>
          <t>Norith Ma</t>
        </is>
      </c>
      <c r="D11" s="92" t="inlineStr">
        <is>
          <t>Cambodia</t>
        </is>
      </c>
      <c r="E11" s="92" t="inlineStr">
        <is>
          <t>Deputy Secretary-General</t>
        </is>
      </c>
      <c r="F11" s="92" t="inlineStr">
        <is>
          <t>Secretariat-General of NCDM</t>
        </is>
      </c>
      <c r="G11" s="92" t="inlineStr">
        <is>
          <t>National Committee For Disaster Management (NCDM)</t>
        </is>
      </c>
      <c r="H11" s="92" t="inlineStr">
        <is>
          <t>Onsite (face-to-face)</t>
        </is>
      </c>
      <c r="I11" s="92" t="n"/>
    </row>
    <row r="12" ht="28.8" customHeight="1" s="107">
      <c r="A12" s="92" t="inlineStr">
        <is>
          <t>メンバー国</t>
        </is>
      </c>
      <c r="B12" s="92" t="n">
        <v>8</v>
      </c>
      <c r="C12" s="92" t="inlineStr">
        <is>
          <t>Naipolioni Dabea Boseiwaqa</t>
        </is>
      </c>
      <c r="D12" s="92" t="inlineStr">
        <is>
          <t>Fiji</t>
        </is>
      </c>
      <c r="E12" s="92" t="inlineStr">
        <is>
          <t>Director</t>
        </is>
      </c>
      <c r="F12" s="92" t="n"/>
      <c r="G12" s="92" t="inlineStr">
        <is>
          <t>National Disaster Risk Management Office</t>
        </is>
      </c>
      <c r="H12" s="92" t="inlineStr">
        <is>
          <t>Onsite (face-to-face)</t>
        </is>
      </c>
      <c r="I12" s="92" t="inlineStr">
        <is>
          <t>フライト手配が進まず参加不透明（櫻井氏に依頼）</t>
        </is>
      </c>
    </row>
    <row r="13">
      <c r="A13" s="92" t="inlineStr">
        <is>
          <t>メンバー国</t>
        </is>
      </c>
      <c r="B13" s="92" t="n">
        <v>9</v>
      </c>
      <c r="C13" s="92" t="inlineStr">
        <is>
          <t>Awasthi Ashutosh</t>
        </is>
      </c>
      <c r="D13" s="92" t="inlineStr">
        <is>
          <t>India</t>
        </is>
      </c>
      <c r="E13" s="92" t="inlineStr">
        <is>
          <t>Deputy Director</t>
        </is>
      </c>
      <c r="F13" s="92" t="inlineStr">
        <is>
          <t>Disaster Management Division</t>
        </is>
      </c>
      <c r="G13" s="92" t="inlineStr">
        <is>
          <t>Ministry of Home Affairs</t>
        </is>
      </c>
      <c r="H13" s="92" t="inlineStr">
        <is>
          <t>Onsite (face-to-face)</t>
        </is>
      </c>
      <c r="I13" s="92" t="n"/>
    </row>
    <row r="14" ht="28.8" customHeight="1" s="107">
      <c r="A14" s="92" t="inlineStr">
        <is>
          <t>メンバー国</t>
        </is>
      </c>
      <c r="B14" s="92" t="n">
        <v>10</v>
      </c>
      <c r="C14" s="92" t="inlineStr">
        <is>
          <t>Govind Prasad Uniyal</t>
        </is>
      </c>
      <c r="D14" s="92" t="inlineStr">
        <is>
          <t>India</t>
        </is>
      </c>
      <c r="E14" s="92" t="inlineStr">
        <is>
          <t>Deputy Inspector General</t>
        </is>
      </c>
      <c r="F14" s="92" t="inlineStr">
        <is>
          <t>Integrated Control Room for Emergency Response</t>
        </is>
      </c>
      <c r="G14" s="92" t="inlineStr">
        <is>
          <t>MHA (GoI)</t>
        </is>
      </c>
      <c r="H14" s="92" t="inlineStr">
        <is>
          <t>Onsite (face-to-face)</t>
        </is>
      </c>
      <c r="I14" s="92" t="n"/>
    </row>
    <row r="15" ht="28.8" customHeight="1" s="107">
      <c r="A15" s="92" t="inlineStr">
        <is>
          <t>メンバー国</t>
        </is>
      </c>
      <c r="B15" s="92" t="n">
        <v>11</v>
      </c>
      <c r="C15" s="92" t="inlineStr">
        <is>
          <t>Krishnan B Sandeep</t>
        </is>
      </c>
      <c r="D15" s="92" t="inlineStr">
        <is>
          <t>India</t>
        </is>
      </c>
      <c r="E15" s="92" t="inlineStr">
        <is>
          <t>Assistant Director General</t>
        </is>
      </c>
      <c r="F15" s="92" t="inlineStr">
        <is>
          <t>Directorate of Civil Defence, Disaster Management Division</t>
        </is>
      </c>
      <c r="G15" s="92" t="inlineStr">
        <is>
          <t>Ministry of Home Affairs</t>
        </is>
      </c>
      <c r="H15" s="92" t="inlineStr">
        <is>
          <t>Onsite (face-to-face)</t>
        </is>
      </c>
      <c r="I15" s="92" t="n"/>
    </row>
    <row r="16" ht="28.8" customHeight="1" s="107">
      <c r="A16" s="92" t="inlineStr">
        <is>
          <t>メンバー国</t>
        </is>
      </c>
      <c r="B16" s="92" t="n">
        <v>12</v>
      </c>
      <c r="C16" s="92" t="inlineStr">
        <is>
          <t>Syasompheng Phonesavanh</t>
        </is>
      </c>
      <c r="D16" s="92" t="inlineStr">
        <is>
          <t>Lao PDR</t>
        </is>
      </c>
      <c r="E16" s="92" t="inlineStr">
        <is>
          <t xml:space="preserve">Director </t>
        </is>
      </c>
      <c r="F16" s="92" t="inlineStr">
        <is>
          <t>Director of Disaster Prevention Division</t>
        </is>
      </c>
      <c r="G16" s="92" t="inlineStr">
        <is>
          <t>Social Welfare Departments</t>
        </is>
      </c>
      <c r="H16" s="92" t="inlineStr">
        <is>
          <t>Onsite (face-to-face)</t>
        </is>
      </c>
      <c r="I16" s="92" t="n"/>
    </row>
    <row r="17" ht="28.8" customHeight="1" s="107">
      <c r="A17" s="92" t="inlineStr">
        <is>
          <t>メンバー国</t>
        </is>
      </c>
      <c r="B17" s="92" t="n">
        <v>13</v>
      </c>
      <c r="C17" s="92" t="inlineStr">
        <is>
          <t>Ezrin Rozani Bin Rosli</t>
        </is>
      </c>
      <c r="D17" s="92" t="inlineStr">
        <is>
          <t>Malaysia</t>
        </is>
      </c>
      <c r="E17" s="92" t="inlineStr">
        <is>
          <t>Senior Assistant Director</t>
        </is>
      </c>
      <c r="F17" s="92" t="inlineStr">
        <is>
          <t>Logistics</t>
        </is>
      </c>
      <c r="G17" s="92" t="inlineStr">
        <is>
          <t>National Disaster Management Agency Malaysia</t>
        </is>
      </c>
      <c r="H17" s="92" t="inlineStr">
        <is>
          <t>Onsite (face-to-face)</t>
        </is>
      </c>
      <c r="I17" s="92" t="n"/>
    </row>
    <row r="18">
      <c r="A18" s="92" t="inlineStr">
        <is>
          <t>メンバー国</t>
        </is>
      </c>
      <c r="B18" s="92" t="n">
        <v>14</v>
      </c>
      <c r="C18" s="92" t="inlineStr">
        <is>
          <t>Hassan Hisan</t>
        </is>
      </c>
      <c r="D18" s="92" t="inlineStr">
        <is>
          <t>Maldives</t>
        </is>
      </c>
      <c r="E18" s="92" t="inlineStr">
        <is>
          <t>Chief Executive</t>
        </is>
      </c>
      <c r="F18" s="92" t="n"/>
      <c r="G18" s="92" t="inlineStr">
        <is>
          <t xml:space="preserve">National Disaster Management Authority </t>
        </is>
      </c>
      <c r="H18" s="92" t="inlineStr">
        <is>
          <t>Onsite (face-to-face)</t>
        </is>
      </c>
      <c r="I18" s="92" t="n"/>
    </row>
    <row r="19" ht="28.8" customHeight="1" s="107">
      <c r="A19" s="92" t="inlineStr">
        <is>
          <t>メンバー国</t>
        </is>
      </c>
      <c r="B19" s="92" t="n">
        <v>15</v>
      </c>
      <c r="C19" s="92" t="inlineStr">
        <is>
          <t>Nyambayar Tsedev</t>
        </is>
      </c>
      <c r="D19" s="92" t="inlineStr">
        <is>
          <t>Mongolia</t>
        </is>
      </c>
      <c r="E19" s="92" t="inlineStr">
        <is>
          <t>Director</t>
        </is>
      </c>
      <c r="F19" s="92" t="inlineStr">
        <is>
          <t>Fire Department</t>
        </is>
      </c>
      <c r="G19" s="92" t="inlineStr">
        <is>
          <t>National Emergency Management Agency of Mongolia</t>
        </is>
      </c>
      <c r="H19" s="92" t="inlineStr">
        <is>
          <t>Onsite (face-to-face)</t>
        </is>
      </c>
      <c r="I19" s="92" t="n"/>
    </row>
    <row r="20" ht="28.8" customHeight="1" s="107">
      <c r="A20" s="92" t="inlineStr">
        <is>
          <t>メンバー国</t>
        </is>
      </c>
      <c r="B20" s="92" t="n">
        <v>16</v>
      </c>
      <c r="C20" s="92" t="inlineStr">
        <is>
          <t>Mar Kay Thi Hla</t>
        </is>
      </c>
      <c r="D20" s="92" t="inlineStr">
        <is>
          <t>Myanmar</t>
        </is>
      </c>
      <c r="E20" s="92" t="inlineStr">
        <is>
          <t>Director</t>
        </is>
      </c>
      <c r="F20" s="92" t="inlineStr">
        <is>
          <t xml:space="preserve">Department of Disaster Management </t>
        </is>
      </c>
      <c r="G20" s="92" t="inlineStr">
        <is>
          <t>Ministry of Social Welfare, Relief and Resettlement</t>
        </is>
      </c>
      <c r="H20" s="92" t="inlineStr">
        <is>
          <t>Onsite (face-to-face)</t>
        </is>
      </c>
      <c r="I20" s="92" t="n"/>
    </row>
    <row r="21" ht="28.8" customHeight="1" s="107">
      <c r="A21" s="92" t="inlineStr">
        <is>
          <t>メンバー国</t>
        </is>
      </c>
      <c r="B21" s="92" t="n">
        <v>17</v>
      </c>
      <c r="C21" s="92" t="inlineStr">
        <is>
          <t>Muhammad Tahir Iqbal Malik</t>
        </is>
      </c>
      <c r="D21" s="92" t="inlineStr">
        <is>
          <t>Pakistan</t>
        </is>
      </c>
      <c r="E21" s="92" t="inlineStr">
        <is>
          <t>Executive Director</t>
        </is>
      </c>
      <c r="F21" s="92" t="inlineStr">
        <is>
          <t>Technology</t>
        </is>
      </c>
      <c r="G21" s="92" t="inlineStr">
        <is>
          <t>National Disaster Management Authority, Pakistan</t>
        </is>
      </c>
      <c r="H21" s="92" t="inlineStr">
        <is>
          <t>Onsite (face-to-face)</t>
        </is>
      </c>
      <c r="I21" s="92" t="n"/>
    </row>
    <row r="22">
      <c r="A22" s="92" t="inlineStr">
        <is>
          <t>メンバー国</t>
        </is>
      </c>
      <c r="B22" s="92" t="n">
        <v>18</v>
      </c>
      <c r="C22" s="92" t="inlineStr">
        <is>
          <t>Shahzad Malik Saleem</t>
        </is>
      </c>
      <c r="D22" s="92" t="inlineStr">
        <is>
          <t>Pakistan</t>
        </is>
      </c>
      <c r="E22" s="92" t="inlineStr">
        <is>
          <t xml:space="preserve">Senior Director </t>
        </is>
      </c>
      <c r="F22" s="92" t="inlineStr">
        <is>
          <t xml:space="preserve">Disaster Risk Reduction </t>
        </is>
      </c>
      <c r="G22" s="92" t="inlineStr">
        <is>
          <t xml:space="preserve">National Disaster Management Authority </t>
        </is>
      </c>
      <c r="H22" s="92" t="inlineStr">
        <is>
          <t>Onsite (face-to-face)</t>
        </is>
      </c>
      <c r="I22" s="92" t="n"/>
    </row>
    <row r="23" ht="28.8" customHeight="1" s="107">
      <c r="A23" s="92" t="inlineStr">
        <is>
          <t>メンバー国</t>
        </is>
      </c>
      <c r="B23" s="92" t="n">
        <v>19</v>
      </c>
      <c r="C23" s="92" t="inlineStr">
        <is>
          <t>Lusete Laso Mana</t>
        </is>
      </c>
      <c r="D23" s="92" t="inlineStr">
        <is>
          <t>Papua New Guinea</t>
        </is>
      </c>
      <c r="E23" s="92" t="inlineStr">
        <is>
          <t>Director General</t>
        </is>
      </c>
      <c r="F23" s="92" t="inlineStr">
        <is>
          <t>Executive Division/National Disaster Centre</t>
        </is>
      </c>
      <c r="G23" s="92" t="inlineStr">
        <is>
          <t>National Disaster Centre</t>
        </is>
      </c>
      <c r="H23" s="92" t="inlineStr">
        <is>
          <t>Onsite (face-to-face)</t>
        </is>
      </c>
      <c r="I23" s="92" t="n"/>
    </row>
    <row r="24">
      <c r="A24" s="92" t="inlineStr">
        <is>
          <t>メンバー国</t>
        </is>
      </c>
      <c r="B24" s="92" t="n">
        <v>20</v>
      </c>
      <c r="C24" s="92" t="inlineStr">
        <is>
          <t>Roland Kopeap</t>
        </is>
      </c>
      <c r="D24" s="92" t="inlineStr">
        <is>
          <t>Papua New Guinea</t>
        </is>
      </c>
      <c r="E24" s="92" t="inlineStr">
        <is>
          <t xml:space="preserve">Research Officer </t>
        </is>
      </c>
      <c r="F24" s="92" t="inlineStr">
        <is>
          <t xml:space="preserve">Office of the Minister </t>
        </is>
      </c>
      <c r="G24" s="92" t="inlineStr">
        <is>
          <t xml:space="preserve">National Disaster Centre </t>
        </is>
      </c>
      <c r="H24" s="92" t="inlineStr">
        <is>
          <t>Onsite (face-to-face)</t>
        </is>
      </c>
      <c r="I24" s="92" t="n"/>
    </row>
    <row r="25" ht="28.8" customHeight="1" s="107">
      <c r="A25" s="92" t="inlineStr">
        <is>
          <t>メンバー国</t>
        </is>
      </c>
      <c r="B25" s="92" t="n">
        <v>21</v>
      </c>
      <c r="C25" s="92" t="inlineStr">
        <is>
          <t>Byungim So</t>
        </is>
      </c>
      <c r="D25" s="92" t="inlineStr">
        <is>
          <t>Republic Of Korea</t>
        </is>
      </c>
      <c r="E25" s="92" t="inlineStr">
        <is>
          <t>Assistant Director</t>
        </is>
      </c>
      <c r="F25" s="92" t="inlineStr">
        <is>
          <t>Disaster Management Policy Division</t>
        </is>
      </c>
      <c r="G25" s="92" t="inlineStr">
        <is>
          <t>Ministry of the Interior and Safety</t>
        </is>
      </c>
      <c r="H25" s="92" t="inlineStr">
        <is>
          <t>Onsite (face-to-face)</t>
        </is>
      </c>
      <c r="I25" s="92" t="n"/>
    </row>
    <row r="26" ht="28.8" customHeight="1" s="107">
      <c r="A26" s="92" t="inlineStr">
        <is>
          <t>メンバー国</t>
        </is>
      </c>
      <c r="B26" s="92" t="n">
        <v>22</v>
      </c>
      <c r="C26" s="92" t="inlineStr">
        <is>
          <t>Hana Song</t>
        </is>
      </c>
      <c r="D26" s="92" t="inlineStr">
        <is>
          <t>Republic of Korea</t>
        </is>
      </c>
      <c r="E26" s="92" t="inlineStr">
        <is>
          <t>Deputy Director</t>
        </is>
      </c>
      <c r="F26" s="92" t="inlineStr">
        <is>
          <t>Climate Disaster Management Division</t>
        </is>
      </c>
      <c r="G26" s="92" t="inlineStr">
        <is>
          <t>Ministry of the Interior and Safety</t>
        </is>
      </c>
      <c r="H26" s="92" t="inlineStr">
        <is>
          <t>Onsite (face-to-face)</t>
        </is>
      </c>
      <c r="I26" s="92" t="n"/>
    </row>
    <row r="27">
      <c r="A27" s="92" t="inlineStr">
        <is>
          <t>メンバー国</t>
        </is>
      </c>
      <c r="B27" s="92" t="n">
        <v>23</v>
      </c>
      <c r="C27" s="92" t="inlineStr">
        <is>
          <t>Ingeon Kim</t>
        </is>
      </c>
      <c r="D27" s="92" t="inlineStr">
        <is>
          <t>Republic of Korea</t>
        </is>
      </c>
      <c r="E27" s="92" t="inlineStr">
        <is>
          <t>Deputy Director</t>
        </is>
      </c>
      <c r="F27" s="92" t="inlineStr">
        <is>
          <t>Disaster and Safety Data Division</t>
        </is>
      </c>
      <c r="G27" s="92" t="inlineStr">
        <is>
          <t>Ministry of the Interior and Safety</t>
        </is>
      </c>
      <c r="H27" s="92" t="inlineStr">
        <is>
          <t>Onsite (face-to-face)</t>
        </is>
      </c>
      <c r="I27" s="92" t="n"/>
    </row>
    <row r="28" ht="28.8" customHeight="1" s="107">
      <c r="A28" s="92" t="inlineStr">
        <is>
          <t>メンバー国</t>
        </is>
      </c>
      <c r="B28" s="92" t="n">
        <v>24</v>
      </c>
      <c r="C28" s="92" t="inlineStr">
        <is>
          <t>Taekgeon Lee</t>
        </is>
      </c>
      <c r="D28" s="92" t="inlineStr">
        <is>
          <t>Republic of Korea</t>
        </is>
      </c>
      <c r="E28" s="92" t="inlineStr">
        <is>
          <t>Assistant Director</t>
        </is>
      </c>
      <c r="F28" s="92" t="inlineStr">
        <is>
          <t>Agriculture, Livestock and Marine Disaster Response Division</t>
        </is>
      </c>
      <c r="G28" s="92" t="inlineStr">
        <is>
          <t>Ministry of the Interior and Safety</t>
        </is>
      </c>
      <c r="H28" s="92" t="inlineStr">
        <is>
          <t>Onsite (face-to-face)</t>
        </is>
      </c>
      <c r="I28" s="92" t="n"/>
    </row>
    <row r="29" ht="28.8" customHeight="1" s="107">
      <c r="A29" s="92" t="inlineStr">
        <is>
          <t>メンバー国</t>
        </is>
      </c>
      <c r="B29" s="92" t="n">
        <v>25</v>
      </c>
      <c r="C29" s="92" t="inlineStr">
        <is>
          <t>Alan Chow</t>
        </is>
      </c>
      <c r="D29" s="92" t="inlineStr">
        <is>
          <t>Singapore</t>
        </is>
      </c>
      <c r="E29" s="92" t="inlineStr">
        <is>
          <t>Director</t>
        </is>
      </c>
      <c r="F29" s="92" t="inlineStr">
        <is>
          <t>Planning &amp; Organisation Department</t>
        </is>
      </c>
      <c r="G29" s="92" t="inlineStr">
        <is>
          <t>Singapore Civil Defence Force</t>
        </is>
      </c>
      <c r="H29" s="92" t="inlineStr">
        <is>
          <t>Onsite (face-to-face)</t>
        </is>
      </c>
      <c r="I29" s="92" t="n"/>
    </row>
    <row r="30">
      <c r="A30" s="92" t="inlineStr">
        <is>
          <t>メンバー国</t>
        </is>
      </c>
      <c r="B30" s="92" t="n">
        <v>26</v>
      </c>
      <c r="C30" s="92" t="inlineStr">
        <is>
          <t>Fabian Hwi Min Tan</t>
        </is>
      </c>
      <c r="D30" s="92" t="inlineStr">
        <is>
          <t>Singapore</t>
        </is>
      </c>
      <c r="E30" s="92" t="inlineStr">
        <is>
          <t>Deputy Ceo</t>
        </is>
      </c>
      <c r="F30" s="92" t="inlineStr">
        <is>
          <t>Operations Group</t>
        </is>
      </c>
      <c r="G30" s="92" t="inlineStr">
        <is>
          <t>Cosem Safety &amp; Security Services Pte Ltd</t>
        </is>
      </c>
      <c r="H30" s="92" t="inlineStr">
        <is>
          <t>Onsite (face-to-face)</t>
        </is>
      </c>
      <c r="I30" s="92" t="n"/>
    </row>
    <row r="31" ht="28.8" customHeight="1" s="107">
      <c r="A31" s="92" t="inlineStr">
        <is>
          <t>メンバー国</t>
        </is>
      </c>
      <c r="B31" s="92" t="n">
        <v>27</v>
      </c>
      <c r="C31" s="92" t="inlineStr">
        <is>
          <t>Sirada Boonkongchuen</t>
        </is>
      </c>
      <c r="D31" s="92" t="inlineStr">
        <is>
          <t>Singapore</t>
        </is>
      </c>
      <c r="E31" s="92" t="inlineStr">
        <is>
          <t>Product Partnership, Google Search &amp; Gemini</t>
        </is>
      </c>
      <c r="F31" s="92" t="inlineStr">
        <is>
          <t>Product</t>
        </is>
      </c>
      <c r="G31" s="92" t="inlineStr">
        <is>
          <t>Google</t>
        </is>
      </c>
      <c r="H31" s="92" t="inlineStr">
        <is>
          <t>Onsite (face-to-face)</t>
        </is>
      </c>
      <c r="I31" s="92" t="n"/>
    </row>
    <row r="32">
      <c r="A32" s="92" t="inlineStr">
        <is>
          <t>メンバー国</t>
        </is>
      </c>
      <c r="B32" s="92" t="n">
        <v>28</v>
      </c>
      <c r="C32" s="92" t="inlineStr">
        <is>
          <t>Yap Eric</t>
        </is>
      </c>
      <c r="D32" s="92" t="inlineStr">
        <is>
          <t>Singapore</t>
        </is>
      </c>
      <c r="E32" s="92" t="inlineStr">
        <is>
          <t xml:space="preserve">Commissioner </t>
        </is>
      </c>
      <c r="F32" s="92" t="n"/>
      <c r="G32" s="92" t="inlineStr">
        <is>
          <t xml:space="preserve">Singapore Civil Defence Force </t>
        </is>
      </c>
      <c r="H32" s="92" t="inlineStr">
        <is>
          <t>Onsite (face-to-face)</t>
        </is>
      </c>
      <c r="I32" s="92" t="n"/>
    </row>
    <row r="33">
      <c r="A33" s="92" t="inlineStr">
        <is>
          <t>メンバー国</t>
        </is>
      </c>
      <c r="B33" s="92" t="n">
        <v>29</v>
      </c>
      <c r="C33" s="92" t="inlineStr">
        <is>
          <t>Yong Kai Chen</t>
        </is>
      </c>
      <c r="D33" s="92" t="inlineStr">
        <is>
          <t>Singapore</t>
        </is>
      </c>
      <c r="E33" s="92" t="inlineStr">
        <is>
          <t>Deputy Commander</t>
        </is>
      </c>
      <c r="F33" s="92" t="inlineStr">
        <is>
          <t>3Rd Scdf Division</t>
        </is>
      </c>
      <c r="G33" s="92" t="inlineStr">
        <is>
          <t>Singapore Civil Defence Force</t>
        </is>
      </c>
      <c r="H33" s="92" t="inlineStr">
        <is>
          <t>Onsite (face-to-face)</t>
        </is>
      </c>
      <c r="I33" s="92" t="n"/>
    </row>
    <row r="34" ht="28.8" customHeight="1" s="107">
      <c r="A34" s="92" t="inlineStr">
        <is>
          <t>メンバー国</t>
        </is>
      </c>
      <c r="B34" s="92" t="n">
        <v>30</v>
      </c>
      <c r="C34" s="92" t="inlineStr">
        <is>
          <t>Kachchakaduge Nipul Sampath Kotuwegoda</t>
        </is>
      </c>
      <c r="D34" s="92" t="inlineStr">
        <is>
          <t>Sri Lanka</t>
        </is>
      </c>
      <c r="E34" s="92" t="inlineStr">
        <is>
          <t>Director General</t>
        </is>
      </c>
      <c r="F34" s="92" t="n"/>
      <c r="G34" s="92" t="inlineStr">
        <is>
          <t>Disaster Management Centre</t>
        </is>
      </c>
      <c r="H34" s="92" t="inlineStr">
        <is>
          <t>Onsite (face-to-face)</t>
        </is>
      </c>
      <c r="I34" s="92" t="n"/>
    </row>
    <row r="35" ht="28.8" customHeight="1" s="107">
      <c r="A35" s="92" t="inlineStr">
        <is>
          <t>メンバー国</t>
        </is>
      </c>
      <c r="B35" s="92" t="n">
        <v>31</v>
      </c>
      <c r="C35" s="92" t="inlineStr">
        <is>
          <t>Orhan Tatar</t>
        </is>
      </c>
      <c r="D35" s="92" t="inlineStr">
        <is>
          <t>Turkiye</t>
        </is>
      </c>
      <c r="E35" s="92" t="inlineStr">
        <is>
          <t>Director General</t>
        </is>
      </c>
      <c r="F35" s="92" t="inlineStr">
        <is>
          <t>Earthquake and Risk Reduction</t>
        </is>
      </c>
      <c r="G35" s="92" t="inlineStr">
        <is>
          <t>Disaster and Emergency Management Presidency / AFAD</t>
        </is>
      </c>
      <c r="H35" s="92" t="inlineStr">
        <is>
          <t>Onsite (face-to-face)</t>
        </is>
      </c>
      <c r="I35" s="92" t="n"/>
    </row>
    <row r="36" ht="43.2" customHeight="1" s="107">
      <c r="A36" s="92" t="inlineStr">
        <is>
          <t>メンバー国</t>
        </is>
      </c>
      <c r="B36" s="92" t="n">
        <v>32</v>
      </c>
      <c r="C36" s="92" t="inlineStr">
        <is>
          <t>Pehlivan Ali Hamza</t>
        </is>
      </c>
      <c r="D36" s="92" t="inlineStr">
        <is>
          <t>Turkiye</t>
        </is>
      </c>
      <c r="E36" s="92" t="inlineStr">
        <is>
          <t>Governor / Head of AFAD</t>
        </is>
      </c>
      <c r="F36" s="92" t="n"/>
      <c r="G36" s="92" t="inlineStr">
        <is>
          <t>Republic of Turkiye - Ministry of Interior - Disaster and Emergency Management Authority (AFAD)</t>
        </is>
      </c>
      <c r="H36" s="92" t="inlineStr">
        <is>
          <t>Onsite (face-to-face)</t>
        </is>
      </c>
      <c r="I36" s="92" t="n"/>
    </row>
    <row r="37" ht="43.2" customHeight="1" s="107">
      <c r="A37" s="92" t="inlineStr">
        <is>
          <t>メンバー国</t>
        </is>
      </c>
      <c r="B37" s="92" t="n">
        <v>33</v>
      </c>
      <c r="C37" s="92" t="inlineStr">
        <is>
          <t>Yaman Muhammet Maruf</t>
        </is>
      </c>
      <c r="D37" s="92" t="inlineStr">
        <is>
          <t>Turkiye</t>
        </is>
      </c>
      <c r="E37" s="92" t="inlineStr">
        <is>
          <t>Head of Foreign Relations Department - AFAD</t>
        </is>
      </c>
      <c r="F37" s="92" t="n"/>
      <c r="G37" s="92" t="inlineStr">
        <is>
          <t>Republic of Turkiye - Ministry of Interior - Disaster and Emergency Management Authority (AFAD)</t>
        </is>
      </c>
      <c r="H37" s="92" t="inlineStr">
        <is>
          <t>Onsite (face-to-face)</t>
        </is>
      </c>
      <c r="I37" s="92" t="n"/>
    </row>
    <row r="38" ht="28.8" customHeight="1" s="107">
      <c r="A38" s="92" t="inlineStr">
        <is>
          <t>メンバー国</t>
        </is>
      </c>
      <c r="B38" s="92" t="n">
        <v>34</v>
      </c>
      <c r="C38" s="92" t="inlineStr">
        <is>
          <t>Ba Nam Nguyen</t>
        </is>
      </c>
      <c r="D38" s="92" t="inlineStr">
        <is>
          <t>Viet Nam</t>
        </is>
      </c>
      <c r="E38" s="92" t="inlineStr">
        <is>
          <t>Officer</t>
        </is>
      </c>
      <c r="F38" s="92" t="inlineStr">
        <is>
          <t>Department of Personnel and Organisation</t>
        </is>
      </c>
      <c r="G38" s="92" t="inlineStr">
        <is>
          <t>Ministry of Agriculture and Environment</t>
        </is>
      </c>
      <c r="H38" s="92" t="inlineStr">
        <is>
          <t>Onsite (face-to-face)</t>
        </is>
      </c>
      <c r="I38" s="92" t="n"/>
    </row>
    <row r="39" ht="28.8" customHeight="1" s="107">
      <c r="A39" s="92" t="inlineStr">
        <is>
          <t>メンバー国</t>
        </is>
      </c>
      <c r="B39" s="92" t="n">
        <v>35</v>
      </c>
      <c r="C39" s="92" t="inlineStr">
        <is>
          <t>Truong Son Nguyen</t>
        </is>
      </c>
      <c r="D39" s="92" t="inlineStr">
        <is>
          <t>Viet Nam</t>
        </is>
      </c>
      <c r="E39" s="92" t="inlineStr">
        <is>
          <t>Deputy Director General</t>
        </is>
      </c>
      <c r="F39" s="92" t="n"/>
      <c r="G39" s="92" t="inlineStr">
        <is>
          <t>Viet Nam Disaster and Dyke Management Authority</t>
        </is>
      </c>
      <c r="H39" s="92" t="inlineStr">
        <is>
          <t>Onsite (face-to-face)</t>
        </is>
      </c>
      <c r="I39" s="92" t="n"/>
    </row>
    <row r="40" ht="28.8" customHeight="1" s="107">
      <c r="A40" s="92" t="inlineStr">
        <is>
          <t>メンバー国</t>
        </is>
      </c>
      <c r="B40" s="92" t="n">
        <v>36</v>
      </c>
      <c r="C40" s="92" t="inlineStr">
        <is>
          <t>Vu Thuy Duong</t>
        </is>
      </c>
      <c r="D40" s="92" t="inlineStr">
        <is>
          <t>Viet Nam</t>
        </is>
      </c>
      <c r="E40" s="92" t="inlineStr">
        <is>
          <t>Official</t>
        </is>
      </c>
      <c r="F40" s="92" t="inlineStr">
        <is>
          <t xml:space="preserve">Department of International Cooperation </t>
        </is>
      </c>
      <c r="G40" s="92" t="inlineStr">
        <is>
          <t>Viet Nam Disaster and Dyke Management Authority (VDDMA)</t>
        </is>
      </c>
      <c r="H40" s="92" t="inlineStr">
        <is>
          <t>Onsite (face-to-face)</t>
        </is>
      </c>
      <c r="I40" s="92" t="n"/>
    </row>
    <row r="41" ht="28.8" customHeight="1" s="107">
      <c r="A41" s="92" t="inlineStr">
        <is>
          <t>アドバイザー国</t>
        </is>
      </c>
      <c r="B41" s="92" t="n">
        <v>1</v>
      </c>
      <c r="C41" s="92" t="inlineStr">
        <is>
          <t>Arthur David Gawn</t>
        </is>
      </c>
      <c r="D41" s="92" t="inlineStr">
        <is>
          <t>New Zealand</t>
        </is>
      </c>
      <c r="E41" s="92" t="inlineStr">
        <is>
          <t>Cheif Executive And Director General</t>
        </is>
      </c>
      <c r="F41" s="92" t="n"/>
      <c r="G41" s="92" t="inlineStr">
        <is>
          <t>National Emergency Management Agency - New Zealand</t>
        </is>
      </c>
      <c r="H41" s="92" t="inlineStr">
        <is>
          <t>Onsite (face-to-face)</t>
        </is>
      </c>
      <c r="I41" s="92" t="n"/>
    </row>
    <row r="42" ht="28.8" customHeight="1" s="107">
      <c r="A42" s="92" t="inlineStr">
        <is>
          <t>アドバイザー国</t>
        </is>
      </c>
      <c r="B42" s="92" t="n">
        <v>2</v>
      </c>
      <c r="C42" s="92" t="inlineStr">
        <is>
          <t>Stefan John Michie</t>
        </is>
      </c>
      <c r="D42" s="92" t="inlineStr">
        <is>
          <t>New Zealand</t>
        </is>
      </c>
      <c r="E42" s="92" t="inlineStr">
        <is>
          <t>Deputy Chief Executive, Assurance</t>
        </is>
      </c>
      <c r="F42" s="92" t="inlineStr">
        <is>
          <t>Assurance</t>
        </is>
      </c>
      <c r="G42" s="92" t="inlineStr">
        <is>
          <t>National Emergency Management Agency - New Zealand</t>
        </is>
      </c>
      <c r="H42" s="92" t="inlineStr">
        <is>
          <t>Onsite (face-to-face)</t>
        </is>
      </c>
      <c r="I42" s="92" t="n"/>
    </row>
    <row r="43" ht="28.8" customHeight="1" s="107">
      <c r="A43" s="92" t="inlineStr">
        <is>
          <t>アドバイザー国</t>
        </is>
      </c>
      <c r="B43" s="92" t="n">
        <v>3</v>
      </c>
      <c r="C43" s="92" t="inlineStr">
        <is>
          <t>Stuart Ian Meiklejohn</t>
        </is>
      </c>
      <c r="D43" s="92" t="inlineStr">
        <is>
          <t>New Zealand</t>
        </is>
      </c>
      <c r="E43" s="92" t="inlineStr">
        <is>
          <t>Senior Advisor International Engagement</t>
        </is>
      </c>
      <c r="F43" s="92" t="inlineStr">
        <is>
          <t>International Engagement Team</t>
        </is>
      </c>
      <c r="G43" s="92" t="inlineStr">
        <is>
          <t>National Emergency Management Agency - New Zealand</t>
        </is>
      </c>
      <c r="H43" s="92" t="inlineStr">
        <is>
          <t>Onsite (face-to-face)</t>
        </is>
      </c>
      <c r="I43" s="92" t="n"/>
    </row>
    <row r="44" ht="28.8" customHeight="1" s="107">
      <c r="A44" s="92" t="inlineStr">
        <is>
          <t>一般</t>
        </is>
      </c>
      <c r="B44" s="92" t="n">
        <v>1</v>
      </c>
      <c r="C44" s="92" t="inlineStr">
        <is>
          <t>Aslam Perwaiz</t>
        </is>
      </c>
      <c r="D44" s="92" t="inlineStr">
        <is>
          <t>Thailand</t>
        </is>
      </c>
      <c r="E44" s="92" t="inlineStr">
        <is>
          <t>Executive Director</t>
        </is>
      </c>
      <c r="F44" s="92" t="n"/>
      <c r="G44" s="92" t="inlineStr">
        <is>
          <t>Asian Disaster Preparedness Center</t>
        </is>
      </c>
      <c r="H44" s="92" t="inlineStr">
        <is>
          <t>Onsite (face-to-face)</t>
        </is>
      </c>
      <c r="I44" s="92" t="inlineStr">
        <is>
          <t>ADPC オブザーバー（4名予定、追加2名はADRC負担なし）</t>
        </is>
      </c>
    </row>
    <row r="45" ht="28.8" customHeight="1" s="107">
      <c r="A45" s="92" t="inlineStr">
        <is>
          <t>一般</t>
        </is>
      </c>
      <c r="B45" s="92" t="n">
        <v>2</v>
      </c>
      <c r="C45" s="92" t="inlineStr">
        <is>
          <t>Weerapon Sripongchai</t>
        </is>
      </c>
      <c r="D45" s="92" t="inlineStr">
        <is>
          <t>Thailand</t>
        </is>
      </c>
      <c r="E45" s="92" t="inlineStr">
        <is>
          <t>Executive Management Officer</t>
        </is>
      </c>
      <c r="F45" s="92" t="inlineStr">
        <is>
          <t>Office of the Executive Director</t>
        </is>
      </c>
      <c r="G45" s="92" t="inlineStr">
        <is>
          <t>Asian Disaster Preparedness Center</t>
        </is>
      </c>
      <c r="H45" s="92" t="inlineStr">
        <is>
          <t>Onsite (face-to-face)</t>
        </is>
      </c>
      <c r="I45" s="92" t="inlineStr">
        <is>
          <t>ADPC オブザーバー（4名予定、追加2名はADRC負担なし）</t>
        </is>
      </c>
    </row>
    <row r="46" ht="28.8" customHeight="1" s="107">
      <c r="A46" s="92" t="inlineStr">
        <is>
          <t>一般</t>
        </is>
      </c>
      <c r="B46" s="92" t="n">
        <v>3</v>
      </c>
      <c r="C46" s="92" t="inlineStr">
        <is>
          <t>SAKURAI Noriko</t>
        </is>
      </c>
      <c r="D46" s="92" t="inlineStr">
        <is>
          <t>Fiji</t>
        </is>
      </c>
      <c r="E46" s="92" t="inlineStr">
        <is>
          <t>JICA DRR Policy Advisor to Fiji</t>
        </is>
      </c>
      <c r="F46" s="92" t="n"/>
      <c r="G46" s="92" t="inlineStr">
        <is>
          <t>NDRMO</t>
        </is>
      </c>
      <c r="H46" s="92" t="inlineStr">
        <is>
          <t>Onsite (face-to-face)</t>
        </is>
      </c>
      <c r="I46" s="92" t="inlineStr">
        <is>
          <t>フライト手配が進まず参加不透明（櫻井氏に依頼）</t>
        </is>
      </c>
    </row>
    <row r="47" ht="28.8" customHeight="1" s="107">
      <c r="A47" s="92" t="inlineStr">
        <is>
          <t>一般</t>
        </is>
      </c>
      <c r="B47" s="92" t="n">
        <v>4</v>
      </c>
      <c r="C47" s="92" t="inlineStr">
        <is>
          <t>Hilda Tabar Cleofe</t>
        </is>
      </c>
      <c r="D47" s="92" t="inlineStr">
        <is>
          <t>Philippines</t>
        </is>
      </c>
      <c r="E47" s="92" t="inlineStr">
        <is>
          <t xml:space="preserve">Principal Security And Emergency Services Officer </t>
        </is>
      </c>
      <c r="F47" s="92" t="inlineStr">
        <is>
          <t xml:space="preserve">Corporate Services Department </t>
        </is>
      </c>
      <c r="G47" s="92" t="inlineStr">
        <is>
          <t>Asian Development Bank</t>
        </is>
      </c>
      <c r="H47" s="92" t="inlineStr">
        <is>
          <t>Onsite (face-to-face)</t>
        </is>
      </c>
      <c r="I47" s="92" t="n"/>
    </row>
    <row r="48">
      <c r="A48" s="92" t="inlineStr">
        <is>
          <t>一般</t>
        </is>
      </c>
      <c r="B48" s="92" t="n">
        <v>5</v>
      </c>
      <c r="C48" s="92" t="inlineStr">
        <is>
          <t>KATO Ai</t>
        </is>
      </c>
      <c r="D48" s="92" t="inlineStr">
        <is>
          <t>Japan</t>
        </is>
      </c>
      <c r="E48" s="92" t="inlineStr">
        <is>
          <t>Manager</t>
        </is>
      </c>
      <c r="F48" s="92" t="n"/>
      <c r="G48" s="92" t="inlineStr">
        <is>
          <t>City of Sendai</t>
        </is>
      </c>
      <c r="H48" s="92" t="inlineStr">
        <is>
          <t>Onsite (face-to-face)</t>
        </is>
      </c>
      <c r="I48" s="92" t="n"/>
    </row>
    <row r="49" ht="43.2" customHeight="1" s="107">
      <c r="A49" s="92" t="inlineStr">
        <is>
          <t>一般</t>
        </is>
      </c>
      <c r="B49" s="92" t="n">
        <v>6</v>
      </c>
      <c r="C49" s="92" t="inlineStr">
        <is>
          <t>SAKURAI Shinya</t>
        </is>
      </c>
      <c r="D49" s="92" t="inlineStr">
        <is>
          <t>Japan</t>
        </is>
      </c>
      <c r="E49" s="92" t="inlineStr">
        <is>
          <t>Officer</t>
        </is>
      </c>
      <c r="F49" s="92" t="inlineStr">
        <is>
          <t>Asia-Pacific Ministerial Conference on Disaster Risk Reduction Preparation Office</t>
        </is>
      </c>
      <c r="G49" s="92" t="inlineStr">
        <is>
          <t>City of Sendai</t>
        </is>
      </c>
      <c r="H49" s="92" t="inlineStr">
        <is>
          <t>Onsite (face-to-face)</t>
        </is>
      </c>
      <c r="I49" s="92" t="n"/>
    </row>
    <row r="50">
      <c r="A50" s="92" t="inlineStr">
        <is>
          <t>一般</t>
        </is>
      </c>
      <c r="B50" s="92" t="n">
        <v>7</v>
      </c>
      <c r="C50" s="92" t="inlineStr">
        <is>
          <t>SASAKI Sachiko</t>
        </is>
      </c>
      <c r="D50" s="92" t="inlineStr">
        <is>
          <t>Japan</t>
        </is>
      </c>
      <c r="E50" s="92" t="inlineStr">
        <is>
          <t>Senior Director</t>
        </is>
      </c>
      <c r="F50" s="92" t="n"/>
      <c r="G50" s="92" t="inlineStr">
        <is>
          <t>City of Sendai</t>
        </is>
      </c>
      <c r="H50" s="92" t="inlineStr">
        <is>
          <t>Onsite (face-to-face)</t>
        </is>
      </c>
      <c r="I50" s="92" t="n"/>
    </row>
    <row r="51">
      <c r="A51" s="92" t="inlineStr">
        <is>
          <t>一般</t>
        </is>
      </c>
      <c r="B51" s="92" t="n">
        <v>8</v>
      </c>
      <c r="C51" s="92" t="inlineStr">
        <is>
          <t>TAKAHASHI Shinichi</t>
        </is>
      </c>
      <c r="D51" s="92" t="inlineStr">
        <is>
          <t>Japan</t>
        </is>
      </c>
      <c r="E51" s="92" t="inlineStr">
        <is>
          <t>Vice Mayor</t>
        </is>
      </c>
      <c r="F51" s="92" t="n"/>
      <c r="G51" s="92" t="inlineStr">
        <is>
          <t>City of Sendai</t>
        </is>
      </c>
      <c r="H51" s="92" t="inlineStr">
        <is>
          <t>Onsite (face-to-face)</t>
        </is>
      </c>
      <c r="I51" s="92" t="n"/>
    </row>
    <row r="52">
      <c r="A52" s="92" t="inlineStr">
        <is>
          <t>一般</t>
        </is>
      </c>
      <c r="B52" s="92" t="n">
        <v>9</v>
      </c>
      <c r="C52" s="92" t="inlineStr">
        <is>
          <t>OGIWARA Jiro</t>
        </is>
      </c>
      <c r="D52" s="92" t="inlineStr">
        <is>
          <t>Japan</t>
        </is>
      </c>
      <c r="E52" s="92" t="inlineStr">
        <is>
          <t>Acting Secretary General</t>
        </is>
      </c>
      <c r="F52" s="92" t="inlineStr">
        <is>
          <t>Secretariat</t>
        </is>
      </c>
      <c r="G52" s="92" t="inlineStr">
        <is>
          <t>Japan Bosai Platform</t>
        </is>
      </c>
      <c r="H52" s="92" t="inlineStr">
        <is>
          <t>Onsite (face-to-face)</t>
        </is>
      </c>
      <c r="I52" s="92" t="n"/>
    </row>
    <row r="53">
      <c r="A53" s="92" t="inlineStr">
        <is>
          <t>一般</t>
        </is>
      </c>
      <c r="B53" s="92" t="n">
        <v>10</v>
      </c>
      <c r="C53" s="92" t="inlineStr">
        <is>
          <t>UEDA Natsumi</t>
        </is>
      </c>
      <c r="D53" s="92" t="inlineStr">
        <is>
          <t>Japan</t>
        </is>
      </c>
      <c r="E53" s="92" t="inlineStr">
        <is>
          <t>Associate Administrator</t>
        </is>
      </c>
      <c r="F53" s="92" t="n"/>
      <c r="G53" s="92" t="inlineStr">
        <is>
          <t>JAXA</t>
        </is>
      </c>
      <c r="H53" s="92" t="inlineStr">
        <is>
          <t>Onsite (face-to-face)</t>
        </is>
      </c>
      <c r="I53" s="92" t="inlineStr">
        <is>
          <t>TS登壇候補（人選中）</t>
        </is>
      </c>
    </row>
    <row r="54" ht="28.8" customHeight="1" s="107">
      <c r="A54" s="92" t="inlineStr">
        <is>
          <t>一般</t>
        </is>
      </c>
      <c r="B54" s="92" t="n">
        <v>11</v>
      </c>
      <c r="C54" s="92" t="inlineStr">
        <is>
          <t>Satoru Nishikawa</t>
        </is>
      </c>
      <c r="D54" s="92" t="n"/>
      <c r="E54" s="92" t="inlineStr">
        <is>
          <t>Senior Advisor</t>
        </is>
      </c>
      <c r="F54" s="92" t="inlineStr">
        <is>
          <t>Drr Group</t>
        </is>
      </c>
      <c r="G54" s="92" t="inlineStr">
        <is>
          <t>Jica</t>
        </is>
      </c>
      <c r="H54" s="92" t="inlineStr">
        <is>
          <t>Onsite (face-to-face)</t>
        </is>
      </c>
      <c r="I54" s="92" t="inlineStr">
        <is>
          <t>SIDEX 3日目登壇者。COSEM負担のリソース登録</t>
        </is>
      </c>
    </row>
    <row r="55">
      <c r="A55" s="92" t="inlineStr">
        <is>
          <t>一般</t>
        </is>
      </c>
      <c r="B55" s="92" t="n">
        <v>12</v>
      </c>
      <c r="C55" s="92" t="inlineStr">
        <is>
          <t>TAKABATAKE Tomoyuki</t>
        </is>
      </c>
      <c r="D55" s="92" t="inlineStr">
        <is>
          <t>Japan</t>
        </is>
      </c>
      <c r="E55" s="92" t="inlineStr">
        <is>
          <t>Associate Professor</t>
        </is>
      </c>
      <c r="F55" s="92" t="n"/>
      <c r="G55" s="92" t="inlineStr">
        <is>
          <t>Kindai University</t>
        </is>
      </c>
      <c r="H55" s="92" t="inlineStr">
        <is>
          <t>Onsite (face-to-face)</t>
        </is>
      </c>
      <c r="I55" s="92" t="n"/>
    </row>
    <row r="56">
      <c r="A56" s="92" t="inlineStr">
        <is>
          <t>一般</t>
        </is>
      </c>
      <c r="B56" s="92" t="n">
        <v>13</v>
      </c>
      <c r="C56" s="92" t="inlineStr">
        <is>
          <t>Al Azizi Quthbi Syazwi</t>
        </is>
      </c>
      <c r="D56" s="92" t="inlineStr">
        <is>
          <t>Indonesia</t>
        </is>
      </c>
      <c r="E56" s="92" t="inlineStr">
        <is>
          <t>Research Assistant</t>
        </is>
      </c>
      <c r="F56" s="92" t="inlineStr">
        <is>
          <t>Research Department</t>
        </is>
      </c>
      <c r="G56" s="92" t="inlineStr">
        <is>
          <t>LPPM UNHAS</t>
        </is>
      </c>
      <c r="H56" s="92" t="inlineStr">
        <is>
          <t>Onsite (face-to-face)</t>
        </is>
      </c>
      <c r="I56" s="92" t="n"/>
    </row>
    <row r="57">
      <c r="A57" s="92" t="inlineStr">
        <is>
          <t>一般</t>
        </is>
      </c>
      <c r="B57" s="92" t="n">
        <v>14</v>
      </c>
      <c r="C57" s="92" t="inlineStr">
        <is>
          <t>Azam Ab Samah Norazam</t>
        </is>
      </c>
      <c r="D57" s="92" t="inlineStr">
        <is>
          <t>Malaysia</t>
        </is>
      </c>
      <c r="E57" s="92" t="inlineStr">
        <is>
          <t>Senior Advisory Council</t>
        </is>
      </c>
      <c r="F57" s="92" t="inlineStr">
        <is>
          <t>Programme Operation</t>
        </is>
      </c>
      <c r="G57" s="92" t="inlineStr">
        <is>
          <t>Mercy Malaysia</t>
        </is>
      </c>
      <c r="H57" s="92" t="inlineStr">
        <is>
          <t>Onsite (face-to-face)</t>
        </is>
      </c>
      <c r="I57" s="92" t="n"/>
    </row>
    <row r="58">
      <c r="A58" s="92" t="inlineStr">
        <is>
          <t>一般</t>
        </is>
      </c>
      <c r="B58" s="92" t="n">
        <v>15</v>
      </c>
      <c r="C58" s="92" t="inlineStr">
        <is>
          <t>Yegane Ghezelloo</t>
        </is>
      </c>
      <c r="D58" s="92" t="inlineStr">
        <is>
          <t>Japan</t>
        </is>
      </c>
      <c r="E58" s="92" t="inlineStr">
        <is>
          <t>Associate Professor</t>
        </is>
      </c>
      <c r="F58" s="92" t="inlineStr">
        <is>
          <t>Department of Architecture</t>
        </is>
      </c>
      <c r="G58" s="92" t="inlineStr">
        <is>
          <t>Mie University</t>
        </is>
      </c>
      <c r="H58" s="92" t="inlineStr">
        <is>
          <t>Onsite (face-to-face)</t>
        </is>
      </c>
      <c r="I58" s="92" t="n"/>
    </row>
    <row r="59" ht="28.8" customHeight="1" s="107">
      <c r="A59" s="92" t="inlineStr">
        <is>
          <t>一般</t>
        </is>
      </c>
      <c r="B59" s="92" t="n">
        <v>16</v>
      </c>
      <c r="C59" s="92" t="inlineStr">
        <is>
          <t>Alfarizi Zaky M.</t>
        </is>
      </c>
      <c r="D59" s="92" t="inlineStr">
        <is>
          <t>Indonesia</t>
        </is>
      </c>
      <c r="E59" s="92" t="inlineStr">
        <is>
          <t>Geograpic Information System Specialist</t>
        </is>
      </c>
      <c r="F59" s="92" t="inlineStr">
        <is>
          <t>Directorate of Sustainable Management of Natural Resources</t>
        </is>
      </c>
      <c r="G59" s="92" t="inlineStr">
        <is>
          <t>Ministry of Environtment of Indonesia</t>
        </is>
      </c>
      <c r="H59" s="92" t="inlineStr">
        <is>
          <t>Onsite (face-to-face)</t>
        </is>
      </c>
      <c r="I59" s="92" t="inlineStr">
        <is>
          <t>一般扱い（メンバー国対応なし）9/25</t>
        </is>
      </c>
    </row>
    <row r="60">
      <c r="A60" s="92" t="inlineStr">
        <is>
          <t>一般</t>
        </is>
      </c>
      <c r="B60" s="92" t="n">
        <v>17</v>
      </c>
      <c r="C60" s="92" t="inlineStr">
        <is>
          <t>Kaneka Keo</t>
        </is>
      </c>
      <c r="D60" s="92" t="inlineStr">
        <is>
          <t>Cambodia</t>
        </is>
      </c>
      <c r="E60" s="92" t="inlineStr">
        <is>
          <t xml:space="preserve">Climate Resilience Lead </t>
        </is>
      </c>
      <c r="F60" s="92" t="n"/>
      <c r="G60" s="92" t="inlineStr">
        <is>
          <t>Oxfam</t>
        </is>
      </c>
      <c r="H60" s="92" t="inlineStr">
        <is>
          <t>Onsite (face-to-face)</t>
        </is>
      </c>
      <c r="I60" s="92" t="n"/>
    </row>
    <row r="61">
      <c r="A61" s="92" t="inlineStr">
        <is>
          <t>一般</t>
        </is>
      </c>
      <c r="B61" s="92" t="n">
        <v>18</v>
      </c>
      <c r="C61" s="92" t="inlineStr">
        <is>
          <t>Justin Jr. Baylosis Giergos</t>
        </is>
      </c>
      <c r="D61" s="92" t="inlineStr">
        <is>
          <t>Philippines</t>
        </is>
      </c>
      <c r="E61" s="92" t="inlineStr">
        <is>
          <t>Bs Nursing Student</t>
        </is>
      </c>
      <c r="F61" s="92" t="inlineStr">
        <is>
          <t>Undergraduate Nursing Student</t>
        </is>
      </c>
      <c r="G61" s="92" t="inlineStr">
        <is>
          <t>St. Paul University Iloilo</t>
        </is>
      </c>
      <c r="H61" s="92" t="inlineStr">
        <is>
          <t>Onsite (face-to-face)</t>
        </is>
      </c>
      <c r="I61" s="92" t="n"/>
    </row>
    <row r="62">
      <c r="A62" s="92" t="inlineStr">
        <is>
          <t>一般</t>
        </is>
      </c>
      <c r="B62" s="92" t="n">
        <v>19</v>
      </c>
      <c r="C62" s="92" t="inlineStr">
        <is>
          <t>Krishna Putra Tanaja</t>
        </is>
      </c>
      <c r="D62" s="92" t="inlineStr">
        <is>
          <t>Indonesia</t>
        </is>
      </c>
      <c r="E62" s="92" t="inlineStr">
        <is>
          <t>Deputy Director</t>
        </is>
      </c>
      <c r="F62" s="92" t="inlineStr">
        <is>
          <t>Deputy Director</t>
        </is>
      </c>
      <c r="G62" s="92" t="inlineStr">
        <is>
          <t>The AHA Centre</t>
        </is>
      </c>
      <c r="H62" s="92" t="inlineStr">
        <is>
          <t>Onsite (face-to-face)</t>
        </is>
      </c>
      <c r="I62" s="92" t="n"/>
    </row>
    <row r="63" ht="28.8" customHeight="1" s="107">
      <c r="A63" s="92" t="inlineStr">
        <is>
          <t>一般</t>
        </is>
      </c>
      <c r="B63" s="92" t="n">
        <v>20</v>
      </c>
      <c r="C63" s="92" t="inlineStr">
        <is>
          <t>ONO Yuichi</t>
        </is>
      </c>
      <c r="D63" s="92" t="inlineStr">
        <is>
          <t>Japan</t>
        </is>
      </c>
      <c r="E63" s="92" t="inlineStr">
        <is>
          <t>Deputy Director</t>
        </is>
      </c>
      <c r="F63" s="92" t="inlineStr">
        <is>
          <t>International Research Institute of Disaster Science</t>
        </is>
      </c>
      <c r="G63" s="92" t="inlineStr">
        <is>
          <t>Tohoku University</t>
        </is>
      </c>
      <c r="H63" s="92" t="inlineStr">
        <is>
          <t>Onsite (face-to-face)</t>
        </is>
      </c>
      <c r="I63" s="92" t="n"/>
    </row>
    <row r="64">
      <c r="A64" s="92" t="inlineStr">
        <is>
          <t>一般</t>
        </is>
      </c>
      <c r="B64" s="92" t="n">
        <v>21</v>
      </c>
      <c r="C64" s="92" t="inlineStr">
        <is>
          <t>Salmanova Rafiga</t>
        </is>
      </c>
      <c r="D64" s="92" t="inlineStr">
        <is>
          <t>Azerbaijan</t>
        </is>
      </c>
      <c r="E64" s="92" t="inlineStr">
        <is>
          <t>Teacher</t>
        </is>
      </c>
      <c r="F64" s="92" t="n"/>
      <c r="G64" s="92" t="inlineStr">
        <is>
          <t>Baku State University</t>
        </is>
      </c>
      <c r="H64" s="92" t="inlineStr">
        <is>
          <t>Onsite (face-to-face)</t>
        </is>
      </c>
      <c r="I64" s="92" t="n"/>
    </row>
    <row r="65">
      <c r="A65" s="92" t="inlineStr">
        <is>
          <t>一般</t>
        </is>
      </c>
      <c r="B65" s="92" t="n">
        <v>22</v>
      </c>
      <c r="C65" s="92" t="inlineStr">
        <is>
          <t>Vusala Zamanova</t>
        </is>
      </c>
      <c r="D65" s="92" t="inlineStr">
        <is>
          <t>Azerbaijan</t>
        </is>
      </c>
      <c r="E65" s="92" t="inlineStr">
        <is>
          <t>Teacher</t>
        </is>
      </c>
      <c r="F65" s="92" t="inlineStr">
        <is>
          <t>Baku State University</t>
        </is>
      </c>
      <c r="G65" s="92" t="inlineStr">
        <is>
          <t>Baku State University</t>
        </is>
      </c>
      <c r="H65" s="92" t="inlineStr">
        <is>
          <t>Onsite (face-to-face)</t>
        </is>
      </c>
      <c r="I65" s="92" t="n"/>
    </row>
    <row r="66">
      <c r="A66" s="92" t="inlineStr">
        <is>
          <t>ADRC</t>
        </is>
      </c>
      <c r="B66" s="92" t="n">
        <v>1</v>
      </c>
      <c r="C66" s="92" t="inlineStr">
        <is>
          <t>MIURA Fusanori</t>
        </is>
      </c>
      <c r="D66" s="92" t="n"/>
      <c r="E66" s="92" t="inlineStr">
        <is>
          <t>Chairman</t>
        </is>
      </c>
      <c r="F66" s="92" t="n"/>
      <c r="G66" s="92" t="inlineStr">
        <is>
          <t>Asian Disaster Reduction Center</t>
        </is>
      </c>
      <c r="H66" s="92" t="inlineStr">
        <is>
          <t>Onsite (face-to-face)</t>
        </is>
      </c>
      <c r="I66" s="92" t="n"/>
    </row>
    <row r="67">
      <c r="A67" s="92" t="inlineStr">
        <is>
          <t>ADRC</t>
        </is>
      </c>
      <c r="B67" s="92" t="n">
        <v>2</v>
      </c>
      <c r="C67" s="92" t="inlineStr">
        <is>
          <t>KITAMOTO Masayuki</t>
        </is>
      </c>
      <c r="D67" s="92" t="inlineStr">
        <is>
          <t>Japan</t>
        </is>
      </c>
      <c r="E67" s="92" t="inlineStr">
        <is>
          <t>Executive Director</t>
        </is>
      </c>
      <c r="F67" s="92" t="n"/>
      <c r="G67" s="92" t="inlineStr">
        <is>
          <t>Asian Disaster Reduction Center</t>
        </is>
      </c>
      <c r="H67" s="92" t="inlineStr">
        <is>
          <t>Onsite (face-to-face)</t>
        </is>
      </c>
      <c r="I67" s="92" t="n"/>
    </row>
    <row r="68">
      <c r="A68" s="92" t="inlineStr">
        <is>
          <t>ADRC</t>
        </is>
      </c>
      <c r="B68" s="92" t="n">
        <v>3</v>
      </c>
      <c r="C68" s="92" t="inlineStr">
        <is>
          <t>MIYAKI Kazuhiro</t>
        </is>
      </c>
      <c r="D68" s="92" t="inlineStr">
        <is>
          <t>Japan</t>
        </is>
      </c>
      <c r="E68" s="92" t="inlineStr">
        <is>
          <t>Director General</t>
        </is>
      </c>
      <c r="F68" s="92" t="n"/>
      <c r="G68" s="92" t="inlineStr">
        <is>
          <t>Asian Disaster Reduction Center</t>
        </is>
      </c>
      <c r="H68" s="92" t="inlineStr">
        <is>
          <t>Onsite (face-to-face)</t>
        </is>
      </c>
      <c r="I68" s="92" t="n"/>
    </row>
    <row r="69">
      <c r="A69" s="92" t="inlineStr">
        <is>
          <t>ADRC</t>
        </is>
      </c>
      <c r="B69" s="92" t="n">
        <v>4</v>
      </c>
      <c r="C69" s="92" t="inlineStr">
        <is>
          <t>KODAMA Miki</t>
        </is>
      </c>
      <c r="D69" s="92" t="inlineStr">
        <is>
          <t>Japan</t>
        </is>
      </c>
      <c r="E69" s="92" t="inlineStr">
        <is>
          <t>Director</t>
        </is>
      </c>
      <c r="F69" s="92" t="inlineStr">
        <is>
          <t>Research Department</t>
        </is>
      </c>
      <c r="G69" s="92" t="inlineStr">
        <is>
          <t>Asian Disaster Reduction Center</t>
        </is>
      </c>
      <c r="H69" s="92" t="inlineStr">
        <is>
          <t>Onsite (face-to-face)</t>
        </is>
      </c>
      <c r="I69" s="92" t="n"/>
    </row>
    <row r="70">
      <c r="A70" s="92" t="inlineStr">
        <is>
          <t>ADRC</t>
        </is>
      </c>
      <c r="B70" s="92" t="n">
        <v>5</v>
      </c>
      <c r="C70" s="92" t="inlineStr">
        <is>
          <t>ARAKIDA Masaru</t>
        </is>
      </c>
      <c r="D70" s="92" t="inlineStr">
        <is>
          <t>Japan</t>
        </is>
      </c>
      <c r="E70" s="92" t="inlineStr">
        <is>
          <t>Research Fellow</t>
        </is>
      </c>
      <c r="F70" s="92" t="inlineStr">
        <is>
          <t>Research Department</t>
        </is>
      </c>
      <c r="G70" s="92" t="inlineStr">
        <is>
          <t>Asian Disaster Reduction Center</t>
        </is>
      </c>
      <c r="H70" s="92" t="inlineStr">
        <is>
          <t>Onsite (face-to-face)</t>
        </is>
      </c>
      <c r="I70" s="92" t="n"/>
    </row>
    <row r="71">
      <c r="A71" s="92" t="inlineStr">
        <is>
          <t>ADRC</t>
        </is>
      </c>
      <c r="B71" s="92" t="n">
        <v>6</v>
      </c>
      <c r="C71" s="92" t="inlineStr">
        <is>
          <t>Gerald Potutan</t>
        </is>
      </c>
      <c r="D71" s="92" t="inlineStr">
        <is>
          <t>Japan</t>
        </is>
      </c>
      <c r="E71" s="92" t="inlineStr">
        <is>
          <t xml:space="preserve">Deputy Director For Research </t>
        </is>
      </c>
      <c r="F71" s="92" t="inlineStr">
        <is>
          <t xml:space="preserve">Research Department </t>
        </is>
      </c>
      <c r="G71" s="92" t="inlineStr">
        <is>
          <t>Asian Disaster Reduction Center</t>
        </is>
      </c>
      <c r="H71" s="92" t="inlineStr">
        <is>
          <t>Onsite (face-to-face)</t>
        </is>
      </c>
      <c r="I71" s="92" t="n"/>
    </row>
    <row r="72">
      <c r="A72" s="92" t="inlineStr">
        <is>
          <t>ADRC</t>
        </is>
      </c>
      <c r="B72" s="92" t="n">
        <v>7</v>
      </c>
      <c r="C72" s="92" t="inlineStr">
        <is>
          <t>IKEDA Makoto</t>
        </is>
      </c>
      <c r="D72" s="92" t="inlineStr">
        <is>
          <t>Japan</t>
        </is>
      </c>
      <c r="E72" s="92" t="inlineStr">
        <is>
          <t>Senior Researcher</t>
        </is>
      </c>
      <c r="F72" s="92" t="inlineStr">
        <is>
          <t>Research Department</t>
        </is>
      </c>
      <c r="G72" s="92" t="inlineStr">
        <is>
          <t>Asian Disaster Reduction Center</t>
        </is>
      </c>
      <c r="H72" s="92" t="inlineStr">
        <is>
          <t>Onsite (face-to-face)</t>
        </is>
      </c>
      <c r="I72" s="92" t="n"/>
    </row>
    <row r="73">
      <c r="A73" s="92" t="inlineStr">
        <is>
          <t>ADRC</t>
        </is>
      </c>
      <c r="B73" s="92" t="n">
        <v>8</v>
      </c>
      <c r="C73" s="92" t="inlineStr">
        <is>
          <t>SHIOMI Yumi</t>
        </is>
      </c>
      <c r="D73" s="92" t="inlineStr">
        <is>
          <t>Japan</t>
        </is>
      </c>
      <c r="E73" s="92" t="inlineStr">
        <is>
          <t>Senior Researcher</t>
        </is>
      </c>
      <c r="F73" s="92" t="inlineStr">
        <is>
          <t>Research Department</t>
        </is>
      </c>
      <c r="G73" s="92" t="inlineStr">
        <is>
          <t>Asian Disaster Reduction Center</t>
        </is>
      </c>
      <c r="H73" s="92" t="inlineStr">
        <is>
          <t>Onsite (face-to-face)</t>
        </is>
      </c>
      <c r="I73" s="92" t="n"/>
    </row>
    <row r="74">
      <c r="A74" s="92" t="inlineStr">
        <is>
          <t>ADRC</t>
        </is>
      </c>
      <c r="B74" s="92" t="n">
        <v>9</v>
      </c>
      <c r="C74" s="92" t="inlineStr">
        <is>
          <t>FUJIMOTO Ayako</t>
        </is>
      </c>
      <c r="D74" s="92" t="inlineStr">
        <is>
          <t>Japan</t>
        </is>
      </c>
      <c r="E74" s="92" t="inlineStr">
        <is>
          <t>Senior Assistant Researcher</t>
        </is>
      </c>
      <c r="F74" s="92" t="inlineStr">
        <is>
          <t>Research Department</t>
        </is>
      </c>
      <c r="G74" s="92" t="inlineStr">
        <is>
          <t>Asian Disaster Reduction Center</t>
        </is>
      </c>
      <c r="H74" s="92" t="inlineStr">
        <is>
          <t>Onsite (face-to-face)</t>
        </is>
      </c>
      <c r="I74" s="92" t="n"/>
    </row>
    <row r="75">
      <c r="A75" s="92" t="inlineStr">
        <is>
          <t>ADRC</t>
        </is>
      </c>
      <c r="B75" s="92" t="n">
        <v>10</v>
      </c>
      <c r="C75" s="92" t="inlineStr">
        <is>
          <t>FUJINAKA Junko</t>
        </is>
      </c>
      <c r="D75" s="92" t="inlineStr">
        <is>
          <t>Japan</t>
        </is>
      </c>
      <c r="E75" s="92" t="inlineStr">
        <is>
          <t>Administrative Manager</t>
        </is>
      </c>
      <c r="F75" s="92" t="inlineStr">
        <is>
          <t>Administrative Department</t>
        </is>
      </c>
      <c r="G75" s="92" t="inlineStr">
        <is>
          <t>Asian Disaster Reduction Center</t>
        </is>
      </c>
      <c r="H75" s="92" t="inlineStr">
        <is>
          <t>Onsite (face-to-face)</t>
        </is>
      </c>
      <c r="I75" s="92" t="n"/>
    </row>
    <row r="76">
      <c r="A76" s="92" t="inlineStr">
        <is>
          <t>ADRC</t>
        </is>
      </c>
      <c r="B76" s="92" t="n">
        <v>11</v>
      </c>
      <c r="C76" s="92" t="inlineStr">
        <is>
          <t>TANAKA Tomomi</t>
        </is>
      </c>
      <c r="D76" s="92" t="inlineStr">
        <is>
          <t>Japan</t>
        </is>
      </c>
      <c r="E76" s="92" t="inlineStr">
        <is>
          <t>Project Officer</t>
        </is>
      </c>
      <c r="F76" s="92" t="inlineStr">
        <is>
          <t>Research Department</t>
        </is>
      </c>
      <c r="G76" s="92" t="inlineStr">
        <is>
          <t>Asian Disasater Reduction Center</t>
        </is>
      </c>
      <c r="H76" s="92" t="inlineStr">
        <is>
          <t>Onsite (face-to-face)</t>
        </is>
      </c>
      <c r="I76" s="92" t="n"/>
    </row>
    <row r="77">
      <c r="A77" s="92" t="inlineStr">
        <is>
          <t>ADRC</t>
        </is>
      </c>
      <c r="B77" s="92" t="n">
        <v>12</v>
      </c>
      <c r="C77" s="92" t="inlineStr">
        <is>
          <t>YOSHIDA Maki</t>
        </is>
      </c>
      <c r="D77" s="92" t="inlineStr">
        <is>
          <t>Japan</t>
        </is>
      </c>
      <c r="E77" s="92" t="inlineStr">
        <is>
          <t>Project Researcher</t>
        </is>
      </c>
      <c r="F77" s="92" t="inlineStr">
        <is>
          <t>Research Department</t>
        </is>
      </c>
      <c r="G77" s="92" t="inlineStr">
        <is>
          <t>Asian Disaster Reduction Center</t>
        </is>
      </c>
      <c r="H77" s="92" t="inlineStr">
        <is>
          <t>Onsite (face-to-face)</t>
        </is>
      </c>
      <c r="I77" s="92" t="n"/>
    </row>
    <row r="78" ht="28.8" customHeight="1" s="107">
      <c r="A78" s="92" t="inlineStr">
        <is>
          <t>オンライン（一般）</t>
        </is>
      </c>
      <c r="B78" s="92" t="n">
        <v>1</v>
      </c>
      <c r="C78" s="92" t="inlineStr">
        <is>
          <t>Quang Manh Nguyen</t>
        </is>
      </c>
      <c r="D78" s="92" t="inlineStr">
        <is>
          <t>Viet Nam</t>
        </is>
      </c>
      <c r="E78" s="92" t="inlineStr">
        <is>
          <t>Researchers</t>
        </is>
      </c>
      <c r="F78" s="92" t="inlineStr">
        <is>
          <t>Department of Hydro Power and Renewable Energy</t>
        </is>
      </c>
      <c r="G78" s="92" t="inlineStr">
        <is>
          <t>Institute for Hydro Power and Renewable Energy</t>
        </is>
      </c>
      <c r="H78" s="92" t="inlineStr">
        <is>
          <t>Online</t>
        </is>
      </c>
      <c r="I78" s="92" t="n"/>
    </row>
    <row r="79" ht="28.8" customHeight="1" s="107">
      <c r="A79" s="92" t="inlineStr">
        <is>
          <t>オンライン（一般）</t>
        </is>
      </c>
      <c r="B79" s="92" t="n">
        <v>2</v>
      </c>
      <c r="C79" s="92" t="inlineStr">
        <is>
          <t>Md Wasim Akram</t>
        </is>
      </c>
      <c r="D79" s="92" t="inlineStr">
        <is>
          <t>India</t>
        </is>
      </c>
      <c r="E79" s="92" t="inlineStr">
        <is>
          <t xml:space="preserve">Medical Student </t>
        </is>
      </c>
      <c r="F79" s="92" t="n"/>
      <c r="G79" s="92" t="inlineStr">
        <is>
          <t xml:space="preserve">Academic </t>
        </is>
      </c>
      <c r="H79" s="92" t="inlineStr">
        <is>
          <t>Online</t>
        </is>
      </c>
      <c r="I79" s="92" t="n"/>
    </row>
    <row r="80" ht="43.2" customHeight="1" s="107">
      <c r="A80" s="92" t="inlineStr">
        <is>
          <t>オンライン（一般）</t>
        </is>
      </c>
      <c r="B80" s="92" t="n">
        <v>3</v>
      </c>
      <c r="C80" s="92" t="inlineStr">
        <is>
          <t>Jeffrey Tenorio Reyes</t>
        </is>
      </c>
      <c r="D80" s="92" t="inlineStr">
        <is>
          <t>Philippines</t>
        </is>
      </c>
      <c r="E80" s="92" t="inlineStr">
        <is>
          <t>Project Technical Assistant VI</t>
        </is>
      </c>
      <c r="F80" s="92" t="inlineStr">
        <is>
          <t xml:space="preserve">Research and Development and Training Division </t>
        </is>
      </c>
      <c r="G80" s="92" t="inlineStr">
        <is>
          <t>Department of Science and Techology - Philippine Atmospheric Geophysical andAstronomical Services Administration</t>
        </is>
      </c>
      <c r="H80" s="92" t="inlineStr">
        <is>
          <t>Online</t>
        </is>
      </c>
      <c r="I80" s="92" t="n"/>
    </row>
    <row r="81" ht="28.8" customHeight="1" s="107">
      <c r="A81" s="92" t="inlineStr">
        <is>
          <t>オンライン（一般）</t>
        </is>
      </c>
      <c r="B81" s="92" t="n">
        <v>4</v>
      </c>
      <c r="C81" s="92" t="inlineStr">
        <is>
          <t>Tomohiro Inoko</t>
        </is>
      </c>
      <c r="D81" s="92" t="inlineStr">
        <is>
          <t>Japan</t>
        </is>
      </c>
      <c r="E81" s="92" t="inlineStr">
        <is>
          <t>Assistant To Director</t>
        </is>
      </c>
      <c r="F81" s="92" t="inlineStr">
        <is>
          <t>Tokyo Outer Ring Construction Office</t>
        </is>
      </c>
      <c r="G81" s="92" t="inlineStr">
        <is>
          <t>East Nippon Expressway Company Limited</t>
        </is>
      </c>
      <c r="H81" s="92" t="inlineStr">
        <is>
          <t>Online</t>
        </is>
      </c>
      <c r="I81" s="92" t="n"/>
    </row>
    <row r="82" ht="28.8" customHeight="1" s="107">
      <c r="A82" s="92" t="inlineStr">
        <is>
          <t>オンライン（一般）</t>
        </is>
      </c>
      <c r="B82" s="92" t="n">
        <v>5</v>
      </c>
      <c r="C82" s="92" t="inlineStr">
        <is>
          <t>ISHIKAWA Mikiko</t>
        </is>
      </c>
      <c r="D82" s="92" t="inlineStr">
        <is>
          <t>Japan</t>
        </is>
      </c>
      <c r="E82" s="92" t="inlineStr">
        <is>
          <t>Secretariat</t>
        </is>
      </c>
      <c r="F82" s="92" t="n"/>
      <c r="G82" s="92" t="inlineStr">
        <is>
          <t>Japan Bosai Platform</t>
        </is>
      </c>
      <c r="H82" s="92" t="inlineStr">
        <is>
          <t>Online</t>
        </is>
      </c>
      <c r="I82" s="92" t="n"/>
    </row>
    <row r="83" ht="28.8" customHeight="1" s="107">
      <c r="A83" s="92" t="inlineStr">
        <is>
          <t>オンライン（一般）</t>
        </is>
      </c>
      <c r="B83" s="92" t="n">
        <v>6</v>
      </c>
      <c r="C83" s="92" t="inlineStr">
        <is>
          <t>Rafizah Zahri</t>
        </is>
      </c>
      <c r="D83" s="92" t="inlineStr">
        <is>
          <t>Malaysia</t>
        </is>
      </c>
      <c r="E83" s="92" t="inlineStr">
        <is>
          <t>Researcher</t>
        </is>
      </c>
      <c r="F83" s="92" t="n"/>
      <c r="G83" s="92" t="inlineStr">
        <is>
          <t>Universiti Teknologi Malaysia</t>
        </is>
      </c>
      <c r="H83" s="92" t="inlineStr">
        <is>
          <t>Online</t>
        </is>
      </c>
      <c r="I83" s="92" t="n"/>
    </row>
    <row r="84" ht="28.8" customHeight="1" s="107">
      <c r="A84" s="92" t="inlineStr">
        <is>
          <t>オンライン（一般）</t>
        </is>
      </c>
      <c r="B84" s="92" t="n">
        <v>7</v>
      </c>
      <c r="C84" s="92" t="inlineStr">
        <is>
          <t>Alvie Simonette Quetulio Alip</t>
        </is>
      </c>
      <c r="D84" s="92" t="inlineStr">
        <is>
          <t>Philippines</t>
        </is>
      </c>
      <c r="E84" s="92" t="inlineStr">
        <is>
          <t>University Researcher IV</t>
        </is>
      </c>
      <c r="F84" s="92" t="inlineStr">
        <is>
          <t>Office of the Vice Chancellor for Academic Affairs</t>
        </is>
      </c>
      <c r="G84" s="92" t="inlineStr">
        <is>
          <t>University of the Philippines Open University</t>
        </is>
      </c>
      <c r="H84" s="92" t="inlineStr">
        <is>
          <t>Online</t>
        </is>
      </c>
      <c r="I84" s="92" t="n"/>
    </row>
    <row r="85" ht="28.8" customHeight="1" s="107">
      <c r="A85" s="92" t="inlineStr">
        <is>
          <t>オンライン（ADRC）</t>
        </is>
      </c>
      <c r="B85" s="92" t="n">
        <v>4</v>
      </c>
      <c r="C85" s="92" t="inlineStr">
        <is>
          <t>NAKAMURA Akiko</t>
        </is>
      </c>
      <c r="D85" s="92" t="inlineStr">
        <is>
          <t>Japan</t>
        </is>
      </c>
      <c r="E85" s="92" t="inlineStr">
        <is>
          <t>Senior Researcher</t>
        </is>
      </c>
      <c r="F85" s="92" t="inlineStr">
        <is>
          <t>Research Department</t>
        </is>
      </c>
      <c r="G85" s="92" t="inlineStr">
        <is>
          <t>Asian Disaster Reduction Center</t>
        </is>
      </c>
      <c r="H85" s="92" t="inlineStr">
        <is>
          <t>Online</t>
        </is>
      </c>
      <c r="I85" s="92" t="n"/>
    </row>
    <row r="86" ht="28.8" customHeight="1" s="107">
      <c r="A86" s="92" t="inlineStr">
        <is>
          <t>オンライン（ADRC）</t>
        </is>
      </c>
      <c r="B86" s="92" t="n">
        <v>3</v>
      </c>
      <c r="C86" s="92" t="inlineStr">
        <is>
          <t>TATEBE Chihori</t>
        </is>
      </c>
      <c r="D86" s="92" t="inlineStr">
        <is>
          <t>Japan</t>
        </is>
      </c>
      <c r="E86" s="92" t="inlineStr">
        <is>
          <t>Researcher</t>
        </is>
      </c>
      <c r="F86" s="92" t="inlineStr">
        <is>
          <t>Research Department</t>
        </is>
      </c>
      <c r="G86" s="92" t="inlineStr">
        <is>
          <t>Asian Disaster Reduction Center</t>
        </is>
      </c>
      <c r="H86" s="92" t="inlineStr">
        <is>
          <t>Online</t>
        </is>
      </c>
      <c r="I86" s="92" t="n"/>
    </row>
    <row r="87" ht="28.8" customHeight="1" s="107">
      <c r="A87" s="92" t="inlineStr">
        <is>
          <t>オンライン（ADRC）</t>
        </is>
      </c>
      <c r="B87" s="92" t="n">
        <v>2</v>
      </c>
      <c r="C87" s="92" t="inlineStr">
        <is>
          <t>TERASAKA Kazuko</t>
        </is>
      </c>
      <c r="D87" s="92" t="inlineStr">
        <is>
          <t>Japan</t>
        </is>
      </c>
      <c r="E87" s="92" t="inlineStr">
        <is>
          <t>Assistant</t>
        </is>
      </c>
      <c r="F87" s="92" t="inlineStr">
        <is>
          <t>Research Department</t>
        </is>
      </c>
      <c r="G87" s="92" t="inlineStr">
        <is>
          <t>Asian Disaster Reduction Center</t>
        </is>
      </c>
      <c r="H87" s="92" t="inlineStr">
        <is>
          <t>Online</t>
        </is>
      </c>
      <c r="I87" s="92" t="n"/>
    </row>
    <row r="88" ht="28.8" customHeight="1" s="107">
      <c r="A88" s="92" t="inlineStr">
        <is>
          <t>オンライン（ADRC）</t>
        </is>
      </c>
      <c r="B88" s="92" t="n">
        <v>1</v>
      </c>
      <c r="C88" s="92" t="inlineStr">
        <is>
          <t>TAHARA Mai</t>
        </is>
      </c>
      <c r="D88" s="92" t="inlineStr">
        <is>
          <t>Japan</t>
        </is>
      </c>
      <c r="E88" s="92" t="inlineStr">
        <is>
          <t>Administrative Assistant</t>
        </is>
      </c>
      <c r="F88" s="92" t="inlineStr">
        <is>
          <t>Administrative Department</t>
        </is>
      </c>
      <c r="G88" s="92" t="inlineStr">
        <is>
          <t>Asian Disaster Reduction Center</t>
        </is>
      </c>
      <c r="H88" s="92" t="inlineStr">
        <is>
          <t>Online</t>
        </is>
      </c>
      <c r="I88" s="9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2026-09-04T02:17:32Z</dcterms:created>
  <dcterms:modified xmlns:dcterms="http://purl.org/dc/terms/" xmlns:xsi="http://www.w3.org/2001/XMLSchema-instance" xsi:type="dcterms:W3CDTF">2026-10-08T19:34:58Z</dcterms:modified>
  <cp:lastModifiedBy>ARAKIDA 荒木田</cp:lastModifiedBy>
  <cp:revision>0</cp:revision>
</cp:coreProperties>
</file>