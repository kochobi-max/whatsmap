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人員一覧・判定" sheetId="1" state="visible" r:id="rId3"/>
    <sheet name="動態表(日別)" sheetId="2" state="visible" r:id="rId4"/>
    <sheet name="27Oct(Day0)" sheetId="3" state="visible" r:id="rId5"/>
    <sheet name="28Oct(Day1)" sheetId="4" state="visible" r:id="rId6"/>
    <sheet name="29Oct(Day2)" sheetId="5" state="visible" r:id="rId7"/>
    <sheet name="30Oct(Day3)" sheetId="6" state="visible" r:id="rId8"/>
    <sheet name="人員ギャップ分析" sheetId="7" state="visible" r:id="rId9"/>
    <sheet name="COSEM協議事項" sheetId="8" state="visible" r:id="rId10"/>
    <sheet name="参加者到着・出発(8月28日時点)" sheetId="9" state="visible" r:id="rId11"/>
    <sheet name="出典・前提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<sst xmlns="http://schemas.openxmlformats.org/spreadsheetml/2006/main" count="1609" uniqueCount="1077">
  <si>
    <r>
      <rPr>
        <b val="true"/>
        <sz val="14"/>
        <color rgb="FF1F4E78"/>
        <rFont val="Arial"/>
        <family val="2"/>
        <charset val="1"/>
      </rPr>
      <t xml:space="preserve">SIDEX-ACDR2026</t>
    </r>
    <r>
      <rPr>
        <b val="true"/>
        <sz val="14"/>
        <color rgb="FF1F4E78"/>
        <rFont val="WenQuanYi Zen Hei"/>
        <family val="2"/>
      </rPr>
      <t xml:space="preserve">（シンガポール</t>
    </r>
    <r>
      <rPr>
        <b val="true"/>
        <sz val="14"/>
        <color rgb="FF1F4E78"/>
        <rFont val="Arial"/>
        <family val="2"/>
        <charset val="1"/>
      </rPr>
      <t xml:space="preserve">, 2026/10/27-30</t>
    </r>
    <r>
      <rPr>
        <b val="true"/>
        <sz val="14"/>
        <color rgb="FF1F4E78"/>
        <rFont val="WenQuanYi Zen Hei"/>
        <family val="2"/>
      </rPr>
      <t xml:space="preserve">）</t>
    </r>
    <r>
      <rPr>
        <b val="true"/>
        <sz val="14"/>
        <color rgb="FF1F4E78"/>
        <rFont val="Arial"/>
        <family val="2"/>
        <charset val="1"/>
      </rPr>
      <t xml:space="preserve">ADRC</t>
    </r>
    <r>
      <rPr>
        <b val="true"/>
        <sz val="14"/>
        <color rgb="FF1F4E78"/>
        <rFont val="WenQuanYi Zen Hei"/>
        <family val="2"/>
      </rPr>
      <t xml:space="preserve">派遣スタッフ一覧と判定</t>
    </r>
  </si>
  <si>
    <t xml:space="preserve">作成: 2026/9/4（第1版・所内打合せ用ドラフト）　根拠: Gmail（ACDR2026関連スレッド）、Googleドライブ（ACDR2026事前協議チェックリスト、月次ToDo、動態表ACDR2023）、添付（ホテル部屋数検討用リスト_tt.xlsx 8/28、ACDR2026予算.xlsx 8/21、ACDR2026_Demarcation_asof0805.pptx、Draft Agenda 0805r）／v1（9/4）: 日本側サポート（中村・山口）を追記。根拠: ACDR2025動態表(as of 11/26)・荒木田9/4指示／v1_3（9/4）: 児玉修正（宮木・児玉・池田・Gerryフライト、Gerry=研究部次長）を反映し、関連セルを更新。寺坂→立部の備考取り違えを修正（児玉指摘）／v2（9/4 所内打合せ反映）: 森口=SC担当で現地参加見込、藤本=撮影主担当、宮木・児玉は内閣府に張り付かず臨機応変、27日午前に全員で会場下見、29-30日の参加者誘導、26日夜エリック長官夕食会、日本側との接続・運用テスト等を追記／v2_1（9/4）: 藤本・塩見の本人承諾を反映し「確定」に。ドレスコードとCOSEMとの役割分担を「COSEM協議事項」シートに整理／v2_2（9/6）: 宮木・児玉の10/25泊が必要と確認（25日23:40着、荒木田 9/6 WhatsApp）。JAXA登壇者＝川北氏で確定。次回COSEM合同会議は第5回（9/15オンライン、Sylvia 6/18・内閣府8/31資料）に訂正／v2_3（9/6）: WhatsApp「ACDR2026 Coordination Team」（6/15–9/2）の要点を反映。Peridot 202-205拡張（8/24）、会場無償（8/25）、コーヒーブレイクOption 1（8/26）、LTC Yong Kai（司会・モデレーター 7/30）、Field Trip帰着17:00・パレード18:00着席（8/26）、無料パス13名承認待ち、Gala挨拶枠・MOU・日本パビリオンをプログラム項目（G）として追加／v2_4（9/6）: 吉田のフライトをフィンエアー（AY1534/AY131 10/26 18:40着、AY132/AY1531 10/30 22:05発）に変更（吉田 9/6 メール）</t>
  </si>
  <si>
    <t xml:space="preserve">No.</t>
  </si>
  <si>
    <t xml:space="preserve">氏名</t>
  </si>
  <si>
    <t xml:space="preserve">Name</t>
  </si>
  <si>
    <t xml:space="preserve">役職</t>
  </si>
  <si>
    <t xml:space="preserve">現地参加の確定度</t>
  </si>
  <si>
    <t xml:space="preserve">往路</t>
  </si>
  <si>
    <t xml:space="preserve">復路</t>
  </si>
  <si>
    <t xml:space="preserve">宿泊</t>
  </si>
  <si>
    <t xml:space="preserve">デマケ上の担当（8/6版）</t>
  </si>
  <si>
    <t xml:space="preserve">会期中の主な現地役割（本表での想定）</t>
  </si>
  <si>
    <t xml:space="preserve">要確認・備考</t>
  </si>
  <si>
    <t xml:space="preserve">三浦 房紀</t>
  </si>
  <si>
    <t xml:space="preserve">MIURA Fusanori</t>
  </si>
  <si>
    <t xml:space="preserve">センター長(Chairman)</t>
  </si>
  <si>
    <t xml:space="preserve">確定</t>
  </si>
  <si>
    <r>
      <rPr>
        <sz val="10"/>
        <color rgb="FF000000"/>
        <rFont val="Arial"/>
        <family val="2"/>
        <charset val="1"/>
      </rPr>
      <t xml:space="preserve">10/26 SQ655 </t>
    </r>
    <r>
      <rPr>
        <sz val="10"/>
        <color rgb="FF000000"/>
        <rFont val="WenQuanYi Zen Hei"/>
        <family val="2"/>
      </rPr>
      <t xml:space="preserve">福岡</t>
    </r>
    <r>
      <rPr>
        <sz val="10"/>
        <color rgb="FF000000"/>
        <rFont val="Arial"/>
        <family val="2"/>
        <charset val="1"/>
      </rPr>
      <t xml:space="preserve">09:30→SIN15:00</t>
    </r>
  </si>
  <si>
    <r>
      <rPr>
        <sz val="10"/>
        <color rgb="FF000000"/>
        <rFont val="Arial"/>
        <family val="2"/>
        <charset val="1"/>
      </rPr>
      <t xml:space="preserve">10/31 SQ656 SIN01:20→</t>
    </r>
    <r>
      <rPr>
        <sz val="10"/>
        <color rgb="FF000000"/>
        <rFont val="WenQuanYi Zen Hei"/>
        <family val="2"/>
      </rPr>
      <t xml:space="preserve">福岡</t>
    </r>
    <r>
      <rPr>
        <sz val="10"/>
        <color rgb="FF000000"/>
        <rFont val="Arial"/>
        <family val="2"/>
        <charset val="1"/>
      </rPr>
      <t xml:space="preserve">08:10</t>
    </r>
  </si>
  <si>
    <r>
      <rPr>
        <sz val="10"/>
        <color rgb="FF000000"/>
        <rFont val="Arial"/>
        <family val="2"/>
        <charset val="1"/>
      </rPr>
      <t xml:space="preserve">Dorsett 10/26-30 (5</t>
    </r>
    <r>
      <rPr>
        <sz val="10"/>
        <color rgb="FF000000"/>
        <rFont val="WenQuanYi Zen Hei"/>
        <family val="2"/>
      </rPr>
      <t xml:space="preserve">泊</t>
    </r>
    <r>
      <rPr>
        <sz val="10"/>
        <color rgb="FF000000"/>
        <rFont val="Arial"/>
        <family val="2"/>
        <charset val="1"/>
      </rPr>
      <t xml:space="preserve">)</t>
    </r>
  </si>
  <si>
    <r>
      <rPr>
        <sz val="10"/>
        <color rgb="FF000000"/>
        <rFont val="Arial"/>
        <family val="2"/>
        <charset val="1"/>
      </rPr>
      <t xml:space="preserve">ACDR2026 Opening </t>
    </r>
    <r>
      <rPr>
        <sz val="10"/>
        <color rgb="FF000000"/>
        <rFont val="WenQuanYi Zen Hei"/>
        <family val="2"/>
      </rPr>
      <t xml:space="preserve">挨拶／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出席</t>
    </r>
  </si>
  <si>
    <r>
      <rPr>
        <sz val="10"/>
        <color rgb="FF000000"/>
        <rFont val="Arial"/>
        <family val="2"/>
        <charset val="1"/>
      </rPr>
      <t xml:space="preserve">VIP</t>
    </r>
    <r>
      <rPr>
        <sz val="10"/>
        <color rgb="FF000000"/>
        <rFont val="WenQuanYi Zen Hei"/>
        <family val="2"/>
      </rPr>
      <t xml:space="preserve">対応（</t>
    </r>
    <r>
      <rPr>
        <sz val="10"/>
        <color rgb="FF000000"/>
        <rFont val="Arial"/>
        <family val="2"/>
        <charset val="1"/>
      </rPr>
      <t xml:space="preserve">ADRC</t>
    </r>
    <r>
      <rPr>
        <sz val="10"/>
        <color rgb="FF000000"/>
        <rFont val="WenQuanYi Zen Hei"/>
        <family val="2"/>
      </rPr>
      <t xml:space="preserve">代表）。</t>
    </r>
    <r>
      <rPr>
        <sz val="10"/>
        <color rgb="FF000000"/>
        <rFont val="Arial"/>
        <family val="2"/>
        <charset val="1"/>
      </rPr>
      <t xml:space="preserve">Opening (12:45)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Roundtable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Gala</t>
    </r>
    <r>
      <rPr>
        <sz val="10"/>
        <color rgb="FF000000"/>
        <rFont val="WenQuanYi Zen Hei"/>
        <family val="2"/>
      </rPr>
      <t xml:space="preserve">、大使公邸レセプション、</t>
    </r>
    <r>
      <rPr>
        <sz val="10"/>
        <color rgb="FF000000"/>
        <rFont val="Arial"/>
        <family val="2"/>
        <charset val="1"/>
      </rPr>
      <t xml:space="preserve">SIDEX Keynote</t>
    </r>
    <r>
      <rPr>
        <sz val="10"/>
        <color rgb="FF000000"/>
        <rFont val="WenQuanYi Zen Hei"/>
        <family val="2"/>
      </rPr>
      <t xml:space="preserve">出席</t>
    </r>
  </si>
  <si>
    <t xml:space="preserve">パスポート更新済み（7月）。復路は10/30深夜発扱い</t>
  </si>
  <si>
    <t xml:space="preserve">北本 政行</t>
  </si>
  <si>
    <t xml:space="preserve">KITAMOTO Masayuki</t>
  </si>
  <si>
    <t xml:space="preserve">常務理事</t>
  </si>
  <si>
    <r>
      <rPr>
        <sz val="10"/>
        <color rgb="FF000000"/>
        <rFont val="Arial"/>
        <family val="2"/>
        <charset val="1"/>
      </rPr>
      <t xml:space="preserve">10/26 SQ637 </t>
    </r>
    <r>
      <rPr>
        <sz val="10"/>
        <color rgb="FF000000"/>
        <rFont val="WenQuanYi Zen Hei"/>
        <family val="2"/>
      </rPr>
      <t xml:space="preserve">成田</t>
    </r>
    <r>
      <rPr>
        <sz val="10"/>
        <color rgb="FF000000"/>
        <rFont val="Arial"/>
        <family val="2"/>
        <charset val="1"/>
      </rPr>
      <t xml:space="preserve">10:00→SIN16:30</t>
    </r>
  </si>
  <si>
    <r>
      <rPr>
        <sz val="10"/>
        <color rgb="FF000000"/>
        <rFont val="Arial"/>
        <family val="2"/>
        <charset val="1"/>
      </rPr>
      <t xml:space="preserve">10/30 SQ638 SIN23:55→</t>
    </r>
    <r>
      <rPr>
        <sz val="10"/>
        <color rgb="FF000000"/>
        <rFont val="WenQuanYi Zen Hei"/>
        <family val="2"/>
      </rPr>
      <t xml:space="preserve">成田</t>
    </r>
    <r>
      <rPr>
        <sz val="10"/>
        <color rgb="FF000000"/>
        <rFont val="Arial"/>
        <family val="2"/>
        <charset val="1"/>
      </rPr>
      <t xml:space="preserve">10/31 07:30</t>
    </r>
  </si>
  <si>
    <t xml:space="preserve">（役員として出席）</t>
  </si>
  <si>
    <r>
      <rPr>
        <sz val="10"/>
        <color rgb="FF000000"/>
        <rFont val="Arial"/>
        <family val="2"/>
        <charset val="1"/>
      </rPr>
      <t xml:space="preserve">VIP</t>
    </r>
    <r>
      <rPr>
        <sz val="10"/>
        <color rgb="FF000000"/>
        <rFont val="WenQuanYi Zen Hei"/>
        <family val="2"/>
      </rPr>
      <t xml:space="preserve">対応。初参加のため事前ブリーフィング要。</t>
    </r>
    <r>
      <rPr>
        <sz val="10"/>
        <color rgb="FF000000"/>
        <rFont val="Arial"/>
        <family val="2"/>
        <charset val="1"/>
      </rPr>
      <t xml:space="preserve">10/30</t>
    </r>
    <r>
      <rPr>
        <sz val="10"/>
        <color rgb="FF000000"/>
        <rFont val="WenQuanYi Zen Hei"/>
        <family val="2"/>
      </rPr>
      <t xml:space="preserve">は最終日夜に出発</t>
    </r>
  </si>
  <si>
    <t xml:space="preserve">初参加。8/7・9/4打合せに出席。Dorsett宿泊は8/28リストで確認</t>
  </si>
  <si>
    <t xml:space="preserve">宮木 一寛</t>
  </si>
  <si>
    <t xml:space="preserve">MIYAKI Kazuhiro</t>
  </si>
  <si>
    <t xml:space="preserve">所長</t>
  </si>
  <si>
    <t xml:space="preserve">確定（フライト要確認）</t>
  </si>
  <si>
    <t xml:space="preserve">10/25 NH2178 ITM 14:00 → NRT 15:30   NH803 NRT 17:00 → SIN 23:40</t>
  </si>
  <si>
    <t xml:space="preserve">10/31 NH802 SIN 06:35 → NRT 14:30   </t>
  </si>
  <si>
    <t xml:space="preserve">10/25泊 必要（NH803 23:40着）→宿泊先（Dorsett/任意）を至急決定・手配。26日以降はDorsettシート「所長」行(10/26-30)</t>
  </si>
  <si>
    <t xml:space="preserve">全体総括／内閣府との連絡調整／Bi-meeting／SC議長(内閣府)との調整／広報(記者クラブ)</t>
  </si>
  <si>
    <t xml:space="preserve">全体総括。内閣府・COSEMとの調整に臨機応変に対応（内閣府には張り付かない。空港出迎え不要＝公用車。林統括官の英語対応はADRCには求められず大使館側）。Opening/VIP Tourに同行、SC進行補佐、Field Trip参加（9/4）</t>
  </si>
  <si>
    <t xml:space="preserve">フライト確定（児玉 9/4）。25日泊が必要と確認（荒木田 9/6, WhatsApp Coordination Team）。宿泊先（Dorsett/任意）は未定。10/26夜エリック長官夕食会（調整中）</t>
  </si>
  <si>
    <t xml:space="preserve">児玉 美樹</t>
  </si>
  <si>
    <t xml:space="preserve">KODAMA Miki</t>
  </si>
  <si>
    <t xml:space="preserve">研究部長</t>
  </si>
  <si>
    <t xml:space="preserve">10/31 NH802 SIN 06:35 → NRT 14:30   NH2177 NRT 17:35 → ITM 19:00</t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</si>
  <si>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M</t>
    </r>
    <r>
      <rPr>
        <sz val="10"/>
        <color rgb="FF000000"/>
        <rFont val="WenQuanYi Zen Hei"/>
        <family val="2"/>
      </rPr>
      <t xml:space="preserve">シート</t>
    </r>
    <r>
      <rPr>
        <sz val="10"/>
        <color rgb="FF000000"/>
        <rFont val="Arial"/>
        <family val="2"/>
        <charset val="1"/>
      </rPr>
      <t xml:space="preserve">: 10/26-30</t>
    </r>
    <r>
      <rPr>
        <sz val="10"/>
        <color rgb="FF000000"/>
        <rFont val="WenQuanYi Zen Hei"/>
        <family val="2"/>
      </rPr>
      <t xml:space="preserve">）→</t>
    </r>
    <r>
      <rPr>
        <sz val="10"/>
        <color rgb="FF000000"/>
        <rFont val="Arial"/>
        <family val="2"/>
        <charset val="1"/>
      </rPr>
      <t xml:space="preserve">10/25</t>
    </r>
    <r>
      <rPr>
        <sz val="10"/>
        <color rgb="FF000000"/>
        <rFont val="WenQuanYi Zen Hei"/>
        <family val="2"/>
      </rPr>
      <t xml:space="preserve">泊の追加手配 必要（</t>
    </r>
    <r>
      <rPr>
        <sz val="10"/>
        <color rgb="FF000000"/>
        <rFont val="Arial"/>
        <family val="2"/>
        <charset val="1"/>
      </rPr>
      <t xml:space="preserve">9/6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</si>
  <si>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2"/>
        <charset val="1"/>
      </rPr>
      <t xml:space="preserve">Bi-meeting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Welcome Reception(Program, MC)</t>
    </r>
    <r>
      <rPr>
        <sz val="10"/>
        <color rgb="FF000000"/>
        <rFont val="WenQuanYi Zen Hei"/>
        <family val="2"/>
      </rPr>
      <t xml:space="preserve">／レセプション手配／</t>
    </r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等機材サポート</t>
    </r>
  </si>
  <si>
    <t xml:space="preserve">現場統括。内閣府・COSEMとの調整に臨機応変に対応（ロジ専任にしない）。大使公邸レセプション（10/27）の設営・進行、10/29の事務局撤収（藤中と2名）、バイ会談調整（9/4）</t>
  </si>
  <si>
    <t xml:space="preserve">フライト確定（児玉 9/4）。10/25 23:40着のため25日泊が必要（荒木田 9/6, WhatsApp）。Hotel Miの10/25泊を追加手配。10/26夜エリック長官夕食会（調整中）。10/31 06:35発</t>
  </si>
  <si>
    <t xml:space="preserve">荒木田 勝</t>
  </si>
  <si>
    <t xml:space="preserve">ARAKIDA Masaru</t>
  </si>
  <si>
    <t xml:space="preserve">リサーチフェロー</t>
  </si>
  <si>
    <r>
      <rPr>
        <sz val="10"/>
        <color rgb="FF000000"/>
        <rFont val="Arial"/>
        <family val="2"/>
        <charset val="1"/>
      </rPr>
      <t xml:space="preserve">10/26 NH843 </t>
    </r>
    <r>
      <rPr>
        <sz val="10"/>
        <color rgb="FF000000"/>
        <rFont val="WenQuanYi Zen Hei"/>
        <family val="2"/>
      </rPr>
      <t xml:space="preserve">羽田</t>
    </r>
    <r>
      <rPr>
        <sz val="10"/>
        <color rgb="FF000000"/>
        <rFont val="Arial"/>
        <family val="2"/>
        <charset val="1"/>
      </rPr>
      <t xml:space="preserve">00:25→SIN06:55</t>
    </r>
  </si>
  <si>
    <r>
      <rPr>
        <sz val="10"/>
        <color rgb="FF000000"/>
        <rFont val="Arial"/>
        <family val="2"/>
        <charset val="1"/>
      </rPr>
      <t xml:space="preserve">10/30 NH844 SIN22:20→</t>
    </r>
    <r>
      <rPr>
        <sz val="10"/>
        <color rgb="FF000000"/>
        <rFont val="WenQuanYi Zen Hei"/>
        <family val="2"/>
      </rPr>
      <t xml:space="preserve">羽田</t>
    </r>
    <r>
      <rPr>
        <sz val="10"/>
        <color rgb="FF000000"/>
        <rFont val="Arial"/>
        <family val="2"/>
        <charset val="1"/>
      </rPr>
      <t xml:space="preserve">10/31 05:55</t>
    </r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</si>
  <si>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M</t>
    </r>
    <r>
      <rPr>
        <sz val="10"/>
        <color rgb="FF000000"/>
        <rFont val="WenQuanYi Zen Hei"/>
        <family val="2"/>
      </rPr>
      <t xml:space="preserve">シート</t>
    </r>
    <r>
      <rPr>
        <sz val="10"/>
        <color rgb="FF000000"/>
        <rFont val="Arial"/>
        <family val="2"/>
        <charset val="1"/>
      </rPr>
      <t xml:space="preserve">: 10/26-30</t>
    </r>
    <r>
      <rPr>
        <sz val="10"/>
        <color rgb="FF000000"/>
        <rFont val="WenQuanYi Zen Hei"/>
        <family val="2"/>
      </rPr>
      <t xml:space="preserve">）</t>
    </r>
  </si>
  <si>
    <t xml:space="preserve">総括(PL)／Opening &amp; Closing／SIDEX Conference／Field Trip／会場手配・機材／Zoom当日</t>
  </si>
  <si>
    <t xml:space="preserve">全体統括。Opening/Closing進行、会場・AV・Zoom/AI翻訳の当日運用、Field Trip引率、Google等リソース対応</t>
  </si>
  <si>
    <r>
      <rPr>
        <sz val="10"/>
        <color rgb="FF000000"/>
        <rFont val="Arial"/>
        <family val="2"/>
        <charset val="1"/>
      </rPr>
      <t xml:space="preserve">10/30 22:20</t>
    </r>
    <r>
      <rPr>
        <sz val="10"/>
        <color rgb="FF000000"/>
        <rFont val="WenQuanYi Zen Hei"/>
        <family val="2"/>
      </rPr>
      <t xml:space="preserve">発のため</t>
    </r>
    <r>
      <rPr>
        <sz val="10"/>
        <color rgb="FF000000"/>
        <rFont val="Arial"/>
        <family val="2"/>
        <charset val="1"/>
      </rPr>
      <t xml:space="preserve">Closing</t>
    </r>
    <r>
      <rPr>
        <sz val="10"/>
        <color rgb="FF000000"/>
        <rFont val="WenQuanYi Zen Hei"/>
        <family val="2"/>
      </rPr>
      <t xml:space="preserve">後〜</t>
    </r>
    <r>
      <rPr>
        <sz val="10"/>
        <color rgb="FF000000"/>
        <rFont val="Arial"/>
        <family val="2"/>
        <charset val="1"/>
      </rPr>
      <t xml:space="preserve">Day3</t>
    </r>
    <r>
      <rPr>
        <sz val="10"/>
        <color rgb="FF000000"/>
        <rFont val="WenQuanYi Zen Hei"/>
        <family val="2"/>
      </rPr>
      <t xml:space="preserve">午後まで在場。</t>
    </r>
  </si>
  <si>
    <t xml:space="preserve">吉田 真紀</t>
  </si>
  <si>
    <t xml:space="preserve">YOSHIDA Maki</t>
  </si>
  <si>
    <t xml:space="preserve">プロジェクト研究員（ジュネーブ）</t>
  </si>
  <si>
    <t xml:space="preserve">10/25 AY1534 GVA 19:05 → HEL 23:10   AY131 HEL 00:05 → SIN 10/26 18:40</t>
  </si>
  <si>
    <t xml:space="preserve">10/30 AY132 SIN 22:05 → HEL 10/31 05:45   AY1531 HEL 07:55 → GVA 10:00</t>
  </si>
  <si>
    <r>
      <rPr>
        <sz val="10"/>
        <color rgb="FF000000"/>
        <rFont val="Arial"/>
        <family val="2"/>
        <charset val="1"/>
      </rPr>
      <t xml:space="preserve">Roundtable(PIC)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Announcement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Web</t>
    </r>
    <r>
      <rPr>
        <sz val="10"/>
        <color rgb="FF000000"/>
        <rFont val="WenQuanYi Zen Hei"/>
        <family val="2"/>
      </rPr>
      <t xml:space="preserve">登録・コレポン／航空券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メンバー国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Welcome Reception</t>
    </r>
  </si>
  <si>
    <r>
      <rPr>
        <sz val="10"/>
        <color rgb="FF000000"/>
        <rFont val="Arial"/>
        <family val="2"/>
        <charset val="1"/>
      </rPr>
      <t xml:space="preserve">Roundtable</t>
    </r>
    <r>
      <rPr>
        <sz val="10"/>
        <color rgb="FF000000"/>
        <rFont val="WenQuanYi Zen Hei"/>
        <family val="2"/>
      </rPr>
      <t xml:space="preserve">セッション運営（ステートメント回収・共同モデレーター補佐）、レセプション進行補佐、</t>
    </r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引率、参加者対応</t>
    </r>
  </si>
  <si>
    <t xml:space="preserve">フライト変更（吉田 9/6）: フィンエアー経由に変更、10/26 18:40着・10/30 22:05発。到着が夕方になるため10/26日中のDorsett到着対応には入れない。Hotel Mi 10/26-30泊はそのまま</t>
  </si>
  <si>
    <t xml:space="preserve">藤中 純子</t>
  </si>
  <si>
    <t xml:space="preserve">FUJINAKA Junko</t>
  </si>
  <si>
    <t xml:space="preserve">管理部</t>
  </si>
  <si>
    <r>
      <rPr>
        <sz val="10"/>
        <color rgb="FF000000"/>
        <rFont val="Arial"/>
        <family val="2"/>
        <charset val="1"/>
      </rPr>
      <t xml:space="preserve">10/25 TR819 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11:30→SIN17:30</t>
    </r>
  </si>
  <si>
    <r>
      <rPr>
        <sz val="10"/>
        <color rgb="FF000000"/>
        <rFont val="Arial"/>
        <family val="2"/>
        <charset val="1"/>
      </rPr>
      <t xml:space="preserve">11/1 TR818 SIN03:05→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10:15</t>
    </r>
  </si>
  <si>
    <r>
      <rPr>
        <sz val="10"/>
        <color rgb="FF000000"/>
        <rFont val="Arial"/>
        <family val="2"/>
        <charset val="1"/>
      </rPr>
      <t xml:space="preserve">Hotel Mi Bencoolen 10/25-31 (7</t>
    </r>
    <r>
      <rPr>
        <sz val="10"/>
        <color rgb="FF000000"/>
        <rFont val="WenQuanYi Zen Hei"/>
        <family val="2"/>
      </rPr>
      <t xml:space="preserve">泊</t>
    </r>
    <r>
      <rPr>
        <sz val="10"/>
        <color rgb="FF000000"/>
        <rFont val="Arial"/>
        <family val="2"/>
        <charset val="1"/>
      </rPr>
      <t xml:space="preserve">)</t>
    </r>
  </si>
  <si>
    <t xml:space="preserve">レセプション手配／予算管理／契約・支払／宿泊・送迎の確認／SC議案・会計報告</t>
  </si>
  <si>
    <t xml:space="preserve">受付デスク（会場・レセプション）、ホテル・バス・支払の現地対応、SC事務、日当支払</t>
  </si>
  <si>
    <t xml:space="preserve">先発隊。10/25着で前日準備</t>
  </si>
  <si>
    <t xml:space="preserve">田中 智美</t>
  </si>
  <si>
    <t xml:space="preserve">TANAKA Tomomi</t>
  </si>
  <si>
    <t xml:space="preserve">事務局(ACDR2026 Secretariat)</t>
  </si>
  <si>
    <r>
      <rPr>
        <sz val="10"/>
        <color rgb="FF000000"/>
        <rFont val="Arial"/>
        <family val="2"/>
        <charset val="1"/>
      </rPr>
      <t xml:space="preserve">Announcement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Web</t>
    </r>
    <r>
      <rPr>
        <sz val="10"/>
        <color rgb="FF000000"/>
        <rFont val="WenQuanYi Zen Hei"/>
        <family val="2"/>
      </rPr>
      <t xml:space="preserve">登録確認・コレポン／航空券／</t>
    </r>
    <r>
      <rPr>
        <sz val="10"/>
        <color rgb="FF000000"/>
        <rFont val="Arial"/>
        <family val="2"/>
        <charset val="1"/>
      </rPr>
      <t xml:space="preserve">VISA</t>
    </r>
    <r>
      <rPr>
        <sz val="10"/>
        <color rgb="FF000000"/>
        <rFont val="WenQuanYi Zen Hei"/>
        <family val="2"/>
      </rPr>
      <t xml:space="preserve">／宿泊・送迎</t>
    </r>
    <r>
      <rPr>
        <sz val="10"/>
        <color rgb="FF000000"/>
        <rFont val="Arial"/>
        <family val="2"/>
        <charset val="1"/>
      </rPr>
      <t xml:space="preserve">(COSEM</t>
    </r>
    <r>
      <rPr>
        <sz val="10"/>
        <color rgb="FF000000"/>
        <rFont val="WenQuanYi Zen Hei"/>
        <family val="2"/>
      </rPr>
      <t xml:space="preserve">調整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／お礼状／日当</t>
    </r>
  </si>
  <si>
    <t xml:space="preserve">受付デスク（会場・レセプション）、参加者リスト・名札(QR)管理、ホテル・送迎の現地コレポン、リソース対応</t>
  </si>
  <si>
    <t xml:space="preserve">先発隊。</t>
  </si>
  <si>
    <t xml:space="preserve">池田　誠</t>
  </si>
  <si>
    <t xml:space="preserve">IKEDA Makoto</t>
  </si>
  <si>
    <t xml:space="preserve">主任研究員</t>
  </si>
  <si>
    <t xml:space="preserve">確定（便名要確認）</t>
  </si>
  <si>
    <r>
      <rPr>
        <sz val="10"/>
        <color rgb="FF000000"/>
        <rFont val="Arial"/>
        <family val="2"/>
        <charset val="1"/>
      </rPr>
      <t xml:space="preserve">10/26 SQ619  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10:05→SIN16:00</t>
    </r>
  </si>
  <si>
    <r>
      <rPr>
        <sz val="10"/>
        <color rgb="FF000000"/>
        <rFont val="Arial"/>
        <family val="2"/>
        <charset val="1"/>
      </rPr>
      <t xml:space="preserve">10/31 SQ622 SIN01:30→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08:35</t>
    </r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</si>
  <si>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（候補欄・未割当）</t>
    </r>
  </si>
  <si>
    <r>
      <rPr>
        <sz val="10"/>
        <color rgb="FF000000"/>
        <rFont val="Arial"/>
        <family val="2"/>
        <charset val="1"/>
      </rPr>
      <t xml:space="preserve">Technical Session(PIC)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SIDEX Exhibition</t>
    </r>
    <r>
      <rPr>
        <sz val="10"/>
        <color rgb="FF000000"/>
        <rFont val="WenQuanYi Zen Hei"/>
        <family val="2"/>
      </rPr>
      <t xml:space="preserve">調整／会場手配・機材／</t>
    </r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等機材</t>
    </r>
  </si>
  <si>
    <r>
      <rPr>
        <sz val="10"/>
        <color rgb="FF000000"/>
        <rFont val="Arial"/>
        <family val="2"/>
        <charset val="1"/>
      </rPr>
      <t xml:space="preserve">Technical Session</t>
    </r>
    <r>
      <rPr>
        <sz val="10"/>
        <color rgb="FF000000"/>
        <rFont val="WenQuanYi Zen Hei"/>
        <family val="2"/>
      </rPr>
      <t xml:space="preserve">運営（登壇者対応・進行）、</t>
    </r>
    <r>
      <rPr>
        <sz val="10"/>
        <color rgb="FF000000"/>
        <rFont val="Arial"/>
        <family val="2"/>
        <charset val="1"/>
      </rPr>
      <t xml:space="preserve">AV/PC</t>
    </r>
    <r>
      <rPr>
        <sz val="10"/>
        <color rgb="FF000000"/>
        <rFont val="WenQuanYi Zen Hei"/>
        <family val="2"/>
      </rPr>
      <t xml:space="preserve">操作（</t>
    </r>
    <r>
      <rPr>
        <sz val="10"/>
        <color rgb="FF000000"/>
        <rFont val="Arial"/>
        <family val="2"/>
        <charset val="1"/>
      </rPr>
      <t xml:space="preserve">Day1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2"/>
        <charset val="1"/>
      </rPr>
      <t xml:space="preserve">SIDEX</t>
    </r>
    <r>
      <rPr>
        <sz val="10"/>
        <color rgb="FF000000"/>
        <rFont val="WenQuanYi Zen Hei"/>
        <family val="2"/>
      </rPr>
      <t xml:space="preserve">展示・</t>
    </r>
    <r>
      <rPr>
        <sz val="10"/>
        <color rgb="FF000000"/>
        <rFont val="Arial"/>
        <family val="2"/>
        <charset val="1"/>
      </rPr>
      <t xml:space="preserve">Japan Pavilion</t>
    </r>
    <r>
      <rPr>
        <sz val="10"/>
        <color rgb="FF000000"/>
        <rFont val="WenQuanYi Zen Hei"/>
        <family val="2"/>
      </rPr>
      <t xml:space="preserve">連携</t>
    </r>
  </si>
  <si>
    <t xml:space="preserve">便名確定（児玉 9/4）。復路の表記要確認: K Line見積(7/30)ではSQ622=14:25発→21:25着、01:30発→08:35着はSQ618。来週ネパール出張のためTS準備のフォローは荒木田（9/4）</t>
  </si>
  <si>
    <t xml:space="preserve">ジェラルド・エヘム・ポトゥタン</t>
  </si>
  <si>
    <t xml:space="preserve">Gerald Ejem Potutan</t>
  </si>
  <si>
    <t xml:space="preserve">研究部次長</t>
  </si>
  <si>
    <t xml:space="preserve">副総括／Concept Note／Roundtable／Draft Summary／広報／SCサマリーメモ</t>
  </si>
  <si>
    <r>
      <rPr>
        <sz val="10"/>
        <color rgb="FF000000"/>
        <rFont val="Arial"/>
        <family val="2"/>
        <charset val="1"/>
      </rPr>
      <t xml:space="preserve">Roundtable</t>
    </r>
    <r>
      <rPr>
        <sz val="10"/>
        <color rgb="FF000000"/>
        <rFont val="WenQuanYi Zen Hei"/>
        <family val="2"/>
      </rPr>
      <t xml:space="preserve">共同運営、</t>
    </r>
    <r>
      <rPr>
        <sz val="10"/>
        <color rgb="FF000000"/>
        <rFont val="Arial"/>
        <family val="2"/>
        <charset val="1"/>
      </rPr>
      <t xml:space="preserve">Draft Summary</t>
    </r>
    <r>
      <rPr>
        <sz val="10"/>
        <color rgb="FF000000"/>
        <rFont val="WenQuanYi Zen Hei"/>
        <family val="2"/>
      </rPr>
      <t xml:space="preserve">執筆（</t>
    </r>
    <r>
      <rPr>
        <sz val="10"/>
        <color rgb="FF000000"/>
        <rFont val="Arial"/>
        <family val="2"/>
        <charset val="1"/>
      </rPr>
      <t xml:space="preserve">Day1</t>
    </r>
    <r>
      <rPr>
        <sz val="10"/>
        <color rgb="FF000000"/>
        <rFont val="WenQuanYi Zen Hei"/>
        <family val="2"/>
      </rPr>
      <t xml:space="preserve">夜〜</t>
    </r>
    <r>
      <rPr>
        <sz val="10"/>
        <color rgb="FF000000"/>
        <rFont val="Arial"/>
        <family val="2"/>
        <charset val="1"/>
      </rPr>
      <t xml:space="preserve">Day2</t>
    </r>
    <r>
      <rPr>
        <sz val="10"/>
        <color rgb="FF000000"/>
        <rFont val="WenQuanYi Zen Hei"/>
        <family val="2"/>
      </rPr>
      <t xml:space="preserve">朝）、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メモ、必要に応じ</t>
    </r>
    <r>
      <rPr>
        <sz val="10"/>
        <color rgb="FF000000"/>
        <rFont val="Arial"/>
        <family val="2"/>
        <charset val="1"/>
      </rPr>
      <t xml:space="preserve">Technical Session</t>
    </r>
    <r>
      <rPr>
        <sz val="10"/>
        <color rgb="FF000000"/>
        <rFont val="WenQuanYi Zen Hei"/>
        <family val="2"/>
      </rPr>
      <t xml:space="preserve">共同議長候補</t>
    </r>
  </si>
  <si>
    <t xml:space="preserve">便名確定（児玉 9/4）。復路の表記要確認: K Line見積(7/30)ではSQ622=14:25発→21:25着、01:30発→08:35着はSQ618</t>
  </si>
  <si>
    <t xml:space="preserve">ミザン　ビスリ</t>
  </si>
  <si>
    <t xml:space="preserve">Mizan Bisri</t>
  </si>
  <si>
    <t xml:space="preserve">研究員</t>
  </si>
  <si>
    <t xml:space="preserve">見込（手配未確認）</t>
  </si>
  <si>
    <t xml:space="preserve">未確認</t>
  </si>
  <si>
    <r>
      <rPr>
        <sz val="10"/>
        <color rgb="FF000000"/>
        <rFont val="Arial"/>
        <family val="2"/>
        <charset val="1"/>
      </rPr>
      <t xml:space="preserve">Technical Session(PIC)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SIDEX Exhibition</t>
    </r>
    <r>
      <rPr>
        <sz val="10"/>
        <color rgb="FF000000"/>
        <rFont val="WenQuanYi Zen Hei"/>
        <family val="2"/>
      </rPr>
      <t xml:space="preserve">調整／</t>
    </r>
    <r>
      <rPr>
        <sz val="10"/>
        <color rgb="FF000000"/>
        <rFont val="Arial"/>
        <family val="2"/>
        <charset val="1"/>
      </rPr>
      <t xml:space="preserve">Draft Summary</t>
    </r>
  </si>
  <si>
    <r>
      <rPr>
        <sz val="10"/>
        <color rgb="FF000000"/>
        <rFont val="Arial"/>
        <family val="2"/>
        <charset val="1"/>
      </rPr>
      <t xml:space="preserve">Technical Session ADRC</t>
    </r>
    <r>
      <rPr>
        <sz val="10"/>
        <color rgb="FF000000"/>
        <rFont val="WenQuanYi Zen Hei"/>
        <family val="2"/>
      </rPr>
      <t xml:space="preserve">側</t>
    </r>
    <r>
      <rPr>
        <sz val="10"/>
        <color rgb="FF000000"/>
        <rFont val="Arial"/>
        <family val="2"/>
        <charset val="1"/>
      </rPr>
      <t xml:space="preserve">Co-Chair</t>
    </r>
    <r>
      <rPr>
        <sz val="10"/>
        <color rgb="FF000000"/>
        <rFont val="WenQuanYi Zen Hei"/>
        <family val="2"/>
      </rPr>
      <t xml:space="preserve">（有力案）。登壇者（</t>
    </r>
    <r>
      <rPr>
        <sz val="10"/>
        <color rgb="FF000000"/>
        <rFont val="Arial"/>
        <family val="2"/>
        <charset val="1"/>
      </rPr>
      <t xml:space="preserve">JAXA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EOS-NTU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DOST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BRIN/</t>
    </r>
    <r>
      <rPr>
        <sz val="10"/>
        <color rgb="FF000000"/>
        <rFont val="WenQuanYi Zen Hei"/>
        <family val="2"/>
      </rPr>
      <t xml:space="preserve">ネパール代替・ウズベキスタン）との調整・当日進行</t>
    </r>
  </si>
  <si>
    <t xml:space="preserve">。出張が多く（8/23-29フィジー等）日程確保を至急確認　前後は厳しいが期間中は可能。 フライト未取得（9/4）</t>
  </si>
  <si>
    <t xml:space="preserve">藤本 絢子</t>
  </si>
  <si>
    <t xml:space="preserve">FUJIMOTO Ayako</t>
  </si>
  <si>
    <t xml:space="preserve">主任</t>
  </si>
  <si>
    <t xml:space="preserve">確定（本人承諾 9/4、手配未）</t>
  </si>
  <si>
    <t xml:space="preserve">未手配（要手配）</t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</si>
  <si>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（候補欄）→要手配</t>
    </r>
  </si>
  <si>
    <t xml:space="preserve">アジェンダ(補)／広報・Flyer／Zoom webinar設定／Webサイト／各種リスト出力(リソース・研究部)／会議参加証明</t>
  </si>
  <si>
    <t xml:space="preserve">撮影（写真・動画）を主担当（児玉 9/4）。加えて公邸レセプションの設営補助、Zoom/AI翻訳の現地一次対応、参加者誘導</t>
  </si>
  <si>
    <t xml:space="preserve">本人承諾済み（9/4、荒木田）。フライト・Hotel Miを至急手配。10月はVR準備あり</t>
  </si>
  <si>
    <t xml:space="preserve">塩見 有美</t>
  </si>
  <si>
    <t xml:space="preserve">SHIOMI Yumi</t>
  </si>
  <si>
    <t xml:space="preserve">（デマケ上の現地担当なし）</t>
  </si>
  <si>
    <t xml:space="preserve">セッション記録・サマリー補助（2023年はS1サマリー担当）、中央アジア/ウズベキスタン対応、参加者誘導</t>
  </si>
  <si>
    <t xml:space="preserve">本人承諾済み（9/4、荒木田）。フライト・Hotel Miを至急手配。28日朝の事務局・受付デスク設営、記録・サマリー補助、参加者誘導</t>
  </si>
  <si>
    <t xml:space="preserve">森口　芳隆</t>
  </si>
  <si>
    <t xml:space="preserve">MORIGUCHI Yoshitaka</t>
  </si>
  <si>
    <t xml:space="preserve">（広報）</t>
  </si>
  <si>
    <t xml:space="preserve">見込（例年SC担当で現地参加）</t>
  </si>
  <si>
    <t xml:space="preserve">未手配（Dorsett周辺ホテル可）</t>
  </si>
  <si>
    <t xml:space="preserve">SC議案・進行案／会計報告／SCサマリー（管理部）、広報（記者クラブ）</t>
  </si>
  <si>
    <t xml:space="preserve">SC担当として現地参加（管理部長は例年SC担当、9/4 宮木・藤中確認）。SC議案・進行・会計報告、内閣府（議長）との調整補佐。広報（内閣府・県庁記者クラブへのプレスリリース、神戸新聞記者への案内）</t>
  </si>
  <si>
    <t xml:space="preserve">9/4打合せで現地参加見込に変更。フライト・宿泊は未手配 → 至急手配。SC資料（シナリオ・議案）は藤中・徳永と作成中、今月中に目処</t>
  </si>
  <si>
    <t xml:space="preserve">中村</t>
  </si>
  <si>
    <t xml:space="preserve">NAKAMURA</t>
  </si>
  <si>
    <t xml:space="preserve">（研究部）</t>
  </si>
  <si>
    <t xml:space="preserve">国内サポート（確定）</t>
  </si>
  <si>
    <t xml:space="preserve">―</t>
  </si>
  <si>
    <t xml:space="preserve">―（神戸）</t>
  </si>
  <si>
    <t xml:space="preserve">（デマケ8/6版に記載なし→追記要）</t>
  </si>
  <si>
    <t xml:space="preserve">【日本側】Zoom Webinar/Meetingの設定・ホスト、AI通訳ツールの設定と会期中の監視、オンラインQ&amp;A・コメント欄の確認。会期前にリハーサル（2025年と同じ体制。ACDR2025動態表: Setup Webinar・Webinar Rehearsal・Check Q&amp;A）</t>
  </si>
  <si>
    <t xml:space="preserve">荒木田 9/4指示。時差: 神戸はシンガポールより1時間進む（SGT 09:30 = JST 10:30）</t>
  </si>
  <si>
    <t xml:space="preserve">山口</t>
  </si>
  <si>
    <t xml:space="preserve">YAMAGUCHI</t>
  </si>
  <si>
    <t xml:space="preserve">【日本側】ACDRセッションの録画（Webinar/Zoomクラウド録画＋ローカル保存）、オンライン参加者の質疑対応（Q&amp;A取次・チャット回答）、録画データの整理・保存</t>
  </si>
  <si>
    <t xml:space="preserve">荒木田 9/4指示。2025年は現地でPhoto・CAM担当だったが2026年は日本側。オンライン質疑は中村（Q&amp;A確認）と分担</t>
  </si>
  <si>
    <t xml:space="preserve">伊達 孝</t>
  </si>
  <si>
    <t xml:space="preserve">DATE Takashi</t>
  </si>
  <si>
    <t xml:space="preserve">国内サポート</t>
  </si>
  <si>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等機材サポート／</t>
    </r>
    <r>
      <rPr>
        <sz val="10"/>
        <color rgb="FF000000"/>
        <rFont val="Arial"/>
        <family val="2"/>
        <charset val="1"/>
      </rPr>
      <t xml:space="preserve">Web</t>
    </r>
    <r>
      <rPr>
        <sz val="10"/>
        <color rgb="FF000000"/>
        <rFont val="WenQuanYi Zen Hei"/>
        <family val="2"/>
      </rPr>
      <t xml:space="preserve">サイトサポート</t>
    </r>
  </si>
  <si>
    <t xml:space="preserve">神戸からのリモート支援（Web更新、Highlights発行）</t>
  </si>
  <si>
    <r>
      <rPr>
        <sz val="10"/>
        <color rgb="FF000000"/>
        <rFont val="Arial"/>
        <family val="2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年は</t>
    </r>
    <r>
      <rPr>
        <sz val="10"/>
        <color rgb="FF000000"/>
        <rFont val="Arial"/>
        <family val="2"/>
        <charset val="1"/>
      </rPr>
      <t xml:space="preserve">Webinar</t>
    </r>
    <r>
      <rPr>
        <sz val="10"/>
        <color rgb="FF000000"/>
        <rFont val="WenQuanYi Zen Hei"/>
        <family val="2"/>
      </rPr>
      <t xml:space="preserve">設定・ホスト</t>
    </r>
    <r>
      <rPr>
        <sz val="10"/>
        <color rgb="FF000000"/>
        <rFont val="Arial"/>
        <family val="2"/>
        <charset val="1"/>
      </rPr>
      <t xml:space="preserve">/</t>
    </r>
    <r>
      <rPr>
        <sz val="10"/>
        <color rgb="FF000000"/>
        <rFont val="WenQuanYi Zen Hei"/>
        <family val="2"/>
      </rPr>
      <t xml:space="preserve">録画確認を担当。中村のバックアップ候補（要確認）</t>
    </r>
  </si>
  <si>
    <t xml:space="preserve">寺坂　佳津子</t>
  </si>
  <si>
    <t xml:space="preserve">TERASAKA Kazuko</t>
  </si>
  <si>
    <t xml:space="preserve">アシスタント</t>
  </si>
  <si>
    <t xml:space="preserve">国内（オンライン登録）</t>
  </si>
  <si>
    <t xml:space="preserve">参加者情報・フライト・宿泊・送迎のWeb登録・リスト出力(メンバー国)／VISA</t>
  </si>
  <si>
    <t xml:space="preserve">神戸でマスターリスト管理・リスト出力</t>
  </si>
  <si>
    <t xml:space="preserve">2025年は録画（日英2台）・ローカル保存を担当。山口のバックアップ候補（要確認）</t>
  </si>
  <si>
    <t xml:space="preserve">田原 麻衣</t>
  </si>
  <si>
    <t xml:space="preserve">TAHARA Mai</t>
  </si>
  <si>
    <t xml:space="preserve">管理部（役員対応）</t>
  </si>
  <si>
    <t xml:space="preserve">神戸で管理部業務</t>
  </si>
  <si>
    <t xml:space="preserve">立部　知保里</t>
  </si>
  <si>
    <t xml:space="preserve">TATEBE Chihori</t>
  </si>
  <si>
    <t xml:space="preserve">神戸</t>
  </si>
  <si>
    <t xml:space="preserve">トルコ研修調整で多忙（児玉 5/18）</t>
  </si>
  <si>
    <t xml:space="preserve">集計（自動計算）</t>
  </si>
  <si>
    <t xml:space="preserve">現地参加 確定（フライト要確認含む）</t>
  </si>
  <si>
    <t xml:space="preserve">見込・候補（手配未了）</t>
  </si>
  <si>
    <t xml:space="preserve">未定</t>
  </si>
  <si>
    <t xml:space="preserve">うち役員（三浦・北本・宮木）＝運営要員から除く</t>
  </si>
  <si>
    <t xml:space="preserve">実働運営要員（確定＋見込(Mizan)−役員）</t>
  </si>
  <si>
    <r>
      <rPr>
        <i val="true"/>
        <sz val="9"/>
        <color rgb="FF555555"/>
        <rFont val="Arial"/>
        <family val="2"/>
        <charset val="1"/>
      </rPr>
      <t xml:space="preserve">← ACDR2023</t>
    </r>
    <r>
      <rPr>
        <i val="true"/>
        <sz val="9"/>
        <color rgb="FF555555"/>
        <rFont val="WenQuanYi Zen Hei"/>
        <family val="2"/>
      </rPr>
      <t xml:space="preserve">（ドゥシャンベ）の現地運営要員は役員（小川・笹原）を除き</t>
    </r>
    <r>
      <rPr>
        <i val="true"/>
        <sz val="9"/>
        <color rgb="FF555555"/>
        <rFont val="Arial"/>
        <family val="2"/>
        <charset val="1"/>
      </rPr>
      <t xml:space="preserve">8</t>
    </r>
    <r>
      <rPr>
        <i val="true"/>
        <sz val="9"/>
        <color rgb="FF555555"/>
        <rFont val="WenQuanYi Zen Hei"/>
        <family val="2"/>
      </rPr>
      <t xml:space="preserve">名（堀池・藤中・田中・荒木田・児玉・塩見・</t>
    </r>
    <r>
      <rPr>
        <i val="true"/>
        <sz val="9"/>
        <color rgb="FF555555"/>
        <rFont val="Arial"/>
        <family val="2"/>
        <charset val="1"/>
      </rPr>
      <t xml:space="preserve">Potutan</t>
    </r>
    <r>
      <rPr>
        <i val="true"/>
        <sz val="9"/>
        <color rgb="FF555555"/>
        <rFont val="WenQuanYi Zen Hei"/>
        <family val="2"/>
      </rPr>
      <t xml:space="preserve">・吉田）。今回は同数だが、公邸レセプション・</t>
    </r>
    <r>
      <rPr>
        <i val="true"/>
        <sz val="9"/>
        <color rgb="FF555555"/>
        <rFont val="Arial"/>
        <family val="2"/>
        <charset val="1"/>
      </rPr>
      <t xml:space="preserve">Gala</t>
    </r>
    <r>
      <rPr>
        <i val="true"/>
        <sz val="9"/>
        <color rgb="FF555555"/>
        <rFont val="WenQuanYi Zen Hei"/>
        <family val="2"/>
      </rPr>
      <t xml:space="preserve">・</t>
    </r>
    <r>
      <rPr>
        <i val="true"/>
        <sz val="9"/>
        <color rgb="FF555555"/>
        <rFont val="Arial"/>
        <family val="2"/>
        <charset val="1"/>
      </rPr>
      <t xml:space="preserve">Parade</t>
    </r>
    <r>
      <rPr>
        <i val="true"/>
        <sz val="9"/>
        <color rgb="FF555555"/>
        <rFont val="WenQuanYi Zen Hei"/>
        <family val="2"/>
      </rPr>
      <t xml:space="preserve">・</t>
    </r>
    <r>
      <rPr>
        <i val="true"/>
        <sz val="9"/>
        <color rgb="FF555555"/>
        <rFont val="Arial"/>
        <family val="2"/>
        <charset val="1"/>
      </rPr>
      <t xml:space="preserve">SIDEX</t>
    </r>
    <r>
      <rPr>
        <i val="true"/>
        <sz val="9"/>
        <color rgb="FF555555"/>
        <rFont val="WenQuanYi Zen Hei"/>
        <family val="2"/>
      </rPr>
      <t xml:space="preserve">連携が加わる</t>
    </r>
  </si>
  <si>
    <t xml:space="preserve">（参考）藤本・塩見を除く場合</t>
  </si>
  <si>
    <t xml:space="preserve">← 両名は9/4に本人承諾済みのため、E31（実働運営要員）に含めている</t>
  </si>
  <si>
    <t xml:space="preserve">日本側サポート（中村・山口 確定、寺坂・伊達 仮置き）</t>
  </si>
  <si>
    <t xml:space="preserve">凡例</t>
  </si>
  <si>
    <t xml:space="preserve">確定（航空券発券済み／確定情報あり）</t>
  </si>
  <si>
    <t xml:space="preserve">見込・候補（本人可または担当割当済みだが手配未了）</t>
  </si>
  <si>
    <t xml:space="preserve">未定（打診中・根拠不足）</t>
  </si>
  <si>
    <t xml:space="preserve">国内・オンライン参加</t>
  </si>
  <si>
    <r>
      <rPr>
        <b val="true"/>
        <sz val="12"/>
        <color rgb="FF1F4E78"/>
        <rFont val="Arial"/>
        <family val="2"/>
        <charset val="1"/>
      </rPr>
      <t xml:space="preserve">ACDR2026 </t>
    </r>
    <r>
      <rPr>
        <b val="true"/>
        <sz val="12"/>
        <color rgb="FF1F4E78"/>
        <rFont val="WenQuanYi Zen Hei"/>
        <family val="2"/>
      </rPr>
      <t xml:space="preserve">動態表（日別 </t>
    </r>
    <r>
      <rPr>
        <b val="true"/>
        <sz val="12"/>
        <color rgb="FF1F4E78"/>
        <rFont val="Arial"/>
        <family val="2"/>
        <charset val="1"/>
      </rPr>
      <t xml:space="preserve">AM/PM</t>
    </r>
    <r>
      <rPr>
        <b val="true"/>
        <sz val="12"/>
        <color rgb="FF1F4E78"/>
        <rFont val="WenQuanYi Zen Hei"/>
        <family val="2"/>
      </rPr>
      <t xml:space="preserve">）　</t>
    </r>
    <r>
      <rPr>
        <b val="true"/>
        <sz val="12"/>
        <color rgb="FF1F4E78"/>
        <rFont val="Arial"/>
        <family val="2"/>
        <charset val="1"/>
      </rPr>
      <t xml:space="preserve">as of 4 Sep 2026 v2_1</t>
    </r>
  </si>
  <si>
    <r>
      <rPr>
        <sz val="11"/>
        <color theme="1"/>
        <rFont val="ＭＳ Ｐゴシック"/>
        <family val="2"/>
        <charset val="128"/>
      </rPr>
      <t xml:space="preserve">10/26</t>
    </r>
    <r>
      <rPr>
        <sz val="11"/>
        <color theme="1"/>
        <rFont val="WenQuanYi Zen Hei"/>
        <family val="2"/>
      </rPr>
      <t xml:space="preserve">夜</t>
    </r>
    <r>
      <rPr>
        <sz val="11"/>
        <color theme="1"/>
        <rFont val="ＭＳ Ｐゴシック"/>
        <family val="2"/>
        <charset val="128"/>
      </rPr>
      <t xml:space="preserve">: </t>
    </r>
    <r>
      <rPr>
        <sz val="11"/>
        <color theme="1"/>
        <rFont val="WenQuanYi Zen Hei"/>
        <family val="2"/>
      </rPr>
      <t xml:space="preserve">エリック長官夕食会（宮木・北本・三浦・児玉、調整中）</t>
    </r>
  </si>
  <si>
    <t xml:space="preserve">Staff</t>
  </si>
  <si>
    <r>
      <rPr>
        <b val="true"/>
        <sz val="10"/>
        <color rgb="FF000000"/>
        <rFont val="Arial"/>
        <family val="2"/>
        <charset val="1"/>
      </rPr>
      <t xml:space="preserve">10/24(</t>
    </r>
    <r>
      <rPr>
        <b val="true"/>
        <sz val="10"/>
        <color rgb="FF000000"/>
        <rFont val="WenQuanYi Zen Hei"/>
        <family val="2"/>
      </rPr>
      <t xml:space="preserve">土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</si>
  <si>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10/25(</t>
    </r>
    <r>
      <rPr>
        <b val="true"/>
        <sz val="10"/>
        <color rgb="FF000000"/>
        <rFont val="WenQuanYi Zen Hei"/>
        <family val="2"/>
      </rPr>
      <t xml:space="preserve">日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</si>
  <si>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10/26(</t>
    </r>
    <r>
      <rPr>
        <b val="true"/>
        <sz val="10"/>
        <color rgb="FF000000"/>
        <rFont val="WenQuanYi Zen Hei"/>
        <family val="2"/>
      </rPr>
      <t xml:space="preserve">月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</si>
  <si>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10/27(</t>
    </r>
    <r>
      <rPr>
        <b val="true"/>
        <sz val="10"/>
        <color rgb="FF000000"/>
        <rFont val="WenQuanYi Zen Hei"/>
        <family val="2"/>
      </rPr>
      <t xml:space="preserve">火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</si>
  <si>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10/28(</t>
    </r>
    <r>
      <rPr>
        <b val="true"/>
        <sz val="10"/>
        <color rgb="FF000000"/>
        <rFont val="WenQuanYi Zen Hei"/>
        <family val="2"/>
      </rPr>
      <t xml:space="preserve">水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</si>
  <si>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10/29(</t>
    </r>
    <r>
      <rPr>
        <b val="true"/>
        <sz val="10"/>
        <color rgb="FF000000"/>
        <rFont val="WenQuanYi Zen Hei"/>
        <family val="2"/>
      </rPr>
      <t xml:space="preserve">木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</si>
  <si>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10/30(</t>
    </r>
    <r>
      <rPr>
        <b val="true"/>
        <sz val="10"/>
        <color rgb="FF000000"/>
        <rFont val="WenQuanYi Zen Hei"/>
        <family val="2"/>
      </rPr>
      <t xml:space="preserve">金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</si>
  <si>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10/31(</t>
    </r>
    <r>
      <rPr>
        <b val="true"/>
        <sz val="10"/>
        <color rgb="FF000000"/>
        <rFont val="WenQuanYi Zen Hei"/>
        <family val="2"/>
      </rPr>
      <t xml:space="preserve">土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</si>
  <si>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11/1(</t>
    </r>
    <r>
      <rPr>
        <b val="true"/>
        <sz val="10"/>
        <color rgb="FF000000"/>
        <rFont val="WenQuanYi Zen Hei"/>
        <family val="2"/>
      </rPr>
      <t xml:space="preserve">日</t>
    </r>
    <r>
      <rPr>
        <b val="true"/>
        <sz val="10"/>
        <color rgb="FF000000"/>
        <rFont val="Arial"/>
        <family val="2"/>
        <charset val="1"/>
      </rPr>
      <t xml:space="preserve">)</t>
    </r>
  </si>
  <si>
    <t xml:space="preserve">AM</t>
  </si>
  <si>
    <t xml:space="preserve">PM</t>
  </si>
  <si>
    <t xml:space="preserve">PROGRAM</t>
  </si>
  <si>
    <t xml:space="preserve">参加者到着(Dorsett)</t>
  </si>
  <si>
    <t xml:space="preserve">参加者到着(〜深夜)／Day-1準備</t>
  </si>
  <si>
    <t xml:space="preserve">参加者到着／会場・名札準備</t>
  </si>
  <si>
    <r>
      <rPr>
        <sz val="8"/>
        <color rgb="FF000000"/>
        <rFont val="Arial"/>
        <family val="2"/>
        <charset val="1"/>
      </rPr>
      <t xml:space="preserve">16:00</t>
    </r>
    <r>
      <rPr>
        <sz val="8"/>
        <color rgb="FF000000"/>
        <rFont val="WenQuanYi Zen Hei"/>
        <family val="2"/>
      </rPr>
      <t xml:space="preserve">設営→</t>
    </r>
    <r>
      <rPr>
        <sz val="8"/>
        <color rgb="FF000000"/>
        <rFont val="Arial"/>
        <family val="2"/>
        <charset val="1"/>
      </rPr>
      <t xml:space="preserve">19:00-21:00 </t>
    </r>
    <r>
      <rPr>
        <sz val="8"/>
        <color rgb="FF000000"/>
        <rFont val="WenQuanYi Zen Hei"/>
        <family val="2"/>
      </rPr>
      <t xml:space="preserve">大使公邸レセプション</t>
    </r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</si>
  <si>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会場テスト／</t>
    </r>
    <r>
      <rPr>
        <sz val="8"/>
        <color rgb="FF000000"/>
        <rFont val="Arial"/>
        <family val="2"/>
        <charset val="1"/>
      </rPr>
      <t xml:space="preserve">10:00 Joint Opening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VIP Tour</t>
    </r>
  </si>
  <si>
    <r>
      <rPr>
        <sz val="8"/>
        <color rgb="FF000000"/>
        <rFont val="Arial"/>
        <family val="2"/>
        <charset val="1"/>
      </rPr>
      <t xml:space="preserve">12:45 ACDR Opening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13:00 Roundtable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15:45 SC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18:30 Gala</t>
    </r>
  </si>
  <si>
    <r>
      <rPr>
        <sz val="8"/>
        <color rgb="FF000000"/>
        <rFont val="Arial"/>
        <family val="2"/>
        <charset val="1"/>
      </rPr>
      <t xml:space="preserve">09:30 Technical Session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11:45 Closing</t>
    </r>
  </si>
  <si>
    <r>
      <rPr>
        <sz val="8"/>
        <color rgb="FF000000"/>
        <rFont val="Arial"/>
        <family val="2"/>
        <charset val="1"/>
      </rPr>
      <t xml:space="preserve">13:00</t>
    </r>
    <r>
      <rPr>
        <sz val="8"/>
        <color rgb="FF000000"/>
        <rFont val="WenQuanYi Zen Hei"/>
        <family val="2"/>
      </rPr>
      <t xml:space="preserve">〜 </t>
    </r>
    <r>
      <rPr>
        <sz val="8"/>
        <color rgb="FF000000"/>
        <rFont val="Arial"/>
        <family val="2"/>
        <charset val="1"/>
      </rPr>
      <t xml:space="preserve">Field Trip(CDA)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18:30 SCDF Parade &amp; Dinner</t>
    </r>
  </si>
  <si>
    <t xml:space="preserve">09:00 SIDEX Keynote/Panel1</t>
  </si>
  <si>
    <r>
      <rPr>
        <sz val="8"/>
        <color rgb="FF000000"/>
        <rFont val="Arial"/>
        <family val="2"/>
        <charset val="1"/>
      </rPr>
      <t xml:space="preserve">13:50 Exhibition Tour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15:00 Panel2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16:30</t>
    </r>
    <r>
      <rPr>
        <sz val="8"/>
        <color rgb="FF000000"/>
        <rFont val="WenQuanYi Zen Hei"/>
        <family val="2"/>
      </rPr>
      <t xml:space="preserve">閉会／夜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出発</t>
    </r>
  </si>
  <si>
    <t xml:space="preserve">参加者出発(見送り)</t>
  </si>
  <si>
    <t xml:space="preserve">参加者出発</t>
  </si>
  <si>
    <t xml:space="preserve">FUK-SIN(SQ655)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</si>
  <si>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15:00/Dorsett/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エリック長官夕食会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調整中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</si>
  <si>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会場下見(全員)/資料確認</t>
  </si>
  <si>
    <t xml:space="preserve">レセプション(VIP)</t>
  </si>
  <si>
    <t xml:space="preserve">Joint Opening/VIP Tour</t>
  </si>
  <si>
    <r>
      <rPr>
        <sz val="8"/>
        <color rgb="FF000000"/>
        <rFont val="Arial"/>
        <family val="2"/>
        <charset val="1"/>
      </rPr>
      <t xml:space="preserve">ACDR Opening</t>
    </r>
    <r>
      <rPr>
        <sz val="8"/>
        <color rgb="FF000000"/>
        <rFont val="WenQuanYi Zen Hei"/>
        <family val="2"/>
      </rPr>
      <t xml:space="preserve">挨拶</t>
    </r>
    <r>
      <rPr>
        <sz val="8"/>
        <color rgb="FF000000"/>
        <rFont val="Arial"/>
        <family val="2"/>
        <charset val="1"/>
      </rPr>
      <t xml:space="preserve">/RT/SC/Gala</t>
    </r>
  </si>
  <si>
    <t xml:space="preserve">Tech Session/Closing</t>
  </si>
  <si>
    <t xml:space="preserve">Field Trip/Parade Dinner</t>
  </si>
  <si>
    <t xml:space="preserve">SIDEX Keynote</t>
  </si>
  <si>
    <r>
      <rPr>
        <sz val="8"/>
        <color rgb="FF000000"/>
        <rFont val="Arial"/>
        <family val="2"/>
        <charset val="1"/>
      </rPr>
      <t xml:space="preserve">Panel2/</t>
    </r>
    <r>
      <rPr>
        <sz val="8"/>
        <color rgb="FF000000"/>
        <rFont val="WenQuanYi Zen Hei"/>
        <family val="2"/>
      </rPr>
      <t xml:space="preserve">閉会</t>
    </r>
  </si>
  <si>
    <t xml:space="preserve">SIN-FUK(SQ656 01:20)</t>
  </si>
  <si>
    <t xml:space="preserve">NRT-SIN(SQ637)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</si>
  <si>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16:30/Dorsett/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エリック長官夕食会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調整中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</si>
  <si>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会場下見(全員)→ブリーフィング(荒木田)</t>
  </si>
  <si>
    <t xml:space="preserve">RT/SC/Gala</t>
  </si>
  <si>
    <r>
      <rPr>
        <sz val="8"/>
        <color rgb="FF000000"/>
        <rFont val="Arial"/>
        <family val="2"/>
        <charset val="1"/>
      </rPr>
      <t xml:space="preserve">Panel2/</t>
    </r>
    <r>
      <rPr>
        <sz val="8"/>
        <color rgb="FF000000"/>
        <rFont val="WenQuanYi Zen Hei"/>
        <family val="2"/>
      </rPr>
      <t xml:space="preserve">閉会</t>
    </r>
    <r>
      <rPr>
        <sz val="8"/>
        <color rgb="FF000000"/>
        <rFont val="Arial"/>
        <family val="2"/>
        <charset val="1"/>
      </rPr>
      <t xml:space="preserve">/SIN-NRT(SQ638 23:55)</t>
    </r>
  </si>
  <si>
    <r>
      <rPr>
        <sz val="8"/>
        <color rgb="FF000000"/>
        <rFont val="Arial"/>
        <family val="2"/>
        <charset val="1"/>
      </rPr>
      <t xml:space="preserve">NRT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07:30</t>
    </r>
  </si>
  <si>
    <r>
      <rPr>
        <sz val="8"/>
        <color rgb="FF000000"/>
        <rFont val="Arial"/>
        <family val="2"/>
        <charset val="1"/>
      </rPr>
      <t xml:space="preserve">ITM-NRT-SIN(NH2178/NH803) 23:40</t>
    </r>
    <r>
      <rPr>
        <sz val="8"/>
        <color rgb="FF000000"/>
        <rFont val="WenQuanYi Zen Hei"/>
        <family val="2"/>
      </rPr>
      <t xml:space="preserve">着</t>
    </r>
  </si>
  <si>
    <t xml:space="preserve">内閣府到着対応準備/COSEM調整</t>
  </si>
  <si>
    <t xml:space="preserve">内閣府到着確認(出迎え不要・公用車)/COSEM調整/夜:エリック長官夕食会(調整中)</t>
  </si>
  <si>
    <t xml:space="preserve">会場下見(全員)→COSEM・内閣府調整</t>
  </si>
  <si>
    <t xml:space="preserve">レセプション(内閣府随行・大使対応)</t>
  </si>
  <si>
    <t xml:space="preserve">事務局・受付設営/Opening/VIP Tour(内閣府に同行)</t>
  </si>
  <si>
    <r>
      <rPr>
        <sz val="8"/>
        <color rgb="FF000000"/>
        <rFont val="Arial"/>
        <family val="2"/>
        <charset val="1"/>
      </rPr>
      <t xml:space="preserve">ACDR Opening/RT/SC</t>
    </r>
    <r>
      <rPr>
        <sz val="8"/>
        <color rgb="FF000000"/>
        <rFont val="WenQuanYi Zen Hei"/>
        <family val="2"/>
      </rPr>
      <t xml:space="preserve">進行補佐</t>
    </r>
    <r>
      <rPr>
        <sz val="8"/>
        <color rgb="FF000000"/>
        <rFont val="Arial"/>
        <family val="2"/>
        <charset val="1"/>
      </rPr>
      <t xml:space="preserve">/Gala</t>
    </r>
  </si>
  <si>
    <r>
      <rPr>
        <sz val="8"/>
        <color rgb="FF000000"/>
        <rFont val="Arial"/>
        <family val="2"/>
        <charset val="1"/>
      </rPr>
      <t xml:space="preserve">SIDEX Keynote(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</si>
  <si>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t xml:space="preserve">SIN-NRT(NH802 06:35)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</si>
  <si>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受付準備</t>
    </r>
    <r>
      <rPr>
        <sz val="8"/>
        <color rgb="FF000000"/>
        <rFont val="Arial"/>
        <family val="2"/>
        <charset val="1"/>
      </rPr>
      <t xml:space="preserve">/COSEM</t>
    </r>
    <r>
      <rPr>
        <sz val="8"/>
        <color rgb="FF000000"/>
        <rFont val="WenQuanYi Zen Hei"/>
        <family val="2"/>
      </rPr>
      <t xml:space="preserve">打合せ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</si>
  <si>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フロント対応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到着ピーク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接続テスト①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エリック長官夕食会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調整中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</si>
  <si>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会場下見(全員)→公邸・ケータリング最終確認</t>
  </si>
  <si>
    <r>
      <rPr>
        <sz val="8"/>
        <color rgb="FF000000"/>
        <rFont val="Arial"/>
        <family val="2"/>
        <charset val="1"/>
      </rPr>
      <t xml:space="preserve">16:00</t>
    </r>
    <r>
      <rPr>
        <sz val="8"/>
        <color rgb="FF000000"/>
        <rFont val="WenQuanYi Zen Hei"/>
        <family val="2"/>
      </rPr>
      <t xml:space="preserve">公邸設営</t>
    </r>
    <r>
      <rPr>
        <sz val="8"/>
        <color rgb="FF000000"/>
        <rFont val="Arial"/>
        <family val="2"/>
        <charset val="1"/>
      </rPr>
      <t xml:space="preserve">/MC</t>
    </r>
    <r>
      <rPr>
        <sz val="8"/>
        <color rgb="FF000000"/>
        <rFont val="WenQuanYi Zen Hei"/>
        <family val="2"/>
      </rPr>
      <t xml:space="preserve">・進行</t>
    </r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</si>
  <si>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会場テスト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事務局設営</t>
    </r>
    <r>
      <rPr>
        <sz val="8"/>
        <color rgb="FF000000"/>
        <rFont val="Arial"/>
        <family val="2"/>
        <charset val="1"/>
      </rPr>
      <t xml:space="preserve">/Opening/COSEM</t>
    </r>
    <r>
      <rPr>
        <sz val="8"/>
        <color rgb="FF000000"/>
        <rFont val="WenQuanYi Zen Hei"/>
        <family val="2"/>
      </rPr>
      <t xml:space="preserve">調整</t>
    </r>
  </si>
  <si>
    <r>
      <rPr>
        <sz val="8"/>
        <color rgb="FF000000"/>
        <rFont val="Arial"/>
        <family val="2"/>
        <charset val="1"/>
      </rPr>
      <t xml:space="preserve">RT/SC/Gala</t>
    </r>
    <r>
      <rPr>
        <sz val="8"/>
        <color rgb="FF000000"/>
        <rFont val="WenQuanYi Zen Hei"/>
        <family val="2"/>
      </rPr>
      <t xml:space="preserve">引率</t>
    </r>
  </si>
  <si>
    <t xml:space="preserve">事務局撤収(藤中と)/Parade Dinner</t>
  </si>
  <si>
    <r>
      <rPr>
        <sz val="8"/>
        <color rgb="FF000000"/>
        <rFont val="Arial"/>
        <family val="2"/>
        <charset val="1"/>
      </rPr>
      <t xml:space="preserve">Exhibition Tour/Panel2/</t>
    </r>
    <r>
      <rPr>
        <sz val="8"/>
        <color rgb="FF000000"/>
        <rFont val="WenQuanYi Zen Hei"/>
        <family val="2"/>
      </rPr>
      <t xml:space="preserve">閉会</t>
    </r>
  </si>
  <si>
    <t xml:space="preserve">SIN-NRT-ITM(NH802 06:35)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</si>
  <si>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06:55(NH843)/</t>
    </r>
    <r>
      <rPr>
        <sz val="8"/>
        <color rgb="FF000000"/>
        <rFont val="WenQuanYi Zen Hei"/>
        <family val="2"/>
      </rPr>
      <t xml:space="preserve">会場・機材確認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</si>
  <si>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フロント対応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内閣府到着対応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日本側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中村・山口</t>
    </r>
    <r>
      <rPr>
        <sz val="8"/>
        <color rgb="FF000000"/>
        <rFont val="Arial"/>
        <family val="2"/>
        <charset val="1"/>
      </rPr>
      <t xml:space="preserve">)</t>
    </r>
    <r>
      <rPr>
        <sz val="8"/>
        <color rgb="FF000000"/>
        <rFont val="WenQuanYi Zen Hei"/>
        <family val="2"/>
      </rPr>
      <t xml:space="preserve">と</t>
    </r>
    <r>
      <rPr>
        <sz val="8"/>
        <color rgb="FF000000"/>
        <rFont val="Arial"/>
        <family val="2"/>
        <charset val="1"/>
      </rPr>
      <t xml:space="preserve">Zoom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通訳接続テスト①</t>
    </r>
    <r>
      <rPr>
        <sz val="8"/>
        <color rgb="FF000000"/>
        <rFont val="Arial"/>
        <family val="2"/>
        <charset val="1"/>
      </rPr>
      <t xml:space="preserve">(JST 15-17)</t>
    </r>
  </si>
  <si>
    <t xml:space="preserve">会場下見引率(全員)→北本ブリーフ/持込PCで接続テスト②</t>
  </si>
  <si>
    <t xml:space="preserve">日本側と接続テスト②(Webinar・AI通訳・録画, JST 14-17)→公邸設営/レセプション運営</t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</si>
  <si>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会場・</t>
    </r>
    <r>
      <rPr>
        <sz val="8"/>
        <color rgb="FF000000"/>
        <rFont val="Arial"/>
        <family val="2"/>
        <charset val="1"/>
      </rPr>
      <t xml:space="preserve">NW</t>
    </r>
    <r>
      <rPr>
        <sz val="8"/>
        <color rgb="FF000000"/>
        <rFont val="WenQuanYi Zen Hei"/>
        <family val="2"/>
      </rPr>
      <t xml:space="preserve">テスト</t>
    </r>
    <r>
      <rPr>
        <sz val="8"/>
        <color rgb="FF000000"/>
        <rFont val="Arial"/>
        <family val="2"/>
        <charset val="1"/>
      </rPr>
      <t xml:space="preserve">/Zoom/Opening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</si>
  <si>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ACDR Opening</t>
    </r>
    <r>
      <rPr>
        <sz val="8"/>
        <color rgb="FF000000"/>
        <rFont val="WenQuanYi Zen Hei"/>
        <family val="2"/>
      </rPr>
      <t xml:space="preserve">進行</t>
    </r>
    <r>
      <rPr>
        <sz val="8"/>
        <color rgb="FF000000"/>
        <rFont val="Arial"/>
        <family val="2"/>
        <charset val="1"/>
      </rPr>
      <t xml:space="preserve">/RT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(AV)/SC/Gala</t>
    </r>
  </si>
  <si>
    <r>
      <rPr>
        <sz val="8"/>
        <color rgb="FF000000"/>
        <rFont val="Arial"/>
        <family val="2"/>
        <charset val="1"/>
      </rPr>
      <t xml:space="preserve">Tech Session(AV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Zoom)/Summary/Closing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</si>
  <si>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引率</t>
    </r>
  </si>
  <si>
    <r>
      <rPr>
        <sz val="8"/>
        <color rgb="FF000000"/>
        <rFont val="Arial"/>
        <family val="2"/>
        <charset val="1"/>
      </rPr>
      <t xml:space="preserve">SIDEX Keynote(</t>
    </r>
    <r>
      <rPr>
        <sz val="8"/>
        <color rgb="FF000000"/>
        <rFont val="WenQuanYi Zen Hei"/>
        <family val="2"/>
      </rPr>
      <t xml:space="preserve">リソース対応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</si>
  <si>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Exhibition Tour/Panel2/</t>
    </r>
    <r>
      <rPr>
        <sz val="8"/>
        <color rgb="FF000000"/>
        <rFont val="WenQuanYi Zen Hei"/>
        <family val="2"/>
      </rPr>
      <t xml:space="preserve">閉会</t>
    </r>
    <r>
      <rPr>
        <sz val="8"/>
        <color rgb="FF000000"/>
        <rFont val="Arial"/>
        <family val="2"/>
        <charset val="1"/>
      </rPr>
      <t xml:space="preserve">/SIN-HND(NH844 22:20)</t>
    </r>
  </si>
  <si>
    <r>
      <rPr>
        <sz val="8"/>
        <color rgb="FF000000"/>
        <rFont val="Arial"/>
        <family val="2"/>
        <charset val="1"/>
      </rPr>
      <t xml:space="preserve">HND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05:55</t>
    </r>
  </si>
  <si>
    <r>
      <rPr>
        <sz val="8"/>
        <color rgb="FF000000"/>
        <rFont val="Arial"/>
        <family val="2"/>
        <charset val="1"/>
      </rPr>
      <t xml:space="preserve">GVA-HEL(AY1534 19:05</t>
    </r>
    <r>
      <rPr>
        <sz val="8"/>
        <color rgb="FF000000"/>
        <rFont val="WenQuanYi Zen Hei"/>
        <family val="2"/>
      </rPr>
      <t xml:space="preserve">発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</si>
  <si>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HEL-SIN(AY131 00:05</t>
    </r>
    <r>
      <rPr>
        <sz val="8"/>
        <color rgb="FF000000"/>
        <rFont val="WenQuanYi Zen Hei"/>
        <family val="2"/>
      </rPr>
      <t xml:space="preserve">発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</si>
  <si>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WenQuanYi Zen Hei"/>
        <family val="2"/>
      </rPr>
      <t xml:space="preserve">フライト移動中</t>
    </r>
    <r>
      <rPr>
        <sz val="8"/>
        <color rgb="FF000000"/>
        <rFont val="Arial"/>
        <family val="2"/>
        <charset val="1"/>
      </rPr>
      <t xml:space="preserve">(AY131)</t>
    </r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</si>
  <si>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18:40→Hotel Mi/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参加者対応</t>
    </r>
  </si>
  <si>
    <t xml:space="preserve">16:00公邸設営/受付/進行補佐</t>
  </si>
  <si>
    <r>
      <rPr>
        <sz val="8"/>
        <color rgb="FF000000"/>
        <rFont val="Arial"/>
        <family val="2"/>
        <charset val="1"/>
      </rPr>
      <t xml:space="preserve">Opening/</t>
    </r>
    <r>
      <rPr>
        <sz val="8"/>
        <color rgb="FF000000"/>
        <rFont val="WenQuanYi Zen Hei"/>
        <family val="2"/>
      </rPr>
      <t xml:space="preserve">参加者誘導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</si>
  <si>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(PIC)/SC/Gala</t>
    </r>
    <r>
      <rPr>
        <sz val="8"/>
        <color rgb="FF000000"/>
        <rFont val="WenQuanYi Zen Hei"/>
        <family val="2"/>
      </rPr>
      <t xml:space="preserve">引率</t>
    </r>
  </si>
  <si>
    <r>
      <rPr>
        <sz val="8"/>
        <color rgb="FF000000"/>
        <rFont val="Arial"/>
        <family val="2"/>
        <charset val="1"/>
      </rPr>
      <t xml:space="preserve">Tech Session(</t>
    </r>
    <r>
      <rPr>
        <sz val="8"/>
        <color rgb="FF000000"/>
        <rFont val="WenQuanYi Zen Hei"/>
        <family val="2"/>
      </rPr>
      <t xml:space="preserve">記録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</si>
  <si>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ホテル→</t>
    </r>
    <r>
      <rPr>
        <sz val="8"/>
        <color rgb="FF000000"/>
        <rFont val="Arial"/>
        <family val="2"/>
        <charset val="1"/>
      </rPr>
      <t xml:space="preserve">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パレード</t>
    </r>
    <r>
      <rPr>
        <sz val="8"/>
        <color rgb="FF000000"/>
        <rFont val="Arial"/>
        <family val="2"/>
        <charset val="1"/>
      </rPr>
      <t xml:space="preserve">)/Parade Dinner</t>
    </r>
  </si>
  <si>
    <r>
      <rPr>
        <sz val="8"/>
        <color rgb="FF000000"/>
        <rFont val="Arial"/>
        <family val="2"/>
        <charset val="1"/>
      </rPr>
      <t xml:space="preserve">Dorsett→EXPO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/SIDEX Keynote</t>
    </r>
  </si>
  <si>
    <r>
      <rPr>
        <sz val="8"/>
        <color rgb="FF000000"/>
        <rFont val="Arial"/>
        <family val="2"/>
        <charset val="1"/>
      </rPr>
      <t xml:space="preserve">Panel2/</t>
    </r>
    <r>
      <rPr>
        <sz val="8"/>
        <color rgb="FF000000"/>
        <rFont val="WenQuanYi Zen Hei"/>
        <family val="2"/>
      </rPr>
      <t xml:space="preserve">閉会</t>
    </r>
    <r>
      <rPr>
        <sz val="8"/>
        <color rgb="FF000000"/>
        <rFont val="Arial"/>
        <family val="2"/>
        <charset val="1"/>
      </rPr>
      <t xml:space="preserve">/SIN-HEL(AY132 22:05)</t>
    </r>
  </si>
  <si>
    <r>
      <rPr>
        <sz val="8"/>
        <color rgb="FF000000"/>
        <rFont val="Arial"/>
        <family val="2"/>
        <charset val="1"/>
      </rPr>
      <t xml:space="preserve">HEL</t>
    </r>
    <r>
      <rPr>
        <sz val="8"/>
        <color rgb="FF000000"/>
        <rFont val="WenQuanYi Zen Hei"/>
        <family val="2"/>
      </rPr>
      <t xml:space="preserve">経由 </t>
    </r>
    <r>
      <rPr>
        <sz val="8"/>
        <color rgb="FF000000"/>
        <rFont val="Arial"/>
        <family val="2"/>
        <charset val="1"/>
      </rPr>
      <t xml:space="preserve">GVA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10:00</t>
    </r>
  </si>
  <si>
    <t xml:space="preserve">KIX-SIN(TR819)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</si>
  <si>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17:30/Hotel Mi</t>
    </r>
  </si>
  <si>
    <r>
      <rPr>
        <sz val="8"/>
        <color rgb="FF000000"/>
        <rFont val="Arial"/>
        <family val="2"/>
        <charset val="1"/>
      </rPr>
      <t xml:space="preserve">COSEM</t>
    </r>
    <r>
      <rPr>
        <sz val="8"/>
        <color rgb="FF000000"/>
        <rFont val="WenQuanYi Zen Hei"/>
        <family val="2"/>
      </rPr>
      <t xml:space="preserve">打合せ</t>
    </r>
    <r>
      <rPr>
        <sz val="8"/>
        <color rgb="FF000000"/>
        <rFont val="Arial"/>
        <family val="2"/>
        <charset val="1"/>
      </rPr>
      <t xml:space="preserve">/Dorsett</t>
    </r>
    <r>
      <rPr>
        <sz val="8"/>
        <color rgb="FF000000"/>
        <rFont val="WenQuanYi Zen Hei"/>
        <family val="2"/>
      </rPr>
      <t xml:space="preserve">受付準備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</si>
  <si>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フロント対応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到着ピーク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</si>
  <si>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下見は交代で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名札セット</t>
    </r>
  </si>
  <si>
    <t xml:space="preserve">公邸受付/名札配布</t>
  </si>
  <si>
    <t xml:space="preserve">受付デスク(Peridot)</t>
  </si>
  <si>
    <t xml:space="preserve">受付/SC事務(会計報告)/Gala</t>
  </si>
  <si>
    <t xml:space="preserve">受付デスク/支払</t>
  </si>
  <si>
    <t xml:space="preserve">事務局撤収(児玉と)/精算/Parade Dinner</t>
  </si>
  <si>
    <r>
      <rPr>
        <sz val="8"/>
        <color rgb="FF000000"/>
        <rFont val="Arial"/>
        <family val="2"/>
        <charset val="1"/>
      </rPr>
      <t xml:space="preserve">SIDEX(</t>
    </r>
    <r>
      <rPr>
        <sz val="8"/>
        <color rgb="FF000000"/>
        <rFont val="WenQuanYi Zen Hei"/>
        <family val="2"/>
      </rPr>
      <t xml:space="preserve">受付・清算</t>
    </r>
    <r>
      <rPr>
        <sz val="8"/>
        <color rgb="FF000000"/>
        <rFont val="Arial"/>
        <family val="2"/>
        <charset val="1"/>
      </rPr>
      <t xml:space="preserve">)</t>
    </r>
  </si>
  <si>
    <t xml:space="preserve">出発案内/支払</t>
  </si>
  <si>
    <t xml:space="preserve">見送り/清算</t>
  </si>
  <si>
    <t xml:space="preserve">SIN-KIX(TR818 11/1 03:05)</t>
  </si>
  <si>
    <t xml:space="preserve">SIN-KIX(TR818 03:05)</t>
  </si>
  <si>
    <r>
      <rPr>
        <sz val="8"/>
        <color rgb="FF000000"/>
        <rFont val="Arial"/>
        <family val="2"/>
        <charset val="1"/>
      </rPr>
      <t xml:space="preserve">KIX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10:15</t>
    </r>
  </si>
  <si>
    <t xml:space="preserve">名札(QR)受取/リスト確認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</si>
  <si>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下見は交代で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送迎確認</t>
    </r>
  </si>
  <si>
    <t xml:space="preserve">受付/RT/Gala引率</t>
  </si>
  <si>
    <t xml:space="preserve">Dorsett→EXPO誘導/受付デスク</t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</si>
  <si>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名簿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ホテル→</t>
    </r>
    <r>
      <rPr>
        <sz val="8"/>
        <color rgb="FF000000"/>
        <rFont val="Arial"/>
        <family val="2"/>
        <charset val="1"/>
      </rPr>
      <t xml:space="preserve">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パレード</t>
    </r>
    <r>
      <rPr>
        <sz val="8"/>
        <color rgb="FF000000"/>
        <rFont val="Arial"/>
        <family val="2"/>
        <charset val="1"/>
      </rPr>
      <t xml:space="preserve">)/Parade Dinner</t>
    </r>
  </si>
  <si>
    <r>
      <rPr>
        <sz val="8"/>
        <color rgb="FF000000"/>
        <rFont val="Arial"/>
        <family val="2"/>
        <charset val="1"/>
      </rPr>
      <t xml:space="preserve">Dorsett→EXPO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/SIDEX(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)</t>
    </r>
  </si>
  <si>
    <t xml:space="preserve">出発案内(送迎)</t>
  </si>
  <si>
    <t xml:space="preserve">見送り</t>
  </si>
  <si>
    <t xml:space="preserve">KIX-SIN(SQ619)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</si>
  <si>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16:00/Hotel Mi/</t>
    </r>
    <r>
      <rPr>
        <sz val="8"/>
        <color rgb="FF000000"/>
        <rFont val="WenQuanYi Zen Hei"/>
        <family val="2"/>
      </rPr>
      <t xml:space="preserve">日本側と接続テスト①に合流</t>
    </r>
  </si>
  <si>
    <t xml:space="preserve">会場下見(全員)→Japan Pavilion確認/接続テスト②</t>
  </si>
  <si>
    <t xml:space="preserve">16:00公邸設営補助/レセプション</t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</si>
  <si>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会場テスト</t>
    </r>
    <r>
      <rPr>
        <sz val="8"/>
        <color rgb="FF000000"/>
        <rFont val="Arial"/>
        <family val="2"/>
        <charset val="1"/>
      </rPr>
      <t xml:space="preserve">/AV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PC</t>
    </r>
    <r>
      <rPr>
        <sz val="8"/>
        <color rgb="FF000000"/>
        <rFont val="WenQuanYi Zen Hei"/>
        <family val="2"/>
      </rPr>
      <t xml:space="preserve">操作</t>
    </r>
  </si>
  <si>
    <r>
      <rPr>
        <sz val="8"/>
        <color rgb="FF000000"/>
        <rFont val="Arial"/>
        <family val="2"/>
        <charset val="1"/>
      </rPr>
      <t xml:space="preserve">RT(AV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PC)/Gala</t>
    </r>
  </si>
  <si>
    <r>
      <rPr>
        <sz val="8"/>
        <color rgb="FF000000"/>
        <rFont val="Arial"/>
        <family val="2"/>
        <charset val="1"/>
      </rPr>
      <t xml:space="preserve">Tech Session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(PIC)</t>
    </r>
  </si>
  <si>
    <r>
      <rPr>
        <sz val="8"/>
        <color rgb="FF000000"/>
        <rFont val="Arial"/>
        <family val="2"/>
        <charset val="1"/>
      </rPr>
      <t xml:space="preserve">Field Trip or SIDEX</t>
    </r>
    <r>
      <rPr>
        <sz val="8"/>
        <color rgb="FF000000"/>
        <rFont val="WenQuanYi Zen Hei"/>
        <family val="2"/>
      </rPr>
      <t xml:space="preserve">展示調整</t>
    </r>
    <r>
      <rPr>
        <sz val="8"/>
        <color rgb="FF000000"/>
        <rFont val="Arial"/>
        <family val="2"/>
        <charset val="1"/>
      </rPr>
      <t xml:space="preserve">/Parade Dinner</t>
    </r>
  </si>
  <si>
    <r>
      <rPr>
        <sz val="8"/>
        <color rgb="FF000000"/>
        <rFont val="Arial"/>
        <family val="2"/>
        <charset val="1"/>
      </rPr>
      <t xml:space="preserve">Exhibition Tour(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)/Panel2</t>
    </r>
  </si>
  <si>
    <r>
      <rPr>
        <sz val="8"/>
        <color rgb="FF000000"/>
        <rFont val="Arial"/>
        <family val="2"/>
        <charset val="1"/>
      </rPr>
      <t xml:space="preserve">SIN-KIX(01:30</t>
    </r>
    <r>
      <rPr>
        <sz val="8"/>
        <color rgb="FF000000"/>
        <rFont val="WenQuanYi Zen Hei"/>
        <family val="2"/>
      </rPr>
      <t xml:space="preserve">発 便名要確認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</si>
  <si>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16:00/Hotel Mi</t>
    </r>
  </si>
  <si>
    <t xml:space="preserve">会場下見(全員)→RT準備</t>
  </si>
  <si>
    <t xml:space="preserve">Opening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</si>
  <si>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共同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/SC</t>
    </r>
    <r>
      <rPr>
        <sz val="8"/>
        <color rgb="FF000000"/>
        <rFont val="WenQuanYi Zen Hei"/>
        <family val="2"/>
      </rPr>
      <t xml:space="preserve">メモ</t>
    </r>
    <r>
      <rPr>
        <sz val="8"/>
        <color rgb="FF000000"/>
        <rFont val="Arial"/>
        <family val="2"/>
        <charset val="1"/>
      </rPr>
      <t xml:space="preserve">/Gala</t>
    </r>
  </si>
  <si>
    <r>
      <rPr>
        <sz val="8"/>
        <color rgb="FF000000"/>
        <rFont val="Arial"/>
        <family val="2"/>
        <charset val="1"/>
      </rPr>
      <t xml:space="preserve">Tech Session(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)/Draft Summary</t>
    </r>
  </si>
  <si>
    <t xml:space="preserve">SIDEX Keynote/Summary</t>
  </si>
  <si>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未手配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</si>
  <si>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会場下見(全員)→登壇者対応</t>
  </si>
  <si>
    <r>
      <rPr>
        <sz val="8"/>
        <color rgb="FF000000"/>
        <rFont val="Arial"/>
        <family val="2"/>
        <charset val="1"/>
      </rPr>
      <t xml:space="preserve">RT(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)/Gala</t>
    </r>
  </si>
  <si>
    <t xml:space="preserve">Tech Session Co-Chair</t>
  </si>
  <si>
    <t xml:space="preserve">（未手配）</t>
  </si>
  <si>
    <t xml:space="preserve">会場下見・動線確認(全員)/SC資料準備</t>
  </si>
  <si>
    <t xml:space="preserve">公邸設営補助/レセプション</t>
  </si>
  <si>
    <t xml:space="preserve">事務局部屋設営/Joint Opening</t>
  </si>
  <si>
    <r>
      <rPr>
        <sz val="8"/>
        <color rgb="FF000000"/>
        <rFont val="Arial"/>
        <family val="2"/>
        <charset val="1"/>
      </rPr>
      <t xml:space="preserve">ACDR Opening/RT/SC</t>
    </r>
    <r>
      <rPr>
        <sz val="8"/>
        <color rgb="FF000000"/>
        <rFont val="WenQuanYi Zen Hei"/>
        <family val="2"/>
      </rPr>
      <t xml:space="preserve">事務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議案・進行・会計報告</t>
    </r>
    <r>
      <rPr>
        <sz val="8"/>
        <color rgb="FF000000"/>
        <rFont val="Arial"/>
        <family val="2"/>
        <charset val="1"/>
      </rPr>
      <t xml:space="preserve">)/Gala</t>
    </r>
  </si>
  <si>
    <r>
      <rPr>
        <sz val="8"/>
        <color rgb="FF000000"/>
        <rFont val="Arial"/>
        <family val="2"/>
        <charset val="1"/>
      </rPr>
      <t xml:space="preserve">SIDEX Keynote/SC</t>
    </r>
    <r>
      <rPr>
        <sz val="8"/>
        <color rgb="FF000000"/>
        <rFont val="WenQuanYi Zen Hei"/>
        <family val="2"/>
      </rPr>
      <t xml:space="preserve">サマリー</t>
    </r>
  </si>
  <si>
    <t xml:space="preserve">（帰国 未手配）</t>
  </si>
  <si>
    <t xml:space="preserve">KIX-SIN(未手配)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</si>
  <si>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/Dorsett</t>
    </r>
    <r>
      <rPr>
        <sz val="8"/>
        <color rgb="FF000000"/>
        <rFont val="WenQuanYi Zen Hei"/>
        <family val="2"/>
      </rPr>
      <t xml:space="preserve">フロント対応</t>
    </r>
  </si>
  <si>
    <t xml:space="preserve">会場下見(全員)→公邸・ケータリング最終確認/撮影準備</t>
  </si>
  <si>
    <t xml:space="preserve">16:00公邸設営・MC進行確認/撮影</t>
  </si>
  <si>
    <r>
      <rPr>
        <sz val="8"/>
        <color rgb="FF000000"/>
        <rFont val="Arial"/>
        <family val="2"/>
        <charset val="1"/>
      </rPr>
      <t xml:space="preserve">Zoom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翻訳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写真</t>
    </r>
  </si>
  <si>
    <t xml:space="preserve">受付/Zoom/写真/Gala</t>
  </si>
  <si>
    <r>
      <rPr>
        <sz val="8"/>
        <color rgb="FF000000"/>
        <rFont val="Arial"/>
        <family val="2"/>
        <charset val="1"/>
      </rPr>
      <t xml:space="preserve">Japan Pavilion/</t>
    </r>
    <r>
      <rPr>
        <sz val="8"/>
        <color rgb="FF000000"/>
        <rFont val="WenQuanYi Zen Hei"/>
        <family val="2"/>
      </rPr>
      <t xml:space="preserve">参加者誘導</t>
    </r>
  </si>
  <si>
    <r>
      <rPr>
        <sz val="8"/>
        <color rgb="FF000000"/>
        <rFont val="Arial"/>
        <family val="2"/>
        <charset val="1"/>
      </rPr>
      <t xml:space="preserve">SIDEX(</t>
    </r>
    <r>
      <rPr>
        <sz val="8"/>
        <color rgb="FF000000"/>
        <rFont val="WenQuanYi Zen Hei"/>
        <family val="2"/>
      </rPr>
      <t xml:space="preserve">写真・誘導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</si>
  <si>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Exhibition Tour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閉会</t>
    </r>
  </si>
  <si>
    <t xml:space="preserve">見送り/帰国</t>
  </si>
  <si>
    <t xml:space="preserve">会場下見(全員)→到着者対応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</si>
  <si>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記録・サマリー補助</t>
    </r>
    <r>
      <rPr>
        <sz val="8"/>
        <color rgb="FF000000"/>
        <rFont val="Arial"/>
        <family val="2"/>
        <charset val="1"/>
      </rPr>
      <t xml:space="preserve">/Gala</t>
    </r>
  </si>
  <si>
    <r>
      <rPr>
        <sz val="8"/>
        <color rgb="FF000000"/>
        <rFont val="Arial"/>
        <family val="2"/>
        <charset val="1"/>
      </rPr>
      <t xml:space="preserve">Dorsett→EXPO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/Tech Session</t>
    </r>
    <r>
      <rPr>
        <sz val="8"/>
        <color rgb="FF000000"/>
        <rFont val="WenQuanYi Zen Hei"/>
        <family val="2"/>
      </rPr>
      <t xml:space="preserve">記録</t>
    </r>
  </si>
  <si>
    <r>
      <rPr>
        <sz val="8"/>
        <color rgb="FF000000"/>
        <rFont val="Arial"/>
        <family val="2"/>
        <charset val="1"/>
      </rPr>
      <t xml:space="preserve">Field Trip/</t>
    </r>
    <r>
      <rPr>
        <sz val="8"/>
        <color rgb="FF000000"/>
        <rFont val="WenQuanYi Zen Hei"/>
        <family val="2"/>
      </rPr>
      <t xml:space="preserve">ホテル→</t>
    </r>
    <r>
      <rPr>
        <sz val="8"/>
        <color rgb="FF000000"/>
        <rFont val="Arial"/>
        <family val="2"/>
        <charset val="1"/>
      </rPr>
      <t xml:space="preserve">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パレード</t>
    </r>
    <r>
      <rPr>
        <sz val="8"/>
        <color rgb="FF000000"/>
        <rFont val="Arial"/>
        <family val="2"/>
        <charset val="1"/>
      </rPr>
      <t xml:space="preserve">)/Parade Dinner</t>
    </r>
  </si>
  <si>
    <r>
      <rPr>
        <sz val="8"/>
        <color rgb="FF000000"/>
        <rFont val="Arial"/>
        <family val="2"/>
        <charset val="1"/>
      </rPr>
      <t xml:space="preserve">SIDEX Keynote/</t>
    </r>
    <r>
      <rPr>
        <sz val="8"/>
        <color rgb="FF000000"/>
        <rFont val="WenQuanYi Zen Hei"/>
        <family val="2"/>
      </rPr>
      <t xml:space="preserve">サマリー</t>
    </r>
  </si>
  <si>
    <t xml:space="preserve">帰国</t>
  </si>
  <si>
    <t xml:space="preserve">在場人数(役員・森口・藤本・塩見含む)</t>
  </si>
  <si>
    <t xml:space="preserve">うち藤本・塩見</t>
  </si>
  <si>
    <t xml:space="preserve">※自動計算は『記入があり、かつ未手配・要確認・日本側到着(NRT着/HND着/KIX着/GVA着)を除く』人数で、フライト移動中を含む。藤本・塩見・森口は本人承諾/参加見込だがフライト未手配のため、手配前の日は「未手配」表記で件数から外れる。</t>
  </si>
  <si>
    <t xml:space="preserve">日本側サポート（神戸）　※JST = SGT + 1時間</t>
  </si>
  <si>
    <r>
      <rPr>
        <sz val="8"/>
        <color rgb="FF000000"/>
        <rFont val="Arial"/>
        <family val="2"/>
        <charset val="1"/>
      </rPr>
      <t xml:space="preserve">Webinar/Zoom/AI</t>
    </r>
    <r>
      <rPr>
        <sz val="8"/>
        <color rgb="FF000000"/>
        <rFont val="WenQuanYi Zen Hei"/>
        <family val="2"/>
      </rPr>
      <t xml:space="preserve">通訳 設定・リハーサル</t>
    </r>
  </si>
  <si>
    <t xml:space="preserve">現地(荒木田・池田)と接続テスト①(JST 15-17)</t>
  </si>
  <si>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通訳ツール最終設定</t>
    </r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</si>
  <si>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Zoom</t>
    </r>
    <r>
      <rPr>
        <sz val="8"/>
        <color rgb="FF000000"/>
        <rFont val="WenQuanYi Zen Hei"/>
        <family val="2"/>
      </rPr>
      <t xml:space="preserve">ホスト設定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接続テスト②</t>
    </r>
    <r>
      <rPr>
        <sz val="8"/>
        <color rgb="FF000000"/>
        <rFont val="Arial"/>
        <family val="2"/>
        <charset val="1"/>
      </rPr>
      <t xml:space="preserve">(JST 14-17)/SC</t>
    </r>
    <r>
      <rPr>
        <sz val="8"/>
        <color rgb="FF000000"/>
        <rFont val="WenQuanYi Zen Hei"/>
        <family val="2"/>
      </rPr>
      <t xml:space="preserve">リハ</t>
    </r>
    <r>
      <rPr>
        <sz val="8"/>
        <color rgb="FF000000"/>
        <rFont val="Arial"/>
        <family val="2"/>
        <charset val="1"/>
      </rPr>
      <t xml:space="preserve">(Q&amp;A</t>
    </r>
    <r>
      <rPr>
        <sz val="8"/>
        <color rgb="FF000000"/>
        <rFont val="WenQuanYi Zen Hei"/>
        <family val="2"/>
      </rPr>
      <t xml:space="preserve">確認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</si>
  <si>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開始</t>
    </r>
    <r>
      <rPr>
        <sz val="8"/>
        <color rgb="FF000000"/>
        <rFont val="Arial"/>
        <family val="2"/>
        <charset val="1"/>
      </rPr>
      <t xml:space="preserve">/AI</t>
    </r>
    <r>
      <rPr>
        <sz val="8"/>
        <color rgb="FF000000"/>
        <rFont val="WenQuanYi Zen Hei"/>
        <family val="2"/>
      </rPr>
      <t xml:space="preserve">通訳監視 </t>
    </r>
    <r>
      <rPr>
        <sz val="8"/>
        <color rgb="FF000000"/>
        <rFont val="Arial"/>
        <family val="2"/>
        <charset val="1"/>
      </rPr>
      <t xml:space="preserve">(JST 9:30-)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</si>
  <si>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SC: Q&amp;A/</t>
    </r>
    <r>
      <rPr>
        <sz val="8"/>
        <color rgb="FF000000"/>
        <rFont val="WenQuanYi Zen Hei"/>
        <family val="2"/>
      </rPr>
      <t xml:space="preserve">コメント確認・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通訳監視</t>
    </r>
  </si>
  <si>
    <r>
      <rPr>
        <sz val="8"/>
        <color rgb="FF000000"/>
        <rFont val="Arial"/>
        <family val="2"/>
        <charset val="1"/>
      </rPr>
      <t xml:space="preserve">TS: Q&amp;A/</t>
    </r>
    <r>
      <rPr>
        <sz val="8"/>
        <color rgb="FF000000"/>
        <rFont val="WenQuanYi Zen Hei"/>
        <family val="2"/>
      </rPr>
      <t xml:space="preserve">コメント確認・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通訳監視</t>
    </r>
  </si>
  <si>
    <t xml:space="preserve">（配信なし）ログ回収</t>
  </si>
  <si>
    <t xml:space="preserve">（SIDEX配信はSCDF側）</t>
  </si>
  <si>
    <r>
      <rPr>
        <sz val="8"/>
        <color rgb="FF000000"/>
        <rFont val="Arial"/>
        <family val="2"/>
        <charset val="1"/>
      </rPr>
      <t xml:space="preserve">Webinar/Zoom</t>
    </r>
    <r>
      <rPr>
        <sz val="8"/>
        <color rgb="FF000000"/>
        <rFont val="WenQuanYi Zen Hei"/>
        <family val="2"/>
      </rPr>
      <t xml:space="preserve">終了処理</t>
    </r>
  </si>
  <si>
    <t xml:space="preserve">録画設定テスト(クラウド+ローカル)</t>
  </si>
  <si>
    <t xml:space="preserve">録画リハーサル</t>
  </si>
  <si>
    <t xml:space="preserve">接続テスト②(録画・Q&amp;A確認)/SCリハ録画</t>
  </si>
  <si>
    <r>
      <rPr>
        <sz val="8"/>
        <color rgb="FF000000"/>
        <rFont val="Arial"/>
        <family val="2"/>
        <charset val="1"/>
      </rPr>
      <t xml:space="preserve">Opening/RT </t>
    </r>
    <r>
      <rPr>
        <sz val="8"/>
        <color rgb="FF000000"/>
        <rFont val="WenQuanYi Zen Hei"/>
        <family val="2"/>
      </rPr>
      <t xml:space="preserve">録画・オンライン質疑</t>
    </r>
  </si>
  <si>
    <r>
      <rPr>
        <sz val="8"/>
        <color rgb="FF000000"/>
        <rFont val="Arial"/>
        <family val="2"/>
        <charset val="1"/>
      </rPr>
      <t xml:space="preserve">SC </t>
    </r>
    <r>
      <rPr>
        <sz val="8"/>
        <color rgb="FF000000"/>
        <rFont val="WenQuanYi Zen Hei"/>
        <family val="2"/>
      </rPr>
      <t xml:space="preserve">録画</t>
    </r>
  </si>
  <si>
    <r>
      <rPr>
        <sz val="8"/>
        <color rgb="FF000000"/>
        <rFont val="Arial"/>
        <family val="2"/>
        <charset val="1"/>
      </rPr>
      <t xml:space="preserve">TS/Closing </t>
    </r>
    <r>
      <rPr>
        <sz val="8"/>
        <color rgb="FF000000"/>
        <rFont val="WenQuanYi Zen Hei"/>
        <family val="2"/>
      </rPr>
      <t xml:space="preserve">録画・オンライン質疑</t>
    </r>
  </si>
  <si>
    <t xml:space="preserve">録画データ整理・保存</t>
  </si>
  <si>
    <t xml:space="preserve">録画テスト(日英2台) ※仮置き</t>
  </si>
  <si>
    <t xml:space="preserve">録画(日英)ローカル保存 ※仮置き</t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</si>
  <si>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設定・ホスト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録画確認 ※仮置き</t>
    </r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</si>
  <si>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ホスト・録画確認 ※仮置き</t>
    </r>
  </si>
  <si>
    <r>
      <rPr>
        <sz val="8"/>
        <color rgb="FF000000"/>
        <rFont val="Arial"/>
        <family val="2"/>
        <charset val="1"/>
      </rPr>
      <t xml:space="preserve">SC Zoom</t>
    </r>
    <r>
      <rPr>
        <sz val="8"/>
        <color rgb="FF000000"/>
        <rFont val="WenQuanYi Zen Hei"/>
        <family val="2"/>
      </rPr>
      <t xml:space="preserve">設定 ※仮置き</t>
    </r>
  </si>
  <si>
    <t xml:space="preserve">※中村・山口は荒木田指示（9/4）により確定。寺坂・伊達はACDR2025の実績に基づくバックアップの仮置きで、本人未確認。</t>
  </si>
  <si>
    <r>
      <rPr>
        <b val="true"/>
        <sz val="12"/>
        <color rgb="FF1F4E78"/>
        <rFont val="Arial"/>
        <family val="2"/>
        <charset val="1"/>
      </rPr>
      <t xml:space="preserve">27 OCT 2026 (TUE)  Day 0: </t>
    </r>
    <r>
      <rPr>
        <b val="true"/>
        <sz val="12"/>
        <color rgb="FF1F4E78"/>
        <rFont val="WenQuanYi Zen Hei"/>
        <family val="2"/>
      </rPr>
      <t xml:space="preserve">参加者到着・大使公邸レセプション（</t>
    </r>
    <r>
      <rPr>
        <b val="true"/>
        <sz val="12"/>
        <color rgb="FF1F4E78"/>
        <rFont val="Arial"/>
        <family val="2"/>
        <charset val="1"/>
      </rPr>
      <t xml:space="preserve">SJ60 Commemorative Reception</t>
    </r>
    <r>
      <rPr>
        <b val="true"/>
        <sz val="12"/>
        <color rgb="FF1F4E78"/>
        <rFont val="WenQuanYi Zen Hei"/>
        <family val="2"/>
      </rPr>
      <t xml:space="preserve">）　※</t>
    </r>
    <r>
      <rPr>
        <b val="true"/>
        <sz val="12"/>
        <color rgb="FF1F4E78"/>
        <rFont val="Arial"/>
        <family val="2"/>
        <charset val="1"/>
      </rPr>
      <t xml:space="preserve">27</t>
    </r>
    <r>
      <rPr>
        <b val="true"/>
        <sz val="12"/>
        <color rgb="FF1F4E78"/>
        <rFont val="WenQuanYi Zen Hei"/>
        <family val="2"/>
      </rPr>
      <t xml:space="preserve">日午前</t>
    </r>
    <r>
      <rPr>
        <b val="true"/>
        <sz val="12"/>
        <color rgb="FF1F4E78"/>
        <rFont val="Arial"/>
        <family val="2"/>
        <charset val="1"/>
      </rPr>
      <t xml:space="preserve">: </t>
    </r>
    <r>
      <rPr>
        <b val="true"/>
        <sz val="12"/>
        <color rgb="FF1F4E78"/>
        <rFont val="WenQuanYi Zen Hei"/>
        <family val="2"/>
      </rPr>
      <t xml:space="preserve">全員で会場下見・ホテル動線確認（会場は</t>
    </r>
    <r>
      <rPr>
        <b val="true"/>
        <sz val="12"/>
        <color rgb="FF1F4E78"/>
        <rFont val="Arial"/>
        <family val="2"/>
        <charset val="1"/>
      </rPr>
      <t xml:space="preserve">27</t>
    </r>
    <r>
      <rPr>
        <b val="true"/>
        <sz val="12"/>
        <color rgb="FF1F4E78"/>
        <rFont val="WenQuanYi Zen Hei"/>
        <family val="2"/>
      </rPr>
      <t xml:space="preserve">日午後以降しか使えないため設営不可、持込</t>
    </r>
    <r>
      <rPr>
        <b val="true"/>
        <sz val="12"/>
        <color rgb="FF1F4E78"/>
        <rFont val="Arial"/>
        <family val="2"/>
        <charset val="1"/>
      </rPr>
      <t xml:space="preserve">PC</t>
    </r>
    <r>
      <rPr>
        <b val="true"/>
        <sz val="12"/>
        <color rgb="FF1F4E78"/>
        <rFont val="WenQuanYi Zen Hei"/>
        <family val="2"/>
      </rPr>
      <t xml:space="preserve">での接続テストのみ）</t>
    </r>
  </si>
  <si>
    <t xml:space="preserve">7:00</t>
  </si>
  <si>
    <t xml:space="preserve">8:00</t>
  </si>
  <si>
    <t xml:space="preserve">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</si>
  <si>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</si>
  <si>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</si>
  <si>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</si>
  <si>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</si>
  <si>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</si>
  <si>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</si>
  <si>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</si>
  <si>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</si>
  <si>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</si>
  <si>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</si>
  <si>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</si>
  <si>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</si>
  <si>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</si>
  <si>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参加者到着(Dorsett): 07:15モルディブ/08:10スリランカ/08:45アルメニア・トルコ・ウズベキスタン/11:15パキスタン/11:20インドネシア</t>
  </si>
  <si>
    <t xml:space="preserve">到着: 12:20マレーシア/14:30ブルネイ/14:50タイ/15:10ミャンマー</t>
  </si>
  <si>
    <t xml:space="preserve">大使公邸 設営（名札セット持込・受付配置）</t>
  </si>
  <si>
    <t xml:space="preserve">レセプション 18:30開始(大使挨拶・乾杯・内閣府発表) 20:00中締め</t>
  </si>
  <si>
    <t xml:space="preserve">撤収</t>
  </si>
  <si>
    <t xml:space="preserve">レセプション出席(VIP)</t>
  </si>
  <si>
    <t xml:space="preserve">会場下見(全員 9-11)→事前ブリーフィング(荒木田)</t>
  </si>
  <si>
    <t xml:space="preserve">会場下見(全員 9-11)→COSEM・内閣府調整（出迎え不要）</t>
  </si>
  <si>
    <t xml:space="preserve">レセプション(大使・内閣府対応)</t>
  </si>
  <si>
    <t xml:space="preserve">会場下見(全員 9-11)→公邸・ケータリング最終確認</t>
  </si>
  <si>
    <t xml:space="preserve">公邸設営・MC進行確認</t>
  </si>
  <si>
    <r>
      <rPr>
        <sz val="8"/>
        <color rgb="FF000000"/>
        <rFont val="Arial"/>
        <family val="2"/>
        <charset val="1"/>
      </rPr>
      <t xml:space="preserve">MC/</t>
    </r>
    <r>
      <rPr>
        <sz val="8"/>
        <color rgb="FF000000"/>
        <rFont val="WenQuanYi Zen Hei"/>
        <family val="2"/>
      </rPr>
      <t xml:space="preserve">進行</t>
    </r>
  </si>
  <si>
    <t xml:space="preserve">会場下見引率(全員 9-11)</t>
  </si>
  <si>
    <t xml:space="preserve">→北本ブリーフ(11:00-)</t>
  </si>
  <si>
    <t xml:space="preserve">機材・Zoom・AI通訳準備／日本側(中村・山口)と接続テスト②(JST14-17)</t>
  </si>
  <si>
    <t xml:space="preserve">公邸設営・運営・撤収</t>
  </si>
  <si>
    <t xml:space="preserve">公邸受付準備</t>
  </si>
  <si>
    <t xml:space="preserve">受付/進行補佐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</si>
  <si>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到着者対応</t>
    </r>
    <r>
      <rPr>
        <sz val="8"/>
        <color rgb="FF000000"/>
        <rFont val="Arial"/>
        <family val="2"/>
        <charset val="1"/>
      </rPr>
      <t xml:space="preserve">)</t>
    </r>
    <r>
      <rPr>
        <sz val="8"/>
        <color rgb="FF000000"/>
        <rFont val="WenQuanYi Zen Hei"/>
        <family val="2"/>
      </rPr>
      <t xml:space="preserve">／下見は交代で</t>
    </r>
  </si>
  <si>
    <t xml:space="preserve">公邸受付準備(名札セット)</t>
  </si>
  <si>
    <t xml:space="preserve">受付/名札配布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</si>
  <si>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到着者・送迎確認</t>
    </r>
    <r>
      <rPr>
        <sz val="8"/>
        <color rgb="FF000000"/>
        <rFont val="Arial"/>
        <family val="2"/>
        <charset val="1"/>
      </rPr>
      <t xml:space="preserve">)</t>
    </r>
    <r>
      <rPr>
        <sz val="8"/>
        <color rgb="FF000000"/>
        <rFont val="WenQuanYi Zen Hei"/>
        <family val="2"/>
      </rPr>
      <t xml:space="preserve">／下見は交代で</t>
    </r>
  </si>
  <si>
    <t xml:space="preserve">会場下見(全員 9-11)→Japan Pavilion確認</t>
  </si>
  <si>
    <t xml:space="preserve">機材準備／日本側と接続テスト②(録画・Q&amp;A確認)</t>
  </si>
  <si>
    <t xml:space="preserve">レセプション(設営補助)</t>
  </si>
  <si>
    <t xml:space="preserve">会場下見(全員 9-11)→RT/Summary準備</t>
  </si>
  <si>
    <t xml:space="preserve">公邸設営補助</t>
  </si>
  <si>
    <t xml:space="preserve">レセプション</t>
  </si>
  <si>
    <t xml:space="preserve">会場下見(全員 9-11)→登壇者連絡・接続テスト</t>
  </si>
  <si>
    <t xml:space="preserve">会場下見・動線確認(全員)</t>
  </si>
  <si>
    <r>
      <rPr>
        <sz val="8"/>
        <rFont val="Arial"/>
        <family val="0"/>
        <charset val="1"/>
      </rPr>
      <t xml:space="preserve">SC</t>
    </r>
    <r>
      <rPr>
        <sz val="8"/>
        <rFont val="WenQuanYi Zen Hei"/>
        <family val="2"/>
      </rPr>
      <t xml:space="preserve">資料準備</t>
    </r>
  </si>
  <si>
    <t xml:space="preserve">会場下見(全員 9-11)→公邸・ケータリング最終確認/撮影準備</t>
  </si>
  <si>
    <t xml:space="preserve">写真</t>
  </si>
  <si>
    <t xml:space="preserve">会場下見(全員 9-11)→到着者対応(ウズベキスタン等)</t>
  </si>
  <si>
    <t xml:space="preserve">レセプション受付補助</t>
  </si>
  <si>
    <t xml:space="preserve">稼働人数(自動)</t>
  </si>
  <si>
    <t xml:space="preserve">※稼働人数は各30分列で「文字が入っている先頭セル」のみを数えるため、結合セルの2列目以降は0扱い。人数の目安として『同時刻に業務が始まる人数』を示す（正確な在場人数は動態表(日別)を参照）。</t>
  </si>
  <si>
    <t xml:space="preserve">ギャップ: (1) 18:30-21:00に受付(名札セット配布100-120名)・MC・VIP対応・写真・バス誘導(Dorsett→公邸)が同時発生。受付2名(藤中・田中)＋吉田で名札配布、写真担当が空白。(2) 27日午前は全員で会場下見のため、Dorsettは藤中・田中のみ。午後はDorsett到着対応と公邸設営準備が並行し、荒木田・池田は機材、児玉は公邸に張り付くため、Dorsettに残るのは藤中・田中の2名のみ。</t>
  </si>
  <si>
    <t xml:space="preserve">日本側サポート（神戸）※列はシンガポール時間、JSTは+1時間</t>
  </si>
  <si>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通訳ツール最終設定 </t>
    </r>
    <r>
      <rPr>
        <sz val="8"/>
        <rFont val="Arial"/>
        <family val="2"/>
        <charset val="1"/>
      </rPr>
      <t xml:space="preserve">(JST10-13)</t>
    </r>
  </si>
  <si>
    <t xml:space="preserve">接続テスト②: Webinar/Zoomホスト設定・現地(荒木田・池田)と接続 (JST14-17)</t>
  </si>
  <si>
    <t xml:space="preserve">接続テスト②参加・録画リハ</t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</si>
  <si>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設定・ホスト</t>
    </r>
    <r>
      <rPr>
        <sz val="8"/>
        <rFont val="Arial"/>
        <family val="2"/>
        <charset val="1"/>
      </rPr>
      <t xml:space="preserve">/</t>
    </r>
    <r>
      <rPr>
        <sz val="8"/>
        <rFont val="WenQuanYi Zen Hei"/>
        <family val="2"/>
      </rPr>
      <t xml:space="preserve">録画確認 ※仮置き</t>
    </r>
  </si>
  <si>
    <t xml:space="preserve">※寺坂・伊達はACDR2025の実績（録画日英2台・Webinarホスト確認）に基づく仮置き。WebinarとZoomはクラウド録画をバックアップとし、ローカルにも保存（2025年運用）。</t>
  </si>
  <si>
    <t xml:space="preserve">28 OCT 2026 (WED)  Day 1: Joint Opening / ACDR Opening / Roundtable / SC / Gala Dinner</t>
  </si>
  <si>
    <t xml:space="preserve">会場・NW最終テスト(演台・客席・事務局部屋)／事務局部屋立上げ／Hotel Mi→EXPO バス</t>
  </si>
  <si>
    <t xml:space="preserve">Joint Opening (Hall 3)</t>
  </si>
  <si>
    <r>
      <rPr>
        <sz val="8"/>
        <color rgb="FF000000"/>
        <rFont val="Arial"/>
        <family val="2"/>
        <charset val="1"/>
      </rPr>
      <t xml:space="preserve">VIP Tour(Japan Pavilion Opening)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11:15</t>
    </r>
    <r>
      <rPr>
        <sz val="8"/>
        <color rgb="FF000000"/>
        <rFont val="WenQuanYi Zen Hei"/>
        <family val="2"/>
      </rPr>
      <t xml:space="preserve">表敬</t>
    </r>
  </si>
  <si>
    <t xml:space="preserve">Lunch (Hall 3)</t>
  </si>
  <si>
    <t xml:space="preserve">ACDR Opening</t>
  </si>
  <si>
    <r>
      <rPr>
        <sz val="8"/>
        <color rgb="FF000000"/>
        <rFont val="Arial"/>
        <family val="2"/>
        <charset val="1"/>
      </rPr>
      <t xml:space="preserve">Roundtable (Peridot) SCDF</t>
    </r>
    <r>
      <rPr>
        <sz val="8"/>
        <color rgb="FF000000"/>
        <rFont val="WenQuanYi Zen Hei"/>
        <family val="2"/>
      </rPr>
      <t xml:space="preserve">モデレーター</t>
    </r>
    <r>
      <rPr>
        <sz val="8"/>
        <color rgb="FF000000"/>
        <rFont val="Arial"/>
        <family val="2"/>
        <charset val="1"/>
      </rPr>
      <t xml:space="preserve">+</t>
    </r>
    <r>
      <rPr>
        <sz val="8"/>
        <color rgb="FF000000"/>
        <rFont val="WenQuanYi Zen Hei"/>
        <family val="2"/>
      </rPr>
      <t xml:space="preserve">メンバー国</t>
    </r>
    <r>
      <rPr>
        <sz val="8"/>
        <color rgb="FF000000"/>
        <rFont val="Arial"/>
        <family val="2"/>
        <charset val="1"/>
      </rPr>
      <t xml:space="preserve">Co-Mod</t>
    </r>
  </si>
  <si>
    <t xml:space="preserve">Steering Committee</t>
  </si>
  <si>
    <r>
      <rPr>
        <sz val="8"/>
        <color rgb="FF000000"/>
        <rFont val="Arial"/>
        <family val="2"/>
        <charset val="1"/>
      </rPr>
      <t xml:space="preserve">Dorsett 17:30</t>
    </r>
    <r>
      <rPr>
        <sz val="8"/>
        <color rgb="FF000000"/>
        <rFont val="WenQuanYi Zen Hei"/>
        <family val="2"/>
      </rPr>
      <t xml:space="preserve">発→</t>
    </r>
    <r>
      <rPr>
        <sz val="8"/>
        <color rgb="FF000000"/>
        <rFont val="Arial"/>
        <family val="2"/>
        <charset val="1"/>
      </rPr>
      <t xml:space="preserve">Orchard Hotel</t>
    </r>
  </si>
  <si>
    <t xml:space="preserve">SIDEX Gala Dinner (Grand Ballroom)</t>
  </si>
  <si>
    <r>
      <rPr>
        <sz val="8"/>
        <color rgb="FF000000"/>
        <rFont val="Arial"/>
        <family val="2"/>
        <charset val="1"/>
      </rPr>
      <t xml:space="preserve">ACDR Opening </t>
    </r>
    <r>
      <rPr>
        <sz val="8"/>
        <color rgb="FF000000"/>
        <rFont val="WenQuanYi Zen Hei"/>
        <family val="2"/>
      </rPr>
      <t xml:space="preserve">挨拶</t>
    </r>
  </si>
  <si>
    <t xml:space="preserve">Roundtable</t>
  </si>
  <si>
    <t xml:space="preserve">SC</t>
  </si>
  <si>
    <t xml:space="preserve">Gala</t>
  </si>
  <si>
    <t xml:space="preserve">Opening/Roundtable</t>
  </si>
  <si>
    <t xml:space="preserve">Opening/VIP Tour(内閣府に同行、随行ではない)</t>
  </si>
  <si>
    <r>
      <rPr>
        <sz val="8"/>
        <color rgb="FF000000"/>
        <rFont val="Arial"/>
        <family val="2"/>
        <charset val="1"/>
      </rPr>
      <t xml:space="preserve">Opening/RT(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</si>
  <si>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SC(</t>
    </r>
    <r>
      <rPr>
        <sz val="8"/>
        <color rgb="FF000000"/>
        <rFont val="WenQuanYi Zen Hei"/>
        <family val="2"/>
      </rPr>
      <t xml:space="preserve">議長</t>
    </r>
    <r>
      <rPr>
        <sz val="8"/>
        <color rgb="FF000000"/>
        <rFont val="Arial"/>
        <family val="2"/>
        <charset val="1"/>
      </rPr>
      <t xml:space="preserve">=</t>
    </r>
    <r>
      <rPr>
        <sz val="8"/>
        <color rgb="FF000000"/>
        <rFont val="WenQuanYi Zen Hei"/>
        <family val="2"/>
      </rPr>
      <t xml:space="preserve">内閣府 補佐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</si>
  <si>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Gala(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</si>
  <si>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t xml:space="preserve">会場テスト/事務局部屋</t>
  </si>
  <si>
    <t xml:space="preserve">COSEM調整・VIP動線(臨機応変)</t>
  </si>
  <si>
    <r>
      <rPr>
        <sz val="8"/>
        <color rgb="FF000000"/>
        <rFont val="Arial"/>
        <family val="2"/>
        <charset val="1"/>
      </rPr>
      <t xml:space="preserve">RT(</t>
    </r>
    <r>
      <rPr>
        <sz val="8"/>
        <color rgb="FF000000"/>
        <rFont val="WenQuanYi Zen Hei"/>
        <family val="2"/>
      </rPr>
      <t xml:space="preserve">バイ会談調整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</si>
  <si>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Gala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バス</t>
    </r>
    <r>
      <rPr>
        <sz val="8"/>
        <color rgb="FF000000"/>
        <rFont val="Arial"/>
        <family val="2"/>
        <charset val="1"/>
      </rPr>
      <t xml:space="preserve">)</t>
    </r>
  </si>
  <si>
    <t xml:space="preserve">会場・NW・Zoom・AI通訳テスト／日本側と接続確認</t>
  </si>
  <si>
    <r>
      <rPr>
        <sz val="8"/>
        <color rgb="FF000000"/>
        <rFont val="Arial"/>
        <family val="2"/>
        <charset val="1"/>
      </rPr>
      <t xml:space="preserve">Opening</t>
    </r>
    <r>
      <rPr>
        <sz val="8"/>
        <color rgb="FF000000"/>
        <rFont val="WenQuanYi Zen Hei"/>
        <family val="2"/>
      </rPr>
      <t xml:space="preserve">進行確認</t>
    </r>
    <r>
      <rPr>
        <sz val="8"/>
        <color rgb="FF000000"/>
        <rFont val="Arial"/>
        <family val="2"/>
        <charset val="1"/>
      </rPr>
      <t xml:space="preserve">/VIP Tour</t>
    </r>
    <r>
      <rPr>
        <sz val="8"/>
        <color rgb="FF000000"/>
        <rFont val="WenQuanYi Zen Hei"/>
        <family val="2"/>
      </rPr>
      <t xml:space="preserve">同行</t>
    </r>
  </si>
  <si>
    <r>
      <rPr>
        <sz val="8"/>
        <color rgb="FF000000"/>
        <rFont val="Arial"/>
        <family val="2"/>
        <charset val="1"/>
      </rPr>
      <t xml:space="preserve">ACDR Opening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</si>
  <si>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RT AV/Zoom</t>
    </r>
    <r>
      <rPr>
        <sz val="8"/>
        <color rgb="FF000000"/>
        <rFont val="WenQuanYi Zen Hei"/>
        <family val="2"/>
      </rPr>
      <t xml:space="preserve">運用</t>
    </r>
  </si>
  <si>
    <r>
      <rPr>
        <sz val="8"/>
        <color rgb="FF000000"/>
        <rFont val="Arial"/>
        <family val="2"/>
        <charset val="1"/>
      </rPr>
      <t xml:space="preserve">SC(</t>
    </r>
    <r>
      <rPr>
        <sz val="8"/>
        <color rgb="FF000000"/>
        <rFont val="WenQuanYi Zen Hei"/>
        <family val="2"/>
      </rPr>
      <t xml:space="preserve">記録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</si>
  <si>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準備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ステートメント・席札</t>
    </r>
    <r>
      <rPr>
        <sz val="8"/>
        <color rgb="FF000000"/>
        <rFont val="Arial"/>
        <family val="2"/>
        <charset val="1"/>
      </rPr>
      <t xml:space="preserve">)</t>
    </r>
  </si>
  <si>
    <t xml:space="preserve">参加者誘導(Hall3→昼食)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</si>
  <si>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(PIC)</t>
    </r>
  </si>
  <si>
    <r>
      <rPr>
        <sz val="8"/>
        <color rgb="FF000000"/>
        <rFont val="Arial"/>
        <family val="2"/>
        <charset val="1"/>
      </rPr>
      <t xml:space="preserve">SC</t>
    </r>
    <r>
      <rPr>
        <sz val="8"/>
        <color rgb="FF000000"/>
        <rFont val="WenQuanYi Zen Hei"/>
        <family val="2"/>
      </rPr>
      <t xml:space="preserve">補助</t>
    </r>
  </si>
  <si>
    <r>
      <rPr>
        <sz val="8"/>
        <color rgb="FF000000"/>
        <rFont val="Arial"/>
        <family val="2"/>
        <charset val="1"/>
      </rPr>
      <t xml:space="preserve">Gala</t>
    </r>
    <r>
      <rPr>
        <sz val="8"/>
        <color rgb="FF000000"/>
        <rFont val="WenQuanYi Zen Hei"/>
        <family val="2"/>
      </rPr>
      <t xml:space="preserve">引率</t>
    </r>
  </si>
  <si>
    <t xml:space="preserve">受付デスク設営・運営(Peridot)</t>
  </si>
  <si>
    <t xml:space="preserve">受付/RT</t>
  </si>
  <si>
    <r>
      <rPr>
        <sz val="8"/>
        <color rgb="FF000000"/>
        <rFont val="Arial"/>
        <family val="2"/>
        <charset val="1"/>
      </rPr>
      <t xml:space="preserve">SC</t>
    </r>
    <r>
      <rPr>
        <sz val="8"/>
        <color rgb="FF000000"/>
        <rFont val="WenQuanYi Zen Hei"/>
        <family val="2"/>
      </rPr>
      <t xml:space="preserve">事務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会計報告</t>
    </r>
    <r>
      <rPr>
        <sz val="8"/>
        <color rgb="FF000000"/>
        <rFont val="Arial"/>
        <family val="2"/>
        <charset val="1"/>
      </rPr>
      <t xml:space="preserve">)</t>
    </r>
  </si>
  <si>
    <t xml:space="preserve">受付</t>
  </si>
  <si>
    <r>
      <rPr>
        <sz val="8"/>
        <color rgb="FF000000"/>
        <rFont val="Arial"/>
        <family val="2"/>
        <charset val="1"/>
      </rPr>
      <t xml:space="preserve">Gala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名簿</t>
    </r>
    <r>
      <rPr>
        <sz val="8"/>
        <color rgb="FF000000"/>
        <rFont val="Arial"/>
        <family val="2"/>
        <charset val="1"/>
      </rPr>
      <t xml:space="preserve">)</t>
    </r>
  </si>
  <si>
    <t xml:space="preserve">会場AVテスト／日本側と接続確認</t>
  </si>
  <si>
    <r>
      <rPr>
        <sz val="8"/>
        <color rgb="FF000000"/>
        <rFont val="Arial"/>
        <family val="2"/>
        <charset val="1"/>
      </rPr>
      <t xml:space="preserve">Japan Pavilion</t>
    </r>
    <r>
      <rPr>
        <sz val="8"/>
        <color rgb="FF000000"/>
        <rFont val="WenQuanYi Zen Hei"/>
        <family val="2"/>
      </rPr>
      <t xml:space="preserve">連携</t>
    </r>
  </si>
  <si>
    <r>
      <rPr>
        <sz val="8"/>
        <color rgb="FF000000"/>
        <rFont val="Arial"/>
        <family val="2"/>
        <charset val="1"/>
      </rPr>
      <t xml:space="preserve">RT PC</t>
    </r>
    <r>
      <rPr>
        <sz val="8"/>
        <color rgb="FF000000"/>
        <rFont val="WenQuanYi Zen Hei"/>
        <family val="2"/>
      </rPr>
      <t xml:space="preserve">・スクリーン操作</t>
    </r>
  </si>
  <si>
    <t xml:space="preserve">SC(AV)</t>
  </si>
  <si>
    <t xml:space="preserve">事務局部屋・受付デスク設営</t>
  </si>
  <si>
    <t xml:space="preserve">受付デスク設営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</si>
  <si>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共同運営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ノート</t>
    </r>
  </si>
  <si>
    <r>
      <rPr>
        <sz val="8"/>
        <color rgb="FF000000"/>
        <rFont val="Arial"/>
        <family val="2"/>
        <charset val="1"/>
      </rPr>
      <t xml:space="preserve">SC</t>
    </r>
    <r>
      <rPr>
        <sz val="8"/>
        <color rgb="FF000000"/>
        <rFont val="WenQuanYi Zen Hei"/>
        <family val="2"/>
      </rPr>
      <t xml:space="preserve">メモ</t>
    </r>
  </si>
  <si>
    <r>
      <rPr>
        <sz val="8"/>
        <color rgb="FF000000"/>
        <rFont val="Arial"/>
        <family val="2"/>
        <charset val="1"/>
      </rPr>
      <t xml:space="preserve">Draft Summary</t>
    </r>
    <r>
      <rPr>
        <sz val="8"/>
        <color rgb="FF000000"/>
        <rFont val="WenQuanYi Zen Hei"/>
        <family val="2"/>
      </rPr>
      <t xml:space="preserve">執筆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</si>
  <si>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翌日登壇者対応</t>
    </r>
  </si>
  <si>
    <t xml:space="preserve">登壇者リハ調整</t>
  </si>
  <si>
    <t xml:space="preserve">事務局部屋設営</t>
  </si>
  <si>
    <t xml:space="preserve">Joint Opening</t>
  </si>
  <si>
    <t xml:space="preserve">ACDR Opening/RT</t>
  </si>
  <si>
    <r>
      <rPr>
        <sz val="8"/>
        <rFont val="Arial"/>
        <family val="0"/>
        <charset val="1"/>
      </rPr>
      <t xml:space="preserve">SC</t>
    </r>
    <r>
      <rPr>
        <sz val="8"/>
        <rFont val="WenQuanYi Zen Hei"/>
        <family val="2"/>
      </rPr>
      <t xml:space="preserve">事務</t>
    </r>
    <r>
      <rPr>
        <sz val="8"/>
        <rFont val="Arial"/>
        <family val="0"/>
        <charset val="1"/>
      </rPr>
      <t xml:space="preserve">(</t>
    </r>
    <r>
      <rPr>
        <sz val="8"/>
        <rFont val="WenQuanYi Zen Hei"/>
        <family val="2"/>
      </rPr>
      <t xml:space="preserve">議案・進行・会計報告</t>
    </r>
    <r>
      <rPr>
        <sz val="8"/>
        <rFont val="Arial"/>
        <family val="0"/>
        <charset val="1"/>
      </rPr>
      <t xml:space="preserve">)</t>
    </r>
  </si>
  <si>
    <t xml:space="preserve">Zoom/AI翻訳セットアップ</t>
  </si>
  <si>
    <t xml:space="preserve">写真/誘導</t>
  </si>
  <si>
    <t xml:space="preserve">Zoom・AI翻訳オペ/写真</t>
  </si>
  <si>
    <t xml:space="preserve">Gala(写真)</t>
  </si>
  <si>
    <t xml:space="preserve">参加者誘導</t>
  </si>
  <si>
    <t xml:space="preserve">RT記録</t>
  </si>
  <si>
    <t xml:space="preserve">SC記録補助</t>
  </si>
  <si>
    <t xml:space="preserve">ギャップ: (1) 07:30-09:30 会場テストと同時にHotel Mi→EXPOバス・Dorsett出発対応が必要だが、機材担当(荒木田・池田)がテスト、事務局・受付設営はGerry・Mizan・塩見(推奨)・森口が担当。(2) 10:00-11:45 Hall3(Opening/VIP Tour)とPeridot(受付・設営)に分かれ、VIP随行(宮木・児玉・荒木田)が抜ける間のPeridot側は藤中・田中・吉田のみ。(3) Roundtable中はAV/Zoom(荒木田・池田)、進行(吉田・Gerry)、ノート(Gerry・Mizan)、受付(藤中・田中)で全員が張り付き、写真・バイ会談・急病等の予備要員がゼロ。(4) Gala出発17:30はSC終了16:45の45分後で、撤収要員が不足。</t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</si>
  <si>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起動・</t>
    </r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通訳・現地接続確認 </t>
    </r>
    <r>
      <rPr>
        <sz val="8"/>
        <rFont val="Arial"/>
        <family val="2"/>
        <charset val="1"/>
      </rPr>
      <t xml:space="preserve">(JST9-10:30)</t>
    </r>
  </si>
  <si>
    <r>
      <rPr>
        <sz val="8"/>
        <rFont val="Arial"/>
        <family val="2"/>
        <charset val="1"/>
      </rPr>
      <t xml:space="preserve">ACDR Opening/RT: Q&amp;A</t>
    </r>
    <r>
      <rPr>
        <sz val="8"/>
        <rFont val="WenQuanYi Zen Hei"/>
        <family val="2"/>
      </rPr>
      <t xml:space="preserve">・コメント確認・</t>
    </r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通訳監視</t>
    </r>
  </si>
  <si>
    <r>
      <rPr>
        <sz val="8"/>
        <rFont val="Arial"/>
        <family val="2"/>
        <charset val="1"/>
      </rPr>
      <t xml:space="preserve">SC: Zoom</t>
    </r>
    <r>
      <rPr>
        <sz val="8"/>
        <rFont val="WenQuanYi Zen Hei"/>
        <family val="2"/>
      </rPr>
      <t xml:space="preserve">設定・</t>
    </r>
    <r>
      <rPr>
        <sz val="8"/>
        <rFont val="Arial"/>
        <family val="2"/>
        <charset val="1"/>
      </rPr>
      <t xml:space="preserve">Q&amp;A</t>
    </r>
    <r>
      <rPr>
        <sz val="8"/>
        <rFont val="WenQuanYi Zen Hei"/>
        <family val="2"/>
      </rPr>
      <t xml:space="preserve">確認</t>
    </r>
  </si>
  <si>
    <t xml:space="preserve">録画準備</t>
  </si>
  <si>
    <r>
      <rPr>
        <sz val="8"/>
        <rFont val="Arial"/>
        <family val="2"/>
        <charset val="1"/>
      </rPr>
      <t xml:space="preserve">Opening/RT </t>
    </r>
    <r>
      <rPr>
        <sz val="8"/>
        <rFont val="WenQuanYi Zen Hei"/>
        <family val="2"/>
      </rPr>
      <t xml:space="preserve">録画・オンライン質疑取次</t>
    </r>
  </si>
  <si>
    <r>
      <rPr>
        <sz val="8"/>
        <rFont val="Arial"/>
        <family val="2"/>
        <charset val="1"/>
      </rPr>
      <t xml:space="preserve">SC </t>
    </r>
    <r>
      <rPr>
        <sz val="8"/>
        <rFont val="WenQuanYi Zen Hei"/>
        <family val="2"/>
      </rPr>
      <t xml:space="preserve">録画</t>
    </r>
  </si>
  <si>
    <t xml:space="preserve">録画(日英2台)ローカル保存 ※仮置き</t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</si>
  <si>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ホスト・録画確認 ※仮置き</t>
    </r>
  </si>
  <si>
    <r>
      <rPr>
        <sz val="8"/>
        <rFont val="Arial"/>
        <family val="2"/>
        <charset val="1"/>
      </rPr>
      <t xml:space="preserve">SC Zoom</t>
    </r>
    <r>
      <rPr>
        <sz val="8"/>
        <rFont val="WenQuanYi Zen Hei"/>
        <family val="2"/>
      </rPr>
      <t xml:space="preserve">設定 ※仮置き</t>
    </r>
  </si>
  <si>
    <r>
      <rPr>
        <b val="true"/>
        <sz val="12"/>
        <color rgb="FF1F4E78"/>
        <rFont val="Arial"/>
        <family val="2"/>
        <charset val="1"/>
      </rPr>
      <t xml:space="preserve">29 OCT 2026 (THU)  Day 2: Technical Session / Closing / Field Trip (CDA) / SCDF Parade &amp; Dinner</t>
    </r>
    <r>
      <rPr>
        <b val="true"/>
        <sz val="12"/>
        <color rgb="FF1F4E78"/>
        <rFont val="WenQuanYi Zen Hei"/>
        <family val="2"/>
      </rPr>
      <t xml:space="preserve">　※</t>
    </r>
    <r>
      <rPr>
        <b val="true"/>
        <sz val="12"/>
        <color rgb="FF1F4E78"/>
        <rFont val="Arial"/>
        <family val="2"/>
        <charset val="1"/>
      </rPr>
      <t xml:space="preserve">28</t>
    </r>
    <r>
      <rPr>
        <b val="true"/>
        <sz val="12"/>
        <color rgb="FF1F4E78"/>
        <rFont val="WenQuanYi Zen Hei"/>
        <family val="2"/>
      </rPr>
      <t xml:space="preserve">日は</t>
    </r>
    <r>
      <rPr>
        <b val="true"/>
        <sz val="12"/>
        <color rgb="FF1F4E78"/>
        <rFont val="Arial"/>
        <family val="2"/>
        <charset val="1"/>
      </rPr>
      <t xml:space="preserve">SCDF</t>
    </r>
    <r>
      <rPr>
        <b val="true"/>
        <sz val="12"/>
        <color rgb="FF1F4E78"/>
        <rFont val="WenQuanYi Zen Hei"/>
        <family val="2"/>
      </rPr>
      <t xml:space="preserve">側が</t>
    </r>
    <r>
      <rPr>
        <b val="true"/>
        <sz val="12"/>
        <color rgb="FF1F4E78"/>
        <rFont val="Arial"/>
        <family val="2"/>
        <charset val="1"/>
      </rPr>
      <t xml:space="preserve">Dorsett→</t>
    </r>
    <r>
      <rPr>
        <b val="true"/>
        <sz val="12"/>
        <color rgb="FF1F4E78"/>
        <rFont val="WenQuanYi Zen Hei"/>
        <family val="2"/>
      </rPr>
      <t xml:space="preserve">会場を引率、</t>
    </r>
    <r>
      <rPr>
        <b val="true"/>
        <sz val="12"/>
        <color rgb="FF1F4E78"/>
        <rFont val="Arial"/>
        <family val="2"/>
        <charset val="1"/>
      </rPr>
      <t xml:space="preserve">29</t>
    </r>
    <r>
      <rPr>
        <b val="true"/>
        <sz val="12"/>
        <color rgb="FF1F4E78"/>
        <rFont val="WenQuanYi Zen Hei"/>
        <family val="2"/>
      </rPr>
      <t xml:space="preserve">・</t>
    </r>
    <r>
      <rPr>
        <b val="true"/>
        <sz val="12"/>
        <color rgb="FF1F4E78"/>
        <rFont val="Arial"/>
        <family val="2"/>
        <charset val="1"/>
      </rPr>
      <t xml:space="preserve">30</t>
    </r>
    <r>
      <rPr>
        <b val="true"/>
        <sz val="12"/>
        <color rgb="FF1F4E78"/>
        <rFont val="WenQuanYi Zen Hei"/>
        <family val="2"/>
      </rPr>
      <t xml:space="preserve">日は</t>
    </r>
    <r>
      <rPr>
        <b val="true"/>
        <sz val="12"/>
        <color rgb="FF1F4E78"/>
        <rFont val="Arial"/>
        <family val="2"/>
        <charset val="1"/>
      </rPr>
      <t xml:space="preserve">ADRC</t>
    </r>
    <r>
      <rPr>
        <b val="true"/>
        <sz val="12"/>
        <color rgb="FF1F4E78"/>
        <rFont val="WenQuanYi Zen Hei"/>
        <family val="2"/>
      </rPr>
      <t xml:space="preserve">側で誘導。パレード前はホテルで着替え後</t>
    </r>
    <r>
      <rPr>
        <b val="true"/>
        <sz val="12"/>
        <color rgb="FF1F4E78"/>
        <rFont val="Arial"/>
        <family val="2"/>
        <charset val="1"/>
      </rPr>
      <t xml:space="preserve">EXPO</t>
    </r>
    <r>
      <rPr>
        <b val="true"/>
        <sz val="12"/>
        <color rgb="FF1F4E78"/>
        <rFont val="WenQuanYi Zen Hei"/>
        <family val="2"/>
      </rPr>
      <t xml:space="preserve">へ再移動（誘導要）</t>
    </r>
  </si>
  <si>
    <t xml:space="preserve">会場準備(ステージ前方へ・テーブルマイク)／登壇者集合・接続確認</t>
  </si>
  <si>
    <t xml:space="preserve">Technical Session (Peridot) SCDF+ADRC Co-Chair</t>
  </si>
  <si>
    <t xml:space="preserve">Summary &amp; Closing</t>
  </si>
  <si>
    <t xml:space="preserve">Lunch</t>
  </si>
  <si>
    <r>
      <rPr>
        <sz val="8"/>
        <color rgb="FF000000"/>
        <rFont val="Arial"/>
        <family val="2"/>
        <charset val="1"/>
      </rPr>
      <t xml:space="preserve">Field Trip: Civil Defence Academy</t>
    </r>
    <r>
      <rPr>
        <sz val="8"/>
        <color rgb="FF000000"/>
        <rFont val="WenQuanYi Zen Hei"/>
        <family val="2"/>
      </rPr>
      <t xml:space="preserve">（</t>
    </r>
    <r>
      <rPr>
        <sz val="8"/>
        <color rgb="FF000000"/>
        <rFont val="Arial"/>
        <family val="2"/>
        <charset val="1"/>
      </rPr>
      <t xml:space="preserve">Flyer 8/26</t>
    </r>
    <r>
      <rPr>
        <sz val="8"/>
        <color rgb="FF000000"/>
        <rFont val="WenQuanYi Zen Hei"/>
        <family val="2"/>
      </rPr>
      <t xml:space="preserve">版は</t>
    </r>
    <r>
      <rPr>
        <sz val="8"/>
        <color rgb="FF000000"/>
        <rFont val="Arial"/>
        <family val="2"/>
        <charset val="1"/>
      </rPr>
      <t xml:space="preserve">13:00</t>
    </r>
    <r>
      <rPr>
        <sz val="8"/>
        <color rgb="FF000000"/>
        <rFont val="WenQuanYi Zen Hei"/>
        <family val="2"/>
      </rPr>
      <t xml:space="preserve">発）</t>
    </r>
  </si>
  <si>
    <t xml:space="preserve">SCDF Parade (Hall 4)</t>
  </si>
  <si>
    <t xml:space="preserve">Parade Dinner (Garnet Room)</t>
  </si>
  <si>
    <t xml:space="preserve">Field Trip</t>
  </si>
  <si>
    <t xml:space="preserve">Parade &amp; Dinner</t>
  </si>
  <si>
    <r>
      <rPr>
        <sz val="8"/>
        <color rgb="FF000000"/>
        <rFont val="Arial"/>
        <family val="2"/>
        <charset val="1"/>
      </rPr>
      <t xml:space="preserve">Tech Session/Closing(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</si>
  <si>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t xml:space="preserve">会場準備</t>
  </si>
  <si>
    <r>
      <rPr>
        <sz val="8"/>
        <color rgb="FF000000"/>
        <rFont val="Arial"/>
        <family val="2"/>
        <charset val="1"/>
      </rPr>
      <t xml:space="preserve">Tech Session(</t>
    </r>
    <r>
      <rPr>
        <sz val="8"/>
        <color rgb="FF000000"/>
        <rFont val="WenQuanYi Zen Hei"/>
        <family val="2"/>
      </rPr>
      <t xml:space="preserve">バイ会談調整</t>
    </r>
    <r>
      <rPr>
        <sz val="8"/>
        <color rgb="FF000000"/>
        <rFont val="Arial"/>
        <family val="2"/>
        <charset val="1"/>
      </rPr>
      <t xml:space="preserve">)</t>
    </r>
  </si>
  <si>
    <t xml:space="preserve">事務局撤収(藤中と2名)/バイ会談</t>
  </si>
  <si>
    <r>
      <rPr>
        <sz val="8"/>
        <color rgb="FF000000"/>
        <rFont val="Arial"/>
        <family val="2"/>
        <charset val="1"/>
      </rPr>
      <t xml:space="preserve">AV/Zoom</t>
    </r>
    <r>
      <rPr>
        <sz val="8"/>
        <color rgb="FF000000"/>
        <rFont val="WenQuanYi Zen Hei"/>
        <family val="2"/>
      </rPr>
      <t xml:space="preserve">準備・登壇者確認／日本側と接続確認</t>
    </r>
  </si>
  <si>
    <r>
      <rPr>
        <sz val="8"/>
        <color rgb="FF000000"/>
        <rFont val="Arial"/>
        <family val="2"/>
        <charset val="1"/>
      </rPr>
      <t xml:space="preserve">Tech Session AV/Zoom</t>
    </r>
    <r>
      <rPr>
        <sz val="8"/>
        <color rgb="FF000000"/>
        <rFont val="WenQuanYi Zen Hei"/>
        <family val="2"/>
      </rPr>
      <t xml:space="preserve">運用</t>
    </r>
  </si>
  <si>
    <r>
      <rPr>
        <sz val="8"/>
        <color rgb="FF000000"/>
        <rFont val="Arial"/>
        <family val="2"/>
        <charset val="1"/>
      </rPr>
      <t xml:space="preserve">Summary/Closing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</si>
  <si>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バス</t>
    </r>
    <r>
      <rPr>
        <sz val="8"/>
        <color rgb="FF000000"/>
        <rFont val="Arial"/>
        <family val="2"/>
        <charset val="1"/>
      </rPr>
      <t xml:space="preserve">)</t>
    </r>
  </si>
  <si>
    <t xml:space="preserve">参加者誘導・Field Trip名簿</t>
  </si>
  <si>
    <r>
      <rPr>
        <sz val="8"/>
        <color rgb="FF000000"/>
        <rFont val="Arial"/>
        <family val="2"/>
        <charset val="1"/>
      </rPr>
      <t xml:space="preserve">Tech Session</t>
    </r>
    <r>
      <rPr>
        <sz val="8"/>
        <color rgb="FF000000"/>
        <rFont val="WenQuanYi Zen Hei"/>
        <family val="2"/>
      </rPr>
      <t xml:space="preserve">記録</t>
    </r>
  </si>
  <si>
    <t xml:space="preserve">ホテル→EXPO誘導(パレード)</t>
  </si>
  <si>
    <t xml:space="preserve">受付デスク/支払・清算</t>
  </si>
  <si>
    <t xml:space="preserve">事務局撤収(児玉と2名)/ホテル・バス精算</t>
  </si>
  <si>
    <t xml:space="preserve">Dorsett→EXPO誘導(8-9)→受付デスク/登壇者受付</t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</si>
  <si>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名簿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バス点呼</t>
    </r>
  </si>
  <si>
    <t xml:space="preserve">登壇者集合・スライド確認／日本側と接続確認</t>
  </si>
  <si>
    <r>
      <rPr>
        <sz val="8"/>
        <color rgb="FF000000"/>
        <rFont val="Arial"/>
        <family val="2"/>
        <charset val="1"/>
      </rPr>
      <t xml:space="preserve">SIDEX</t>
    </r>
    <r>
      <rPr>
        <sz val="8"/>
        <color rgb="FF000000"/>
        <rFont val="WenQuanYi Zen Hei"/>
        <family val="2"/>
      </rPr>
      <t xml:space="preserve">展示</t>
    </r>
    <r>
      <rPr>
        <sz val="8"/>
        <color rgb="FF000000"/>
        <rFont val="Arial"/>
        <family val="2"/>
        <charset val="1"/>
      </rPr>
      <t xml:space="preserve">/Japan Pavilion</t>
    </r>
    <r>
      <rPr>
        <sz val="8"/>
        <color rgb="FF000000"/>
        <rFont val="WenQuanYi Zen Hei"/>
        <family val="2"/>
      </rPr>
      <t xml:space="preserve">調整</t>
    </r>
  </si>
  <si>
    <r>
      <rPr>
        <sz val="8"/>
        <color rgb="FF000000"/>
        <rFont val="Arial"/>
        <family val="2"/>
        <charset val="1"/>
      </rPr>
      <t xml:space="preserve">Draft Summary</t>
    </r>
    <r>
      <rPr>
        <sz val="8"/>
        <color rgb="FF000000"/>
        <rFont val="WenQuanYi Zen Hei"/>
        <family val="2"/>
      </rPr>
      <t xml:space="preserve">仕上げ</t>
    </r>
  </si>
  <si>
    <r>
      <rPr>
        <sz val="8"/>
        <color rgb="FF000000"/>
        <rFont val="Arial"/>
        <family val="2"/>
        <charset val="1"/>
      </rPr>
      <t xml:space="preserve">Tech Session</t>
    </r>
    <r>
      <rPr>
        <sz val="8"/>
        <color rgb="FF000000"/>
        <rFont val="WenQuanYi Zen Hei"/>
        <family val="2"/>
      </rPr>
      <t xml:space="preserve">ノート</t>
    </r>
  </si>
  <si>
    <t xml:space="preserve">Summary</t>
  </si>
  <si>
    <t xml:space="preserve">登壇者対応・進行確認</t>
  </si>
  <si>
    <t xml:space="preserve">Tech Session ADRC Co-Chair</t>
  </si>
  <si>
    <t xml:space="preserve">Zoom/AI翻訳準備</t>
  </si>
  <si>
    <t xml:space="preserve">Field Trip写真 or 事務局撤収</t>
  </si>
  <si>
    <t xml:space="preserve">Parade(写真)</t>
  </si>
  <si>
    <t xml:space="preserve">Dorsett→EXPO誘導</t>
  </si>
  <si>
    <t xml:space="preserve">Tech Session記録/サマリー補助</t>
  </si>
  <si>
    <t xml:space="preserve">ギャップ: (1) Technical SessionはMizan=Co-Chair、池田=PIC、荒木田=AV/Zoomで、登壇者6名（JAXA・EOS-NTU/BRIN・DOST/ネパール・Google・ウズベキスタン・日本）の個別対応と時間管理を行う『フロア担当』が不在。(2) 11:45-12:00のSummary &amp; ClosingはRT(前日)の要約が前提で、Gerryが前夜〜当朝に単独で執筆する構造。塩見の記録補助があれば負荷分散できる。(3) Field Trip(13:00発)と事務局撤収・Day3準備・バイ会談が同時進行し、荒木田・吉田・田中が引率で抜けるため、会場に残るのは児玉・藤中・池田。 (4) 29・30日はSCDFの引率がないため、朝のDorsett→EXPO誘導と、パレード前のホテル→EXPO誘導（着替え後、渋滞リスク）に担当を置く。ドレスコード（Gala/Parade Dinner/公邸）は藤中が確認しGIで周知。</t>
  </si>
  <si>
    <r>
      <rPr>
        <sz val="8"/>
        <rFont val="Arial"/>
        <family val="2"/>
        <charset val="1"/>
      </rPr>
      <t xml:space="preserve">TS/Closing: Q&amp;A</t>
    </r>
    <r>
      <rPr>
        <sz val="8"/>
        <rFont val="WenQuanYi Zen Hei"/>
        <family val="2"/>
      </rPr>
      <t xml:space="preserve">・コメント確認・</t>
    </r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通訳監視</t>
    </r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</si>
  <si>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終了処理・ログ回収</t>
    </r>
  </si>
  <si>
    <r>
      <rPr>
        <sz val="8"/>
        <rFont val="Arial"/>
        <family val="2"/>
        <charset val="1"/>
      </rPr>
      <t xml:space="preserve">TS/Closing </t>
    </r>
    <r>
      <rPr>
        <sz val="8"/>
        <rFont val="WenQuanYi Zen Hei"/>
        <family val="2"/>
      </rPr>
      <t xml:space="preserve">録画・オンライン質疑取次</t>
    </r>
  </si>
  <si>
    <r>
      <rPr>
        <b val="true"/>
        <sz val="12"/>
        <color rgb="FF1F4E78"/>
        <rFont val="Arial"/>
        <family val="2"/>
        <charset val="1"/>
      </rPr>
      <t xml:space="preserve">30 OCT 2026 (FRI)  Day 3: SIDEX-ACDR Keynote / Panels / Exhibition Tour / Closing / </t>
    </r>
    <r>
      <rPr>
        <b val="true"/>
        <sz val="12"/>
        <color rgb="FF1F4E78"/>
        <rFont val="WenQuanYi Zen Hei"/>
        <family val="2"/>
      </rPr>
      <t xml:space="preserve">出発</t>
    </r>
  </si>
  <si>
    <t xml:space="preserve">Keynote &amp; Panel 1 (Hall 3)</t>
  </si>
  <si>
    <t xml:space="preserve">Exhibition Tour</t>
  </si>
  <si>
    <t xml:space="preserve">Panel 2</t>
  </si>
  <si>
    <t xml:space="preserve">Closing Ceremony</t>
  </si>
  <si>
    <t xml:space="preserve">出発: 荒木田22:20/北本23:55/吉田22:05/アゼルバイジャン23:15/インドネシア22:40/モンゴル23:55、三浦・韓国は10/31 01:20-01:35</t>
  </si>
  <si>
    <t xml:space="preserve">Keynote/Panel1</t>
  </si>
  <si>
    <t xml:space="preserve">Exhibition Tour/Panel2/Closing</t>
  </si>
  <si>
    <t xml:space="preserve">空港へ(SQ656 01:20)</t>
  </si>
  <si>
    <t xml:space="preserve">空港へ(SQ638 23:55)</t>
  </si>
  <si>
    <t xml:space="preserve">内閣府見送り/総括</t>
  </si>
  <si>
    <t xml:space="preserve">出発対応(Dorsett)・COSEM精算打合せ</t>
  </si>
  <si>
    <r>
      <rPr>
        <sz val="8"/>
        <color rgb="FF000000"/>
        <rFont val="Arial"/>
        <family val="2"/>
        <charset val="1"/>
      </rPr>
      <t xml:space="preserve">Keynote/Panel1(</t>
    </r>
    <r>
      <rPr>
        <sz val="8"/>
        <color rgb="FF000000"/>
        <rFont val="WenQuanYi Zen Hei"/>
        <family val="2"/>
      </rPr>
      <t xml:space="preserve">リソース対応</t>
    </r>
    <r>
      <rPr>
        <sz val="8"/>
        <color rgb="FF000000"/>
        <rFont val="Arial"/>
        <family val="2"/>
        <charset val="1"/>
      </rPr>
      <t xml:space="preserve">)</t>
    </r>
  </si>
  <si>
    <t xml:space="preserve">総括・引継ぎ</t>
  </si>
  <si>
    <t xml:space="preserve">空港へ(NH844 22:20)</t>
  </si>
  <si>
    <r>
      <rPr>
        <sz val="8"/>
        <rFont val="Arial"/>
        <family val="0"/>
        <charset val="1"/>
      </rPr>
      <t xml:space="preserve">Dorsett→EXPO</t>
    </r>
    <r>
      <rPr>
        <sz val="8"/>
        <rFont val="WenQuanYi Zen Hei"/>
        <family val="2"/>
      </rPr>
      <t xml:space="preserve">誘導</t>
    </r>
  </si>
  <si>
    <t xml:space="preserve">Exhibition Tour/Panel2</t>
  </si>
  <si>
    <t xml:space="preserve">参加者出発案内</t>
  </si>
  <si>
    <t xml:space="preserve">空港へ(AY132 22:05)</t>
  </si>
  <si>
    <t xml:space="preserve">受付/清算</t>
  </si>
  <si>
    <t xml:space="preserve">会場(受付)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</si>
  <si>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出発対応・支払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</si>
  <si>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出発対応・送迎確認</t>
    </r>
  </si>
  <si>
    <r>
      <rPr>
        <sz val="8"/>
        <color rgb="FF000000"/>
        <rFont val="Arial"/>
        <family val="2"/>
        <charset val="1"/>
      </rPr>
      <t xml:space="preserve">Exhibition Tour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(Japan Pavilion)</t>
    </r>
  </si>
  <si>
    <t xml:space="preserve">Panel2/Closing</t>
  </si>
  <si>
    <t xml:space="preserve">機材撤収</t>
  </si>
  <si>
    <t xml:space="preserve">空港へ(01:30発)</t>
  </si>
  <si>
    <r>
      <rPr>
        <sz val="8"/>
        <color rgb="FF000000"/>
        <rFont val="Arial"/>
        <family val="2"/>
        <charset val="1"/>
      </rPr>
      <t xml:space="preserve">Keynote/Panel1/Summary</t>
    </r>
    <r>
      <rPr>
        <sz val="8"/>
        <color rgb="FF000000"/>
        <rFont val="WenQuanYi Zen Hei"/>
        <family val="2"/>
      </rPr>
      <t xml:space="preserve">最終化</t>
    </r>
  </si>
  <si>
    <r>
      <rPr>
        <sz val="8"/>
        <rFont val="Arial"/>
        <family val="0"/>
        <charset val="1"/>
      </rPr>
      <t xml:space="preserve">Keynote/Panel1/SC</t>
    </r>
    <r>
      <rPr>
        <sz val="8"/>
        <rFont val="WenQuanYi Zen Hei"/>
        <family val="2"/>
      </rPr>
      <t xml:space="preserve">サマリー</t>
    </r>
  </si>
  <si>
    <t xml:space="preserve">帰国準備(便未定)</t>
  </si>
  <si>
    <t xml:space="preserve">Exhibition Tour誘導/写真</t>
  </si>
  <si>
    <t xml:space="preserve">出発対応</t>
  </si>
  <si>
    <t xml:space="preserve">Keynote記録</t>
  </si>
  <si>
    <t xml:space="preserve">ギャップ: (1) 10/30夜〜10/31午前に出発が集中（メンバー国15組以上、役員3名）し、荒木田・吉田・北本・三浦が当夜に、池田・Gerryが深夜（01:30発）に、宮木・児玉が10/31早朝（06:35発）に離脱する。10/31朝の見送り・ホテル清算は藤中・田中の2名のみになる。(2) Exhibition Tour(13:50-14:50)でメンバー国参加者をJapan Pavilionへ誘導する担当が池田1名。</t>
  </si>
  <si>
    <t xml:space="preserve">（SIDEX配信はSCDF側）Webinar/Zoom終了処理・AI通訳ログ整理</t>
  </si>
  <si>
    <t xml:space="preserve">録画データ整理・保存（報告書・Highlights用）</t>
  </si>
  <si>
    <t xml:space="preserve">機能別 必要人数と充足状況（現時点の確定・見込メンバーでの判定）</t>
  </si>
  <si>
    <t xml:space="preserve">判定の前提: 役員3名（三浦・北本・宮木）はVIP／代表として扱い運営要員に数えない。MizanはCo-Chair前提で「見込」。SCDF/COSEMがMC・モデレーター・会場・バス・名札印刷・登録システムを担う（5月合同会議・8/6デマケ）。日本側（神戸）サポートは現地要員に数えない。</t>
  </si>
  <si>
    <t xml:space="preserve">機能</t>
  </si>
  <si>
    <t xml:space="preserve">ピーク時間帯</t>
  </si>
  <si>
    <t xml:space="preserve">必要人数(目安)</t>
  </si>
  <si>
    <t xml:space="preserve">現在の担当（確定・見込）</t>
  </si>
  <si>
    <t xml:space="preserve">充足</t>
  </si>
  <si>
    <t xml:space="preserve">ギャップ・リスク</t>
  </si>
  <si>
    <t xml:space="preserve">対応案（追加要員の配置）</t>
  </si>
  <si>
    <t xml:space="preserve">受付・参加者デスク（会場／公邸／ホテル）</t>
  </si>
  <si>
    <r>
      <rPr>
        <sz val="10"/>
        <color rgb="FF000000"/>
        <rFont val="Arial"/>
        <family val="2"/>
        <charset val="1"/>
      </rPr>
      <t xml:space="preserve">10/26</t>
    </r>
    <r>
      <rPr>
        <sz val="10"/>
        <color rgb="FF000000"/>
        <rFont val="WenQuanYi Zen Hei"/>
        <family val="2"/>
      </rPr>
      <t xml:space="preserve">夕〜</t>
    </r>
    <r>
      <rPr>
        <sz val="10"/>
        <color rgb="FF000000"/>
        <rFont val="Arial"/>
        <family val="2"/>
        <charset val="1"/>
      </rPr>
      <t xml:space="preserve">10/27</t>
    </r>
    <r>
      <rPr>
        <sz val="10"/>
        <color rgb="FF000000"/>
        <rFont val="WenQuanYi Zen Hei"/>
        <family val="2"/>
      </rPr>
      <t xml:space="preserve">（到着・名札配布）、</t>
    </r>
    <r>
      <rPr>
        <sz val="10"/>
        <color rgb="FF000000"/>
        <rFont val="Arial"/>
        <family val="2"/>
        <charset val="1"/>
      </rPr>
      <t xml:space="preserve">10/28-29</t>
    </r>
    <r>
      <rPr>
        <sz val="10"/>
        <color rgb="FF000000"/>
        <rFont val="WenQuanYi Zen Hei"/>
        <family val="2"/>
      </rPr>
      <t xml:space="preserve">終日</t>
    </r>
  </si>
  <si>
    <t xml:space="preserve">3</t>
  </si>
  <si>
    <t xml:space="preserve">藤中、田中（＋吉田は10/27夜・10/28午前のみ）</t>
  </si>
  <si>
    <t xml:space="preserve">△</t>
  </si>
  <si>
    <r>
      <rPr>
        <sz val="10"/>
        <color rgb="FF000000"/>
        <rFont val="Arial"/>
        <family val="2"/>
        <charset val="1"/>
      </rPr>
      <t xml:space="preserve">ACDR2023</t>
    </r>
    <r>
      <rPr>
        <sz val="10"/>
        <color rgb="FF000000"/>
        <rFont val="WenQuanYi Zen Hei"/>
        <family val="2"/>
      </rPr>
      <t xml:space="preserve">は</t>
    </r>
    <r>
      <rPr>
        <sz val="10"/>
        <color rgb="FF000000"/>
        <rFont val="Arial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名体制（堀池・藤中・田中）。今回は名札セットの</t>
    </r>
    <r>
      <rPr>
        <sz val="10"/>
        <color rgb="FF000000"/>
        <rFont val="Arial"/>
        <family val="2"/>
        <charset val="1"/>
      </rPr>
      <t xml:space="preserve">QR</t>
    </r>
    <r>
      <rPr>
        <sz val="10"/>
        <color rgb="FF000000"/>
        <rFont val="WenQuanYi Zen Hei"/>
        <family val="2"/>
      </rPr>
      <t xml:space="preserve">配布</t>
    </r>
    <r>
      <rPr>
        <sz val="10"/>
        <color rgb="FF000000"/>
        <rFont val="Arial"/>
        <family val="2"/>
        <charset val="1"/>
      </rPr>
      <t xml:space="preserve">(100-120</t>
    </r>
    <r>
      <rPr>
        <sz val="10"/>
        <color rgb="FF000000"/>
        <rFont val="WenQuanYi Zen Hei"/>
        <family val="2"/>
      </rPr>
      <t xml:space="preserve">名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と宿泊</t>
    </r>
    <r>
      <rPr>
        <sz val="10"/>
        <color rgb="FF000000"/>
        <rFont val="Arial"/>
        <family val="2"/>
        <charset val="1"/>
      </rPr>
      <t xml:space="preserve">37</t>
    </r>
    <r>
      <rPr>
        <sz val="10"/>
        <color rgb="FF000000"/>
        <rFont val="WenQuanYi Zen Hei"/>
        <family val="2"/>
      </rPr>
      <t xml:space="preserve">室</t>
    </r>
    <r>
      <rPr>
        <sz val="10"/>
        <color rgb="FF000000"/>
        <rFont val="Arial"/>
        <family val="2"/>
        <charset val="1"/>
      </rPr>
      <t xml:space="preserve">/</t>
    </r>
    <r>
      <rPr>
        <sz val="10"/>
        <color rgb="FF000000"/>
        <rFont val="WenQuanYi Zen Hei"/>
        <family val="2"/>
      </rPr>
      <t xml:space="preserve">泊の対応が加わる。急病・遅延・ビザ問題が出ると即座に詰まる。</t>
    </r>
  </si>
  <si>
    <t xml:space="preserve">藤本を3人目として配置（本人8/7『アドミサポート・会議補助なら可』）。または寺坂（デマケ上のリスト出力担当）。</t>
  </si>
  <si>
    <r>
      <rPr>
        <sz val="10"/>
        <color rgb="FF000000"/>
        <rFont val="Arial"/>
        <family val="2"/>
        <charset val="1"/>
      </rPr>
      <t xml:space="preserve">AV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Zoom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AI</t>
    </r>
    <r>
      <rPr>
        <sz val="10"/>
        <color rgb="FF000000"/>
        <rFont val="WenQuanYi Zen Hei"/>
        <family val="2"/>
      </rPr>
      <t xml:space="preserve">翻訳オペレーション（現地側）</t>
    </r>
  </si>
  <si>
    <r>
      <rPr>
        <sz val="10"/>
        <color rgb="FF000000"/>
        <rFont val="Arial"/>
        <family val="2"/>
        <charset val="1"/>
      </rPr>
      <t xml:space="preserve">10/28 07:30-16:45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08:00-12:00</t>
    </r>
  </si>
  <si>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（うち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名は現地専任）</t>
    </r>
  </si>
  <si>
    <t xml:space="preserve">現地: 荒木田、池田／日本側: 中村（Zoom・AI通訳設定・Q&amp;A確認）、山口（録画・オンライン質疑）</t>
  </si>
  <si>
    <t xml:space="preserve">Zoomホスト・AI通訳監視・Q&amp;A・録画は2025年同様に神戸側（中村・山口）で持てるため、現地の負荷は『会場AVとAI通訳端末の物理接続・トラブル一次対応』に絞られる。それでも荒木田はOpening/Closing進行・VIP同行、池田はTech Session PICで、セッション中に現地の一次対応者が不在になる時間帯が残る。 9/4打合せ: Webinar進行・機材・スクリーンをホスト国（SCDF/COSEM）側が担えるか確認中。会場は横長レイアウトへ変更交渉中、レイアウト表を次回までに作成</t>
  </si>
  <si>
    <t xml:space="preserve">現地の一次対応は藤本を推奨。会場AVはSCDF側スタッフに操作依頼できるか9月合同会議で確認。日本側と現地の連絡手段（WhatsApp等）と時差1時間の運用ルールを事前に決める。</t>
  </si>
  <si>
    <t xml:space="preserve">セッション運営（RT・Tech Session）</t>
  </si>
  <si>
    <r>
      <rPr>
        <sz val="10"/>
        <color rgb="FF000000"/>
        <rFont val="Arial"/>
        <family val="2"/>
        <charset val="1"/>
      </rPr>
      <t xml:space="preserve">10/28 13:00-15:30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09:30-12:00</t>
    </r>
  </si>
  <si>
    <r>
      <rPr>
        <sz val="10"/>
        <color rgb="FF000000"/>
        <rFont val="Arial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PIC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Co-Chair</t>
    </r>
    <r>
      <rPr>
        <sz val="10"/>
        <color rgb="FF000000"/>
        <rFont val="WenQuanYi Zen Hei"/>
        <family val="2"/>
      </rPr>
      <t xml:space="preserve">・フロア）</t>
    </r>
  </si>
  <si>
    <r>
      <rPr>
        <sz val="10"/>
        <color rgb="FF000000"/>
        <rFont val="Arial"/>
        <family val="2"/>
        <charset val="1"/>
      </rPr>
      <t xml:space="preserve">RT: </t>
    </r>
    <r>
      <rPr>
        <sz val="10"/>
        <color rgb="FF000000"/>
        <rFont val="WenQuanYi Zen Hei"/>
        <family val="2"/>
      </rPr>
      <t xml:space="preserve">吉田・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TS: Mizan(Co-Chair)</t>
    </r>
    <r>
      <rPr>
        <sz val="10"/>
        <color rgb="FF000000"/>
        <rFont val="WenQuanYi Zen Hei"/>
        <family val="2"/>
      </rPr>
      <t xml:space="preserve">・池田</t>
    </r>
  </si>
  <si>
    <r>
      <rPr>
        <sz val="10"/>
        <color rgb="FF000000"/>
        <rFont val="Arial"/>
        <family val="2"/>
        <charset val="1"/>
      </rPr>
      <t xml:space="preserve">TS</t>
    </r>
    <r>
      <rPr>
        <sz val="10"/>
        <color rgb="FF000000"/>
        <rFont val="WenQuanYi Zen Hei"/>
        <family val="2"/>
      </rPr>
      <t xml:space="preserve">は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が登壇側に回ると、登壇者</t>
    </r>
    <r>
      <rPr>
        <sz val="10"/>
        <color rgb="FF000000"/>
        <rFont val="Arial"/>
        <family val="2"/>
        <charset val="1"/>
      </rPr>
      <t xml:space="preserve">6</t>
    </r>
    <r>
      <rPr>
        <sz val="10"/>
        <color rgb="FF000000"/>
        <rFont val="WenQuanYi Zen Hei"/>
        <family val="2"/>
      </rPr>
      <t xml:space="preserve">名の誘導・時間管理・</t>
    </r>
    <r>
      <rPr>
        <sz val="10"/>
        <color rgb="FF000000"/>
        <rFont val="Arial"/>
        <family val="2"/>
        <charset val="1"/>
      </rPr>
      <t xml:space="preserve">Q&amp;A</t>
    </r>
    <r>
      <rPr>
        <sz val="10"/>
        <color rgb="FF000000"/>
        <rFont val="WenQuanYi Zen Hei"/>
        <family val="2"/>
      </rPr>
      <t xml:space="preserve">取次を行うフロア担当が池田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名。</t>
    </r>
    <r>
      <rPr>
        <sz val="10"/>
        <color rgb="FF000000"/>
        <rFont val="Arial"/>
        <family val="2"/>
        <charset val="1"/>
      </rPr>
      <t xml:space="preserve">Said Faisal</t>
    </r>
    <r>
      <rPr>
        <sz val="10"/>
        <color rgb="FF000000"/>
        <rFont val="WenQuanYi Zen Hei"/>
        <family val="2"/>
      </rPr>
      <t xml:space="preserve">辞退後の</t>
    </r>
    <r>
      <rPr>
        <sz val="10"/>
        <color rgb="FF000000"/>
        <rFont val="Arial"/>
        <family val="2"/>
        <charset val="1"/>
      </rPr>
      <t xml:space="preserve">SCDF</t>
    </r>
    <r>
      <rPr>
        <sz val="10"/>
        <color rgb="FF000000"/>
        <rFont val="WenQuanYi Zen Hei"/>
        <family val="2"/>
      </rPr>
      <t xml:space="preserve">側モデレーターも未確定。</t>
    </r>
  </si>
  <si>
    <t xml:space="preserve">塩見（承諾済み）をRT/TSの記録・フロア補助に配置。SCDF側モデレーター確定をSylviaへ再確認。</t>
  </si>
  <si>
    <t xml:space="preserve">記録・Draft Summary・Closing要約</t>
  </si>
  <si>
    <r>
      <rPr>
        <sz val="10"/>
        <color rgb="FF000000"/>
        <rFont val="Arial"/>
        <family val="2"/>
        <charset val="1"/>
      </rPr>
      <t xml:space="preserve">10/28</t>
    </r>
    <r>
      <rPr>
        <sz val="10"/>
        <color rgb="FF000000"/>
        <rFont val="WenQuanYi Zen Hei"/>
        <family val="2"/>
      </rPr>
      <t xml:space="preserve">夜〜</t>
    </r>
    <r>
      <rPr>
        <sz val="10"/>
        <color rgb="FF000000"/>
        <rFont val="Arial"/>
        <family val="2"/>
        <charset val="1"/>
      </rPr>
      <t xml:space="preserve">10/29 11:45</t>
    </r>
  </si>
  <si>
    <t xml:space="preserve">2</t>
  </si>
  <si>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（デマケ</t>
    </r>
    <r>
      <rPr>
        <sz val="10"/>
        <color rgb="FF000000"/>
        <rFont val="Arial"/>
        <family val="2"/>
        <charset val="1"/>
      </rPr>
      <t xml:space="preserve">: Draft Summary</t>
    </r>
    <r>
      <rPr>
        <sz val="10"/>
        <color rgb="FF000000"/>
        <rFont val="WenQuanYi Zen Hei"/>
        <family val="2"/>
      </rPr>
      <t xml:space="preserve">）</t>
    </r>
  </si>
  <si>
    <t xml:space="preserve">×</t>
  </si>
  <si>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が</t>
    </r>
    <r>
      <rPr>
        <sz val="10"/>
        <color rgb="FF000000"/>
        <rFont val="Arial"/>
        <family val="2"/>
        <charset val="1"/>
      </rPr>
      <t xml:space="preserve">Co-Chair</t>
    </r>
    <r>
      <rPr>
        <sz val="10"/>
        <color rgb="FF000000"/>
        <rFont val="WenQuanYi Zen Hei"/>
        <family val="2"/>
      </rPr>
      <t xml:space="preserve">なら実質</t>
    </r>
    <r>
      <rPr>
        <sz val="10"/>
        <color rgb="FF000000"/>
        <rFont val="Arial"/>
        <family val="2"/>
        <charset val="1"/>
      </rPr>
      <t xml:space="preserve">Gerry1</t>
    </r>
    <r>
      <rPr>
        <sz val="10"/>
        <color rgb="FF000000"/>
        <rFont val="WenQuanYi Zen Hei"/>
        <family val="2"/>
      </rPr>
      <t xml:space="preserve">名。</t>
    </r>
    <r>
      <rPr>
        <sz val="10"/>
        <color rgb="FF000000"/>
        <rFont val="Arial"/>
        <family val="2"/>
        <charset val="1"/>
      </rPr>
      <t xml:space="preserve">RT(2.5h)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2"/>
        <charset val="1"/>
      </rPr>
      <t xml:space="preserve">TS(2h)</t>
    </r>
    <r>
      <rPr>
        <sz val="10"/>
        <color rgb="FF000000"/>
        <rFont val="WenQuanYi Zen Hei"/>
        <family val="2"/>
      </rPr>
      <t xml:space="preserve">の要約を当日昼までに出すことが難しい。</t>
    </r>
  </si>
  <si>
    <t xml:space="preserve">塩見（承諾済み）を記録・サマリー補助に。</t>
  </si>
  <si>
    <r>
      <rPr>
        <sz val="10"/>
        <color rgb="FF000000"/>
        <rFont val="Arial"/>
        <family val="2"/>
        <charset val="1"/>
      </rPr>
      <t xml:space="preserve">VIP</t>
    </r>
    <r>
      <rPr>
        <sz val="10"/>
        <color rgb="FF000000"/>
        <rFont val="WenQuanYi Zen Hei"/>
        <family val="2"/>
      </rPr>
      <t xml:space="preserve">・内閣府随行（林統括官＋随行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名）</t>
    </r>
  </si>
  <si>
    <r>
      <rPr>
        <sz val="10"/>
        <color rgb="FF000000"/>
        <rFont val="Arial"/>
        <family val="2"/>
        <charset val="1"/>
      </rPr>
      <t xml:space="preserve">10/27</t>
    </r>
    <r>
      <rPr>
        <sz val="10"/>
        <color rgb="FF000000"/>
        <rFont val="WenQuanYi Zen Hei"/>
        <family val="2"/>
      </rPr>
      <t xml:space="preserve">夕〜</t>
    </r>
    <r>
      <rPr>
        <sz val="10"/>
        <color rgb="FF000000"/>
        <rFont val="Arial"/>
        <family val="2"/>
        <charset val="1"/>
      </rPr>
      <t xml:space="preserve">10/30</t>
    </r>
    <r>
      <rPr>
        <sz val="10"/>
        <color rgb="FF000000"/>
        <rFont val="WenQuanYi Zen Hei"/>
        <family val="2"/>
      </rPr>
      <t xml:space="preserve">終日</t>
    </r>
  </si>
  <si>
    <r>
      <rPr>
        <sz val="10"/>
        <color rgb="FF000000"/>
        <rFont val="Arial"/>
        <family val="2"/>
        <charset val="1"/>
      </rPr>
      <t xml:space="preserve">1.5</t>
    </r>
    <r>
      <rPr>
        <sz val="10"/>
        <color rgb="FF000000"/>
        <rFont val="WenQuanYi Zen Hei"/>
        <family val="2"/>
      </rPr>
      <t xml:space="preserve">（常時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名＋バイ会談時</t>
    </r>
    <r>
      <rPr>
        <sz val="10"/>
        <color rgb="FF000000"/>
        <rFont val="Arial"/>
        <family val="2"/>
        <charset val="1"/>
      </rPr>
      <t xml:space="preserve">+1</t>
    </r>
    <r>
      <rPr>
        <sz val="10"/>
        <color rgb="FF000000"/>
        <rFont val="WenQuanYi Zen Hei"/>
        <family val="2"/>
      </rPr>
      <t xml:space="preserve">）</t>
    </r>
  </si>
  <si>
    <t xml:space="preserve">宮木、児玉（内閣府に張り付かず、COSEM・内閣府との調整に臨機応変。空港出迎え不要＝公用車）</t>
  </si>
  <si>
    <t xml:space="preserve">○</t>
  </si>
  <si>
    <t xml:space="preserve">9/4打合せ: 林統括官の英語対応はADRCに求められた前例がなく大使館側で対応。宮木・児玉は必要時のみ同行。内閣府のホテルは未定（問合せ中）</t>
  </si>
  <si>
    <t xml:space="preserve">Opening/VIP Tour/表敬は同行程度に留め、宮木・児玉はCOSEM調整・レセプション・撤収に回す。内閣府ホテルの回答期限を確認</t>
  </si>
  <si>
    <t xml:space="preserve">写真・動画記録（Highlight Movie含む）</t>
  </si>
  <si>
    <t xml:space="preserve">会期中全日</t>
  </si>
  <si>
    <t xml:space="preserve">1</t>
  </si>
  <si>
    <t xml:space="preserve">藤本（撮影を主担当、児玉 9/4）</t>
  </si>
  <si>
    <t xml:space="preserve">藤本が撮影主担当で本人承諾済み（9/4）。COSEM側の公式カメラマンの有無と集合写真の場所・時刻はCOSEM協議事項</t>
  </si>
  <si>
    <t xml:space="preserve">撮影計画（Opening集合写真、RT、TS、公邸、パレード）を作成。ハイライト動画の編集場所と素材受渡しをCOSEMと確認</t>
  </si>
  <si>
    <r>
      <rPr>
        <sz val="10"/>
        <color rgb="FF000000"/>
        <rFont val="Arial"/>
        <family val="2"/>
        <charset val="1"/>
      </rPr>
      <t xml:space="preserve">SIDEX</t>
    </r>
    <r>
      <rPr>
        <sz val="10"/>
        <color rgb="FF000000"/>
        <rFont val="WenQuanYi Zen Hei"/>
        <family val="2"/>
      </rPr>
      <t xml:space="preserve">展示・</t>
    </r>
    <r>
      <rPr>
        <sz val="10"/>
        <color rgb="FF000000"/>
        <rFont val="Arial"/>
        <family val="2"/>
        <charset val="1"/>
      </rPr>
      <t xml:space="preserve">Japan Pavilion</t>
    </r>
    <r>
      <rPr>
        <sz val="10"/>
        <color rgb="FF000000"/>
        <rFont val="WenQuanYi Zen Hei"/>
        <family val="2"/>
      </rPr>
      <t xml:space="preserve">連携／参加者誘導（</t>
    </r>
    <r>
      <rPr>
        <sz val="10"/>
        <color rgb="FF000000"/>
        <rFont val="Arial"/>
        <family val="2"/>
        <charset val="1"/>
      </rPr>
      <t xml:space="preserve">Hall3⇔Peridot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</si>
  <si>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2"/>
        <charset val="1"/>
      </rPr>
      <t xml:space="preserve">10/28 10:30-12:45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</t>
    </r>
    <r>
      <rPr>
        <sz val="10"/>
        <color rgb="FF000000"/>
        <rFont val="WenQuanYi Zen Hei"/>
        <family val="2"/>
      </rPr>
      <t xml:space="preserve">午後、</t>
    </r>
    <r>
      <rPr>
        <sz val="10"/>
        <color rgb="FF000000"/>
        <rFont val="Arial"/>
        <family val="2"/>
        <charset val="1"/>
      </rPr>
      <t xml:space="preserve">10/30 13:50-14:50</t>
    </r>
  </si>
  <si>
    <t xml:space="preserve">池田、Mizan（デマケ: SIDEX Exhibition）</t>
  </si>
  <si>
    <t xml:space="preserve">荒木田8/6『もう一人か二人必要』と認識済み。Mizanは10/29午前Co-Chair、池田はTS PICで同時間帯に動けない。</t>
  </si>
  <si>
    <t xml:space="preserve">藤本または塩見（承諾済み）を誘導担当に。SCDFのリエゾン配置も要請。</t>
  </si>
  <si>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引率（</t>
    </r>
    <r>
      <rPr>
        <sz val="10"/>
        <color rgb="FF000000"/>
        <rFont val="Arial"/>
        <family val="2"/>
        <charset val="1"/>
      </rPr>
      <t xml:space="preserve">CDA</t>
    </r>
    <r>
      <rPr>
        <sz val="10"/>
        <color rgb="FF000000"/>
        <rFont val="WenQuanYi Zen Hei"/>
        <family val="2"/>
      </rPr>
      <t xml:space="preserve">、バス点呼）</t>
    </r>
  </si>
  <si>
    <t xml:space="preserve">10/29 13:00-17:15</t>
  </si>
  <si>
    <t xml:space="preserve">2-3</t>
  </si>
  <si>
    <t xml:space="preserve">荒木田、吉田（デマケ）、田中（名簿）</t>
  </si>
  <si>
    <t xml:space="preserve">引率自体は足りるが、同時刻に会場撤収・Day3準備・バイ会談が残る（児玉・藤中・池田）。</t>
  </si>
  <si>
    <t xml:space="preserve">現状維持。塩見参加で引率を1名追加可能。</t>
  </si>
  <si>
    <t xml:space="preserve">到着・出発対応（空港・ホテル）</t>
  </si>
  <si>
    <r>
      <rPr>
        <sz val="10"/>
        <color rgb="FF000000"/>
        <rFont val="Arial"/>
        <family val="2"/>
        <charset val="1"/>
      </rPr>
      <t xml:space="preserve">10/26 15:00-24:00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10/27</t>
    </r>
    <r>
      <rPr>
        <sz val="10"/>
        <color rgb="FF000000"/>
        <rFont val="WenQuanYi Zen Hei"/>
        <family val="2"/>
      </rPr>
      <t xml:space="preserve">午前、</t>
    </r>
    <r>
      <rPr>
        <sz val="10"/>
        <color rgb="FF000000"/>
        <rFont val="Arial"/>
        <family val="2"/>
        <charset val="1"/>
      </rPr>
      <t xml:space="preserve">10/30</t>
    </r>
    <r>
      <rPr>
        <sz val="10"/>
        <color rgb="FF000000"/>
        <rFont val="WenQuanYi Zen Hei"/>
        <family val="2"/>
      </rPr>
      <t xml:space="preserve">夜〜</t>
    </r>
    <r>
      <rPr>
        <sz val="10"/>
        <color rgb="FF000000"/>
        <rFont val="Arial"/>
        <family val="2"/>
        <charset val="1"/>
      </rPr>
      <t xml:space="preserve">10/31</t>
    </r>
    <r>
      <rPr>
        <sz val="10"/>
        <color rgb="FF000000"/>
        <rFont val="WenQuanYi Zen Hei"/>
        <family val="2"/>
      </rPr>
      <t xml:space="preserve">午前</t>
    </r>
  </si>
  <si>
    <t xml:space="preserve">藤中、田中（COSEMが空港送迎）</t>
  </si>
  <si>
    <r>
      <rPr>
        <sz val="10"/>
        <color rgb="FF000000"/>
        <rFont val="Arial"/>
        <family val="2"/>
        <charset val="1"/>
      </rPr>
      <t xml:space="preserve">10/26</t>
    </r>
    <r>
      <rPr>
        <sz val="10"/>
        <color rgb="FF000000"/>
        <rFont val="WenQuanYi Zen Hei"/>
        <family val="2"/>
      </rPr>
      <t xml:space="preserve">は宮木・児玉が前日（</t>
    </r>
    <r>
      <rPr>
        <sz val="10"/>
        <color rgb="FF000000"/>
        <rFont val="Arial"/>
        <family val="2"/>
        <charset val="1"/>
      </rPr>
      <t xml:space="preserve">10/25</t>
    </r>
    <r>
      <rPr>
        <sz val="10"/>
        <color rgb="FF000000"/>
        <rFont val="WenQuanYi Zen Hei"/>
        <family val="2"/>
      </rPr>
      <t xml:space="preserve">夜）入りしているため</t>
    </r>
    <r>
      <rPr>
        <sz val="10"/>
        <color rgb="FF000000"/>
        <rFont val="Arial"/>
        <family val="2"/>
        <charset val="1"/>
      </rPr>
      <t xml:space="preserve">Dorsett</t>
    </r>
    <r>
      <rPr>
        <sz val="10"/>
        <color rgb="FF000000"/>
        <rFont val="WenQuanYi Zen Hei"/>
        <family val="2"/>
      </rPr>
      <t xml:space="preserve">到着対応を分担できる。一方</t>
    </r>
    <r>
      <rPr>
        <sz val="10"/>
        <color rgb="FF000000"/>
        <rFont val="Arial"/>
        <family val="2"/>
        <charset val="1"/>
      </rPr>
      <t xml:space="preserve">10/31</t>
    </r>
    <r>
      <rPr>
        <sz val="10"/>
        <color rgb="FF000000"/>
        <rFont val="WenQuanYi Zen Hei"/>
        <family val="2"/>
      </rPr>
      <t xml:space="preserve">朝は宮木・児玉（</t>
    </r>
    <r>
      <rPr>
        <sz val="10"/>
        <color rgb="FF000000"/>
        <rFont val="Arial"/>
        <family val="2"/>
        <charset val="1"/>
      </rPr>
      <t xml:space="preserve">06:35</t>
    </r>
    <r>
      <rPr>
        <sz val="10"/>
        <color rgb="FF000000"/>
        <rFont val="WenQuanYi Zen Hei"/>
        <family val="2"/>
      </rPr>
      <t xml:space="preserve">発）、池田・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（深夜発）も帰国し、見送り・清算は藤中・田中の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名のみ。</t>
    </r>
  </si>
  <si>
    <r>
      <rPr>
        <sz val="10"/>
        <color rgb="FF000000"/>
        <rFont val="Arial"/>
        <family val="2"/>
        <charset val="1"/>
      </rPr>
      <t xml:space="preserve">10/26</t>
    </r>
    <r>
      <rPr>
        <sz val="10"/>
        <color rgb="FF000000"/>
        <rFont val="WenQuanYi Zen Hei"/>
        <family val="2"/>
      </rPr>
      <t xml:space="preserve">夕方は宮木・児玉・藤中・田中で</t>
    </r>
    <r>
      <rPr>
        <sz val="10"/>
        <color rgb="FF000000"/>
        <rFont val="Arial"/>
        <family val="2"/>
        <charset val="1"/>
      </rPr>
      <t xml:space="preserve">Dorsett</t>
    </r>
    <r>
      <rPr>
        <sz val="10"/>
        <color rgb="FF000000"/>
        <rFont val="WenQuanYi Zen Hei"/>
        <family val="2"/>
      </rPr>
      <t xml:space="preserve">対応。</t>
    </r>
    <r>
      <rPr>
        <sz val="10"/>
        <color rgb="FF000000"/>
        <rFont val="Arial"/>
        <family val="2"/>
        <charset val="1"/>
      </rPr>
      <t xml:space="preserve">10/31</t>
    </r>
    <r>
      <rPr>
        <sz val="10"/>
        <color rgb="FF000000"/>
        <rFont val="WenQuanYi Zen Hei"/>
        <family val="2"/>
      </rPr>
      <t xml:space="preserve">朝は藤本を残す（</t>
    </r>
    <r>
      <rPr>
        <sz val="10"/>
        <color rgb="FF000000"/>
        <rFont val="Arial"/>
        <family val="2"/>
        <charset val="1"/>
      </rPr>
      <t xml:space="preserve">11/1</t>
    </r>
    <r>
      <rPr>
        <sz val="10"/>
        <color rgb="FF000000"/>
        <rFont val="WenQuanYi Zen Hei"/>
        <family val="2"/>
      </rPr>
      <t xml:space="preserve">朝発に揃える）か、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送迎に見送りを委ねて藤中・田中は清算に専念する。</t>
    </r>
  </si>
  <si>
    <t xml:space="preserve">オンライン配信・録画・Q&amp;A（日本側）</t>
  </si>
  <si>
    <r>
      <rPr>
        <sz val="10"/>
        <color rgb="FF000000"/>
        <rFont val="Arial"/>
        <family val="2"/>
        <charset val="1"/>
      </rPr>
      <t xml:space="preserve">10/28 12:30-16:45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08:00-12:00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SGT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</si>
  <si>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＋バックアップ</t>
    </r>
  </si>
  <si>
    <t xml:space="preserve">中村（Zoom Webinar/Meeting設定・ホスト、AI通訳設定・監視、Q&amp;A確認）、山口（録画クラウド＋ローカル、オンライン質疑）／バックアップ仮置き: 寺坂（録画日英）、伊達（ホスト確認）</t>
  </si>
  <si>
    <r>
      <rPr>
        <sz val="10"/>
        <color rgb="FF000000"/>
        <rFont val="Arial"/>
        <family val="2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年は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ACDR</t>
    </r>
    <r>
      <rPr>
        <sz val="10"/>
        <color rgb="FF000000"/>
        <rFont val="WenQuanYi Zen Hei"/>
        <family val="2"/>
      </rPr>
      <t xml:space="preserve">とも神戸側で</t>
    </r>
    <r>
      <rPr>
        <sz val="10"/>
        <color rgb="FF000000"/>
        <rFont val="Arial"/>
        <family val="2"/>
        <charset val="1"/>
      </rPr>
      <t xml:space="preserve">Webinar</t>
    </r>
    <r>
      <rPr>
        <sz val="10"/>
        <color rgb="FF000000"/>
        <rFont val="WenQuanYi Zen Hei"/>
        <family val="2"/>
      </rPr>
      <t xml:space="preserve">設定・録画・</t>
    </r>
    <r>
      <rPr>
        <sz val="10"/>
        <color rgb="FF000000"/>
        <rFont val="Arial"/>
        <family val="2"/>
        <charset val="1"/>
      </rPr>
      <t xml:space="preserve">Q&amp;A</t>
    </r>
    <r>
      <rPr>
        <sz val="10"/>
        <color rgb="FF000000"/>
        <rFont val="WenQuanYi Zen Hei"/>
        <family val="2"/>
      </rPr>
      <t xml:space="preserve">確認を行い問題なし。今回は</t>
    </r>
    <r>
      <rPr>
        <sz val="10"/>
        <color rgb="FF000000"/>
        <rFont val="Arial"/>
        <family val="2"/>
        <charset val="1"/>
      </rPr>
      <t xml:space="preserve">AI</t>
    </r>
    <r>
      <rPr>
        <sz val="10"/>
        <color rgb="FF000000"/>
        <rFont val="WenQuanYi Zen Hei"/>
        <family val="2"/>
      </rPr>
      <t xml:space="preserve">通訳が加わるため、事前リハーサル（</t>
    </r>
    <r>
      <rPr>
        <sz val="10"/>
        <color rgb="FF000000"/>
        <rFont val="Arial"/>
        <family val="2"/>
        <charset val="1"/>
      </rPr>
      <t xml:space="preserve">10/26-27</t>
    </r>
    <r>
      <rPr>
        <sz val="10"/>
        <color rgb="FF000000"/>
        <rFont val="WenQuanYi Zen Hei"/>
        <family val="2"/>
      </rPr>
      <t xml:space="preserve">）で現地端末との接続確認が必要。神戸は</t>
    </r>
    <r>
      <rPr>
        <sz val="10"/>
        <color rgb="FF000000"/>
        <rFont val="Arial"/>
        <family val="2"/>
        <charset val="1"/>
      </rPr>
      <t xml:space="preserve">10/28-29</t>
    </r>
    <r>
      <rPr>
        <sz val="10"/>
        <color rgb="FF000000"/>
        <rFont val="WenQuanYi Zen Hei"/>
        <family val="2"/>
      </rPr>
      <t xml:space="preserve">が平日のため</t>
    </r>
    <r>
      <rPr>
        <sz val="10"/>
        <color rgb="FF000000"/>
        <rFont val="Arial"/>
        <family val="2"/>
        <charset val="1"/>
      </rPr>
      <t xml:space="preserve">JST 9:30-17:45</t>
    </r>
    <r>
      <rPr>
        <sz val="10"/>
        <color rgb="FF000000"/>
        <rFont val="WenQuanYi Zen Hei"/>
        <family val="2"/>
      </rPr>
      <t xml:space="preserve">の勤務時間内に収まる。</t>
    </r>
  </si>
  <si>
    <r>
      <rPr>
        <sz val="10"/>
        <color rgb="FF000000"/>
        <rFont val="Arial"/>
        <family val="2"/>
        <charset val="1"/>
      </rPr>
      <t xml:space="preserve">10/26-27</t>
    </r>
    <r>
      <rPr>
        <sz val="10"/>
        <color rgb="FF000000"/>
        <rFont val="WenQuanYi Zen Hei"/>
        <family val="2"/>
      </rPr>
      <t xml:space="preserve">に中村・山口が現地（荒木田・池田）と接続テスト。寺坂・伊達のバックアップ要否を本人に確認。</t>
    </r>
  </si>
  <si>
    <t xml:space="preserve">参加者誘導（Dorsett⇔EXPO、パレード前）</t>
  </si>
  <si>
    <r>
      <rPr>
        <sz val="10"/>
        <color rgb="FF000000"/>
        <rFont val="Arial"/>
        <family val="2"/>
        <charset val="1"/>
      </rPr>
      <t xml:space="preserve">10/29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30 </t>
    </r>
    <r>
      <rPr>
        <sz val="10"/>
        <color rgb="FF000000"/>
        <rFont val="WenQuanYi Zen Hei"/>
        <family val="2"/>
      </rPr>
      <t xml:space="preserve">朝 </t>
    </r>
    <r>
      <rPr>
        <sz val="10"/>
        <color rgb="FF000000"/>
        <rFont val="Arial"/>
        <family val="2"/>
        <charset val="1"/>
      </rPr>
      <t xml:space="preserve">08:00-09:00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17:00-18:30</t>
    </r>
  </si>
  <si>
    <t xml:space="preserve">田中、吉田、塩見</t>
  </si>
  <si>
    <r>
      <rPr>
        <sz val="10"/>
        <color rgb="FF000000"/>
        <rFont val="Arial"/>
        <family val="2"/>
        <charset val="1"/>
      </rPr>
      <t xml:space="preserve">9/4</t>
    </r>
    <r>
      <rPr>
        <sz val="10"/>
        <color rgb="FF000000"/>
        <rFont val="WenQuanYi Zen Hei"/>
        <family val="2"/>
      </rPr>
      <t xml:space="preserve">打合せ</t>
    </r>
    <r>
      <rPr>
        <sz val="10"/>
        <color rgb="FF000000"/>
        <rFont val="Arial"/>
        <family val="2"/>
        <charset val="1"/>
      </rPr>
      <t xml:space="preserve">: SCDF</t>
    </r>
    <r>
      <rPr>
        <sz val="10"/>
        <color rgb="FF000000"/>
        <rFont val="WenQuanYi Zen Hei"/>
        <family val="2"/>
      </rPr>
      <t xml:space="preserve">の引率は</t>
    </r>
    <r>
      <rPr>
        <sz val="10"/>
        <color rgb="FF000000"/>
        <rFont val="Arial"/>
        <family val="2"/>
        <charset val="1"/>
      </rPr>
      <t xml:space="preserve">28</t>
    </r>
    <r>
      <rPr>
        <sz val="10"/>
        <color rgb="FF000000"/>
        <rFont val="WenQuanYi Zen Hei"/>
        <family val="2"/>
      </rPr>
      <t xml:space="preserve">日のみ。</t>
    </r>
    <r>
      <rPr>
        <sz val="10"/>
        <color rgb="FF000000"/>
        <rFont val="Arial"/>
        <family val="2"/>
        <charset val="1"/>
      </rPr>
      <t xml:space="preserve">29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30</t>
    </r>
    <r>
      <rPr>
        <sz val="10"/>
        <color rgb="FF000000"/>
        <rFont val="WenQuanYi Zen Hei"/>
        <family val="2"/>
      </rPr>
      <t xml:space="preserve">日朝と、パレード前（ホテルで着替え後に</t>
    </r>
    <r>
      <rPr>
        <sz val="10"/>
        <color rgb="FF000000"/>
        <rFont val="Arial"/>
        <family val="2"/>
        <charset val="1"/>
      </rPr>
      <t xml:space="preserve">EXPO</t>
    </r>
    <r>
      <rPr>
        <sz val="10"/>
        <color rgb="FF000000"/>
        <rFont val="WenQuanYi Zen Hei"/>
        <family val="2"/>
      </rPr>
      <t xml:space="preserve">へ再移動、渋滞で遅れるリスク）の誘導は</t>
    </r>
    <r>
      <rPr>
        <sz val="10"/>
        <color rgb="FF000000"/>
        <rFont val="Arial"/>
        <family val="2"/>
        <charset val="1"/>
      </rPr>
      <t xml:space="preserve">ADRC</t>
    </r>
    <r>
      <rPr>
        <sz val="10"/>
        <color rgb="FF000000"/>
        <rFont val="WenQuanYi Zen Hei"/>
        <family val="2"/>
      </rPr>
      <t xml:space="preserve">側で必要。参加者リストを作って担当を割り当てる（荒木田アクション）</t>
    </r>
  </si>
  <si>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参加者リストを基に誘導担当を確定。バス・タクシーの手配は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と調整。ドレスコードを事前周知</t>
    </r>
  </si>
  <si>
    <t xml:space="preserve">結論（案）</t>
  </si>
  <si>
    <r>
      <rPr>
        <sz val="10"/>
        <color rgb="FF000000"/>
        <rFont val="Arial"/>
        <family val="2"/>
        <charset val="1"/>
      </rPr>
      <t xml:space="preserve">1. </t>
    </r>
    <r>
      <rPr>
        <sz val="10"/>
        <color rgb="FF000000"/>
        <rFont val="WenQuanYi Zen Hei"/>
        <family val="2"/>
      </rPr>
      <t xml:space="preserve">現地要員は役員</t>
    </r>
    <r>
      <rPr>
        <sz val="10"/>
        <color rgb="FF000000"/>
        <rFont val="Arial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名＋運営</t>
    </r>
    <r>
      <rPr>
        <sz val="10"/>
        <color rgb="FF000000"/>
        <rFont val="Arial"/>
        <family val="2"/>
        <charset val="1"/>
      </rPr>
      <t xml:space="preserve">9</t>
    </r>
    <r>
      <rPr>
        <sz val="10"/>
        <color rgb="FF000000"/>
        <rFont val="WenQuanYi Zen Hei"/>
        <family val="2"/>
      </rPr>
      <t xml:space="preserve">名（荒木田・児玉・吉田・藤中・田中・池田・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・森口）。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は会期中の参加可（フライト未取得）、森口は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担当として例年どおり現地参加見込（未手配）。</t>
    </r>
  </si>
  <si>
    <r>
      <rPr>
        <sz val="10"/>
        <color rgb="FF000000"/>
        <rFont val="Arial"/>
        <family val="2"/>
        <charset val="1"/>
      </rPr>
      <t xml:space="preserve">2. </t>
    </r>
    <r>
      <rPr>
        <sz val="10"/>
        <color rgb="FF000000"/>
        <rFont val="WenQuanYi Zen Hei"/>
        <family val="2"/>
      </rPr>
      <t xml:space="preserve">藤本（撮影・現地一次対応）と塩見（記録・誘導）は</t>
    </r>
    <r>
      <rPr>
        <sz val="10"/>
        <color rgb="FF000000"/>
        <rFont val="Arial"/>
        <family val="2"/>
        <charset val="1"/>
      </rPr>
      <t xml:space="preserve">9/4</t>
    </r>
    <r>
      <rPr>
        <sz val="10"/>
        <color rgb="FF000000"/>
        <rFont val="WenQuanYi Zen Hei"/>
        <family val="2"/>
      </rPr>
      <t xml:space="preserve">に本人承諾済み。日本側（中村・山口）と合わせ、赤字だったギャップは解消の見込み。残るのは両名と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・森口の手配（フライト・</t>
    </r>
    <r>
      <rPr>
        <sz val="10"/>
        <color rgb="FF000000"/>
        <rFont val="Arial"/>
        <family val="2"/>
        <charset val="1"/>
      </rPr>
      <t xml:space="preserve">Hotel Mi</t>
    </r>
    <r>
      <rPr>
        <sz val="10"/>
        <color rgb="FF000000"/>
        <rFont val="WenQuanYi Zen Hei"/>
        <family val="2"/>
      </rPr>
      <t xml:space="preserve">）と、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との役割分担の合意（別シート「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協議事項」）。</t>
    </r>
  </si>
  <si>
    <r>
      <rPr>
        <sz val="10"/>
        <color rgb="FF000000"/>
        <rFont val="Arial"/>
        <family val="2"/>
        <charset val="1"/>
      </rPr>
      <t xml:space="preserve">3. </t>
    </r>
    <r>
      <rPr>
        <sz val="10"/>
        <color rgb="FF000000"/>
        <rFont val="WenQuanYi Zen Hei"/>
        <family val="2"/>
      </rPr>
      <t xml:space="preserve">追加候補は </t>
    </r>
    <r>
      <rPr>
        <sz val="10"/>
        <color rgb="FF000000"/>
        <rFont val="Arial"/>
        <family val="2"/>
        <charset val="1"/>
      </rPr>
      <t xml:space="preserve">(a) </t>
    </r>
    <r>
      <rPr>
        <sz val="10"/>
        <color rgb="FF000000"/>
        <rFont val="WenQuanYi Zen Hei"/>
        <family val="2"/>
      </rPr>
      <t xml:space="preserve">藤本：</t>
    </r>
    <r>
      <rPr>
        <sz val="10"/>
        <color rgb="FF000000"/>
        <rFont val="Arial"/>
        <family val="2"/>
        <charset val="1"/>
      </rPr>
      <t xml:space="preserve">Zoom</t>
    </r>
    <r>
      <rPr>
        <sz val="10"/>
        <color rgb="FF000000"/>
        <rFont val="WenQuanYi Zen Hei"/>
        <family val="2"/>
      </rPr>
      <t xml:space="preserve">設定・広報・リスト出力担当で受付</t>
    </r>
    <r>
      <rPr>
        <sz val="10"/>
        <color rgb="FF000000"/>
        <rFont val="Arial"/>
        <family val="2"/>
        <charset val="1"/>
      </rPr>
      <t xml:space="preserve">/AV/</t>
    </r>
    <r>
      <rPr>
        <sz val="10"/>
        <color rgb="FF000000"/>
        <rFont val="WenQuanYi Zen Hei"/>
        <family val="2"/>
      </rPr>
      <t xml:space="preserve">写真を兼務できる。</t>
    </r>
    <r>
      <rPr>
        <sz val="10"/>
        <color rgb="FF000000"/>
        <rFont val="Arial"/>
        <family val="2"/>
        <charset val="1"/>
      </rPr>
      <t xml:space="preserve">(b) </t>
    </r>
    <r>
      <rPr>
        <sz val="10"/>
        <color rgb="FF000000"/>
        <rFont val="WenQuanYi Zen Hei"/>
        <family val="2"/>
      </rPr>
      <t xml:space="preserve">塩見：サマリー担当、セッション補助。</t>
    </r>
  </si>
  <si>
    <r>
      <rPr>
        <sz val="10"/>
        <color rgb="FF000000"/>
        <rFont val="Arial"/>
        <family val="2"/>
        <charset val="1"/>
      </rPr>
      <t xml:space="preserve">4. </t>
    </r>
    <r>
      <rPr>
        <sz val="10"/>
        <color rgb="FF000000"/>
        <rFont val="WenQuanYi Zen Hei"/>
        <family val="2"/>
      </rPr>
      <t xml:space="preserve">追加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名の概算増</t>
    </r>
    <r>
      <rPr>
        <sz val="10"/>
        <color rgb="FF000000"/>
        <rFont val="Arial"/>
        <family val="2"/>
        <charset val="1"/>
      </rPr>
      <t xml:space="preserve">: </t>
    </r>
    <r>
      <rPr>
        <sz val="10"/>
        <color rgb="FF000000"/>
        <rFont val="WenQuanYi Zen Hei"/>
        <family val="2"/>
      </rPr>
      <t xml:space="preserve">航空券（関空</t>
    </r>
    <r>
      <rPr>
        <sz val="10"/>
        <color rgb="FF000000"/>
        <rFont val="Arial"/>
        <family val="2"/>
        <charset val="1"/>
      </rPr>
      <t xml:space="preserve">LCC</t>
    </r>
    <r>
      <rPr>
        <sz val="10"/>
        <color rgb="FF000000"/>
        <rFont val="WenQuanYi Zen Hei"/>
        <family val="2"/>
      </rPr>
      <t xml:space="preserve">）約</t>
    </r>
    <r>
      <rPr>
        <sz val="10"/>
        <color rgb="FF000000"/>
        <rFont val="Arial"/>
        <family val="2"/>
        <charset val="1"/>
      </rPr>
      <t xml:space="preserve">15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2"/>
        <charset val="1"/>
      </rPr>
      <t xml:space="preserve">×2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2"/>
        <charset val="1"/>
      </rPr>
      <t xml:space="preserve">Hotel Mi 6</t>
    </r>
    <r>
      <rPr>
        <sz val="10"/>
        <color rgb="FF000000"/>
        <rFont val="WenQuanYi Zen Hei"/>
        <family val="2"/>
      </rPr>
      <t xml:space="preserve">泊約</t>
    </r>
    <r>
      <rPr>
        <sz val="10"/>
        <color rgb="FF000000"/>
        <rFont val="Arial"/>
        <family val="2"/>
        <charset val="1"/>
      </rPr>
      <t xml:space="preserve">10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2"/>
        <charset val="1"/>
      </rPr>
      <t xml:space="preserve">×2</t>
    </r>
    <r>
      <rPr>
        <sz val="10"/>
        <color rgb="FF000000"/>
        <rFont val="WenQuanYi Zen Hei"/>
        <family val="2"/>
      </rPr>
      <t xml:space="preserve">＋日当 ≒ </t>
    </r>
    <r>
      <rPr>
        <sz val="10"/>
        <color rgb="FF000000"/>
        <rFont val="Arial"/>
        <family val="2"/>
        <charset val="1"/>
      </rPr>
      <t xml:space="preserve">55-60</t>
    </r>
    <r>
      <rPr>
        <sz val="10"/>
        <color rgb="FF000000"/>
        <rFont val="WenQuanYi Zen Hei"/>
        <family val="2"/>
      </rPr>
      <t xml:space="preserve">万円。</t>
    </r>
    <r>
      <rPr>
        <sz val="10"/>
        <color rgb="FF000000"/>
        <rFont val="Arial"/>
        <family val="2"/>
        <charset val="1"/>
      </rPr>
      <t xml:space="preserve">ACDR2026</t>
    </r>
    <r>
      <rPr>
        <sz val="10"/>
        <color rgb="FF000000"/>
        <rFont val="WenQuanYi Zen Hei"/>
        <family val="2"/>
      </rPr>
      <t xml:space="preserve">予算</t>
    </r>
    <r>
      <rPr>
        <sz val="10"/>
        <color rgb="FF000000"/>
        <rFont val="Arial"/>
        <family val="2"/>
        <charset val="1"/>
      </rPr>
      <t xml:space="preserve">.xlsx(8/21)</t>
    </r>
    <r>
      <rPr>
        <sz val="10"/>
        <color rgb="FF000000"/>
        <rFont val="WenQuanYi Zen Hei"/>
        <family val="2"/>
      </rPr>
      <t xml:space="preserve">の『スタッフ宿泊 </t>
    </r>
    <r>
      <rPr>
        <sz val="10"/>
        <color rgb="FF000000"/>
        <rFont val="Arial"/>
        <family val="2"/>
        <charset val="1"/>
      </rPr>
      <t xml:space="preserve">1,120,000</t>
    </r>
    <r>
      <rPr>
        <sz val="10"/>
        <color rgb="FF000000"/>
        <rFont val="WenQuanYi Zen Hei"/>
        <family val="2"/>
      </rPr>
      <t xml:space="preserve">円』は</t>
    </r>
    <r>
      <rPr>
        <sz val="10"/>
        <color rgb="FF000000"/>
        <rFont val="Arial"/>
        <family val="2"/>
        <charset val="1"/>
      </rPr>
      <t xml:space="preserve">70</t>
    </r>
    <r>
      <rPr>
        <sz val="10"/>
        <color rgb="FF000000"/>
        <rFont val="WenQuanYi Zen Hei"/>
        <family val="2"/>
      </rPr>
      <t xml:space="preserve">泊分で、現在の確定分（約</t>
    </r>
    <r>
      <rPr>
        <sz val="10"/>
        <color rgb="FF000000"/>
        <rFont val="Arial"/>
        <family val="2"/>
        <charset val="1"/>
      </rPr>
      <t xml:space="preserve">45</t>
    </r>
    <r>
      <rPr>
        <sz val="10"/>
        <color rgb="FF000000"/>
        <rFont val="WenQuanYi Zen Hei"/>
        <family val="2"/>
      </rPr>
      <t xml:space="preserve">泊）に対し余裕あり。一方、藤中は既に総額</t>
    </r>
    <r>
      <rPr>
        <sz val="10"/>
        <color rgb="FF000000"/>
        <rFont val="Arial"/>
        <family val="2"/>
        <charset val="1"/>
      </rPr>
      <t xml:space="preserve">1,695</t>
    </r>
    <r>
      <rPr>
        <sz val="10"/>
        <color rgb="FF000000"/>
        <rFont val="WenQuanYi Zen Hei"/>
        <family val="2"/>
      </rPr>
      <t xml:space="preserve">万円で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月見積</t>
    </r>
    <r>
      <rPr>
        <sz val="10"/>
        <color rgb="FF000000"/>
        <rFont val="Arial"/>
        <family val="2"/>
        <charset val="1"/>
      </rPr>
      <t xml:space="preserve">(1,664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超過を指摘しており、メンバー国参加が</t>
    </r>
    <r>
      <rPr>
        <sz val="10"/>
        <color rgb="FF000000"/>
        <rFont val="Arial"/>
        <family val="2"/>
        <charset val="1"/>
      </rPr>
      <t xml:space="preserve">20</t>
    </r>
    <r>
      <rPr>
        <sz val="10"/>
        <color rgb="FF000000"/>
        <rFont val="WenQuanYi Zen Hei"/>
        <family val="2"/>
      </rPr>
      <t xml:space="preserve">か国未満で収まるか（現状</t>
    </r>
    <r>
      <rPr>
        <sz val="10"/>
        <color rgb="FF000000"/>
        <rFont val="Arial"/>
        <family val="2"/>
        <charset val="1"/>
      </rPr>
      <t xml:space="preserve">17</t>
    </r>
    <r>
      <rPr>
        <sz val="10"/>
        <color rgb="FF000000"/>
        <rFont val="WenQuanYi Zen Hei"/>
        <family val="2"/>
      </rPr>
      <t xml:space="preserve">か国程度）が財源の鍵。</t>
    </r>
  </si>
  <si>
    <r>
      <rPr>
        <sz val="10"/>
        <color rgb="FF000000"/>
        <rFont val="Arial"/>
        <family val="2"/>
        <charset val="1"/>
      </rPr>
      <t xml:space="preserve">5. </t>
    </r>
    <r>
      <rPr>
        <sz val="10"/>
        <color rgb="FF000000"/>
        <rFont val="WenQuanYi Zen Hei"/>
        <family val="2"/>
      </rPr>
      <t xml:space="preserve">打合せ後の確認事項</t>
    </r>
    <r>
      <rPr>
        <sz val="10"/>
        <color rgb="FF000000"/>
        <rFont val="Arial"/>
        <family val="2"/>
        <charset val="1"/>
      </rPr>
      <t xml:space="preserve">: ①</t>
    </r>
    <r>
      <rPr>
        <sz val="10"/>
        <color rgb="FF000000"/>
        <rFont val="WenQuanYi Zen Hei"/>
        <family val="2"/>
      </rPr>
      <t xml:space="preserve">宮木・児玉の</t>
    </r>
    <r>
      <rPr>
        <sz val="10"/>
        <color rgb="FF000000"/>
        <rFont val="Arial"/>
        <family val="2"/>
        <charset val="1"/>
      </rPr>
      <t xml:space="preserve">10/25</t>
    </r>
    <r>
      <rPr>
        <sz val="10"/>
        <color rgb="FF000000"/>
        <rFont val="WenQuanYi Zen Hei"/>
        <family val="2"/>
      </rPr>
      <t xml:space="preserve">泊（</t>
    </r>
    <r>
      <rPr>
        <sz val="10"/>
        <color rgb="FF000000"/>
        <rFont val="Arial"/>
        <family val="2"/>
        <charset val="1"/>
      </rPr>
      <t xml:space="preserve">25</t>
    </r>
    <r>
      <rPr>
        <sz val="10"/>
        <color rgb="FF000000"/>
        <rFont val="WenQuanYi Zen Hei"/>
        <family val="2"/>
      </rPr>
      <t xml:space="preserve">日</t>
    </r>
    <r>
      <rPr>
        <sz val="10"/>
        <color rgb="FF000000"/>
        <rFont val="Arial"/>
        <family val="2"/>
        <charset val="1"/>
      </rPr>
      <t xml:space="preserve">23:40</t>
    </r>
    <r>
      <rPr>
        <sz val="10"/>
        <color rgb="FF000000"/>
        <rFont val="WenQuanYi Zen Hei"/>
        <family val="2"/>
      </rPr>
      <t xml:space="preserve">着、宿泊必要と確認 </t>
    </r>
    <r>
      <rPr>
        <sz val="10"/>
        <color rgb="FF000000"/>
        <rFont val="Arial"/>
        <family val="2"/>
        <charset val="1"/>
      </rPr>
      <t xml:space="preserve">9/6</t>
    </r>
    <r>
      <rPr>
        <sz val="10"/>
        <color rgb="FF000000"/>
        <rFont val="WenQuanYi Zen Hei"/>
        <family val="2"/>
      </rPr>
      <t xml:space="preserve">）の手配。所長の宿泊先（</t>
    </r>
    <r>
      <rPr>
        <sz val="10"/>
        <color rgb="FF000000"/>
        <rFont val="Arial"/>
        <family val="2"/>
        <charset val="1"/>
      </rPr>
      <t xml:space="preserve">Dorsett/</t>
    </r>
    <r>
      <rPr>
        <sz val="10"/>
        <color rgb="FF000000"/>
        <rFont val="WenQuanYi Zen Hei"/>
        <family val="2"/>
      </rPr>
      <t xml:space="preserve">任意）は未定、②池田・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の復路便名（</t>
    </r>
    <r>
      <rPr>
        <sz val="10"/>
        <color rgb="FF000000"/>
        <rFont val="Arial"/>
        <family val="2"/>
        <charset val="1"/>
      </rPr>
      <t xml:space="preserve">SQ622=14:25</t>
    </r>
    <r>
      <rPr>
        <sz val="10"/>
        <color rgb="FF000000"/>
        <rFont val="WenQuanYi Zen Hei"/>
        <family val="2"/>
      </rPr>
      <t xml:space="preserve">発、</t>
    </r>
    <r>
      <rPr>
        <sz val="10"/>
        <color rgb="FF000000"/>
        <rFont val="Arial"/>
        <family val="2"/>
        <charset val="1"/>
      </rPr>
      <t xml:space="preserve">01:30</t>
    </r>
    <r>
      <rPr>
        <sz val="10"/>
        <color rgb="FF000000"/>
        <rFont val="WenQuanYi Zen Hei"/>
        <family val="2"/>
      </rPr>
      <t xml:space="preserve">発は</t>
    </r>
    <r>
      <rPr>
        <sz val="10"/>
        <color rgb="FF000000"/>
        <rFont val="Arial"/>
        <family val="2"/>
        <charset val="1"/>
      </rPr>
      <t xml:space="preserve">SQ618</t>
    </r>
    <r>
      <rPr>
        <sz val="10"/>
        <color rgb="FF000000"/>
        <rFont val="WenQuanYi Zen Hei"/>
        <family val="2"/>
      </rPr>
      <t xml:space="preserve">）、③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・森口・藤本・塩見のフライト・宿泊手配、④内閣府のホテル、⑤</t>
    </r>
    <r>
      <rPr>
        <sz val="10"/>
        <color rgb="FF000000"/>
        <rFont val="Arial"/>
        <family val="2"/>
        <charset val="1"/>
      </rPr>
      <t xml:space="preserve">COSEM/SCDF</t>
    </r>
    <r>
      <rPr>
        <sz val="10"/>
        <color rgb="FF000000"/>
        <rFont val="WenQuanYi Zen Hei"/>
        <family val="2"/>
      </rPr>
      <t xml:space="preserve">との役割分担とドレスコード → シート「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協議事項」で管理（第</t>
    </r>
    <r>
      <rPr>
        <sz val="10"/>
        <color rgb="FF000000"/>
        <rFont val="Arial"/>
        <family val="2"/>
        <charset val="1"/>
      </rPr>
      <t xml:space="preserve">5</t>
    </r>
    <r>
      <rPr>
        <sz val="10"/>
        <color rgb="FF000000"/>
        <rFont val="WenQuanYi Zen Hei"/>
        <family val="2"/>
      </rPr>
      <t xml:space="preserve">回合同会議（</t>
    </r>
    <r>
      <rPr>
        <sz val="10"/>
        <color rgb="FF000000"/>
        <rFont val="Arial"/>
        <family val="2"/>
        <charset val="1"/>
      </rPr>
      <t xml:space="preserve">9/15</t>
    </r>
    <r>
      <rPr>
        <sz val="10"/>
        <color rgb="FF000000"/>
        <rFont val="WenQuanYi Zen Hei"/>
        <family val="2"/>
      </rPr>
      <t xml:space="preserve">オンライン）＋メール＋</t>
    </r>
    <r>
      <rPr>
        <sz val="10"/>
        <color rgb="FF000000"/>
        <rFont val="Arial"/>
        <family val="2"/>
        <charset val="1"/>
      </rPr>
      <t xml:space="preserve">Zoom</t>
    </r>
    <r>
      <rPr>
        <sz val="10"/>
        <color rgb="FF000000"/>
        <rFont val="WenQuanYi Zen Hei"/>
        <family val="2"/>
      </rPr>
      <t xml:space="preserve">で合意、</t>
    </r>
    <r>
      <rPr>
        <sz val="10"/>
        <color rgb="FF000000"/>
        <rFont val="Arial"/>
        <family val="2"/>
        <charset val="1"/>
      </rPr>
      <t xml:space="preserve">Final Announcement 10/13</t>
    </r>
    <r>
      <rPr>
        <sz val="10"/>
        <color rgb="FF000000"/>
        <rFont val="WenQuanYi Zen Hei"/>
        <family val="2"/>
      </rPr>
      <t xml:space="preserve">前に</t>
    </r>
    <r>
      <rPr>
        <sz val="10"/>
        <color rgb="FF000000"/>
        <rFont val="Arial"/>
        <family val="2"/>
        <charset val="1"/>
      </rPr>
      <t xml:space="preserve">GI</t>
    </r>
    <r>
      <rPr>
        <sz val="10"/>
        <color rgb="FF000000"/>
        <rFont val="WenQuanYi Zen Hei"/>
        <family val="2"/>
      </rPr>
      <t xml:space="preserve">へ反映）。</t>
    </r>
  </si>
  <si>
    <t xml:space="preserve">今後のスケジュール（9/4打合せ）</t>
  </si>
  <si>
    <t xml:space="preserve">・9/12: Google登壇者の回答期限。TS登壇者（JAXA確定、内閣府枠でJapan Pavilion出展企業2社程度、モデレーター代替候補、Mizan=Co-Chair案）を荒木田が池田と確認しインビテーション発出</t>
  </si>
  <si>
    <t xml:space="preserve">・9月下旬: 次回所内打合せ（会場レイアウト表、COSEMとの役割分担案、動態表更新版を提示）</t>
  </si>
  <si>
    <t xml:space="preserve">・10/9(金) 理想、遅くとも10/13-16: ロジ最終版・アジェンダ最終ドラフト・SC書類を完成、メンバー国・参加者へ送付（藤中）</t>
  </si>
  <si>
    <t xml:space="preserve">・10/13: Final Announcement（開催2週間前）</t>
  </si>
  <si>
    <t xml:space="preserve">・10/26-27: 現地入り、日本側との接続・運用テスト、27日午前に全員で会場下見</t>
  </si>
  <si>
    <t xml:space="preserve">・広報: 内閣府・県庁記者クラブへのプレスリリース（管理部と宮木）、神戸新聞記者（7月来訪、ネパール取材）へ案内（荒木田）</t>
  </si>
  <si>
    <r>
      <rPr>
        <b val="true"/>
        <sz val="13"/>
        <color rgb="FF1F4E78"/>
        <rFont val="Arial"/>
        <family val="0"/>
        <charset val="1"/>
      </rPr>
      <t xml:space="preserve">COSEM/SCDF</t>
    </r>
    <r>
      <rPr>
        <b val="true"/>
        <sz val="13"/>
        <color rgb="FF1F4E78"/>
        <rFont val="WenQuanYi Zen Hei"/>
        <family val="2"/>
      </rPr>
      <t xml:space="preserve">との協議事項（役割分担・ドレスコード・会場・導線・記録・事務・プログラム）　</t>
    </r>
    <r>
      <rPr>
        <b val="true"/>
        <sz val="13"/>
        <color rgb="FF1F4E78"/>
        <rFont val="Arial"/>
        <family val="0"/>
        <charset val="1"/>
      </rPr>
      <t xml:space="preserve">as of 2026/9/6</t>
    </r>
  </si>
  <si>
    <t xml:space="preserve">協議の場: 第5回合同会議（9/15、オンライン。Sylvia 6/18・内閣府8/31資料で確認）＋メール＋Zoom（9/4 荒木田）。5月の事前協議チェックリストで「未対応」のまま残る項目を再掲し、9/4所内打合せで出た論点を加えた。合意内容はGI改訂（Final Announcement 10/13前）と運営マニュアルに反映する。状態: 未協議／協議中／合意。</t>
  </si>
  <si>
    <t xml:space="preserve">区分</t>
  </si>
  <si>
    <t xml:space="preserve">項目</t>
  </si>
  <si>
    <r>
      <rPr>
        <b val="true"/>
        <sz val="10"/>
        <color rgb="FFFFFFFF"/>
        <rFont val="Arial"/>
        <family val="0"/>
        <charset val="1"/>
      </rPr>
      <t xml:space="preserve">ADRC</t>
    </r>
    <r>
      <rPr>
        <b val="true"/>
        <sz val="10"/>
        <color rgb="FFFFFFFF"/>
        <rFont val="WenQuanYi Zen Hei"/>
        <family val="2"/>
      </rPr>
      <t xml:space="preserve">側の現状認識・案</t>
    </r>
  </si>
  <si>
    <r>
      <rPr>
        <b val="true"/>
        <sz val="10"/>
        <color rgb="FFFFFFFF"/>
        <rFont val="Arial"/>
        <family val="0"/>
        <charset val="1"/>
      </rPr>
      <t xml:space="preserve">COSEM/SCDF</t>
    </r>
    <r>
      <rPr>
        <b val="true"/>
        <sz val="10"/>
        <color rgb="FFFFFFFF"/>
        <rFont val="WenQuanYi Zen Hei"/>
        <family val="2"/>
      </rPr>
      <t xml:space="preserve">に確認・合意したいこと</t>
    </r>
  </si>
  <si>
    <t xml:space="preserve">根拠</t>
  </si>
  <si>
    <t xml:space="preserve">希望期限</t>
  </si>
  <si>
    <r>
      <rPr>
        <b val="true"/>
        <sz val="10"/>
        <color rgb="FFFFFFFF"/>
        <rFont val="Arial"/>
        <family val="0"/>
        <charset val="1"/>
      </rPr>
      <t xml:space="preserve">ADRC</t>
    </r>
    <r>
      <rPr>
        <b val="true"/>
        <sz val="10"/>
        <color rgb="FFFFFFFF"/>
        <rFont val="WenQuanYi Zen Hei"/>
        <family val="2"/>
      </rPr>
      <t xml:space="preserve">担当</t>
    </r>
  </si>
  <si>
    <t xml:space="preserve">状態</t>
  </si>
  <si>
    <t xml:space="preserve">A1</t>
  </si>
  <si>
    <t xml:space="preserve">役割分担</t>
  </si>
  <si>
    <r>
      <rPr>
        <sz val="9"/>
        <rFont val="Arial"/>
        <family val="0"/>
        <charset val="1"/>
      </rPr>
      <t xml:space="preserve">28</t>
    </r>
    <r>
      <rPr>
        <sz val="9"/>
        <rFont val="WenQuanYi Zen Hei"/>
        <family val="2"/>
      </rPr>
      <t xml:space="preserve">日朝の会場・</t>
    </r>
    <r>
      <rPr>
        <sz val="9"/>
        <rFont val="Arial"/>
        <family val="0"/>
        <charset val="1"/>
      </rPr>
      <t xml:space="preserve">NW</t>
    </r>
    <r>
      <rPr>
        <sz val="9"/>
        <rFont val="WenQuanYi Zen Hei"/>
        <family val="2"/>
      </rPr>
      <t xml:space="preserve">最終テスト</t>
    </r>
  </si>
  <si>
    <t xml:space="preserve">荒木田・池田が07:30から実施し、日本側（中村・山口）と接続確認。会場は27日午後以降のみ使用可のため、27日は持込PCでのテストに限られる</t>
  </si>
  <si>
    <t xml:space="preserve">開始時刻（7:30か8:00）、COSEM/SCDF側の立会い者とAV操作者、演台・客席・事務局部屋での実測、衛星データ/ARデモの再生確認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</si>
  <si>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1-IT</t>
    </r>
    <r>
      <rPr>
        <sz val="9"/>
        <rFont val="WenQuanYi Zen Hei"/>
        <family val="2"/>
      </rPr>
      <t xml:space="preserve">（要確定）、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</si>
  <si>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t xml:space="preserve">第5回合同会議（9/15）</t>
  </si>
  <si>
    <t xml:space="preserve">荒木田・池田</t>
  </si>
  <si>
    <t xml:space="preserve">協議中</t>
  </si>
  <si>
    <t xml:space="preserve">A2</t>
  </si>
  <si>
    <r>
      <rPr>
        <sz val="9"/>
        <rFont val="Arial"/>
        <family val="0"/>
        <charset val="1"/>
      </rPr>
      <t xml:space="preserve">Webinar</t>
    </r>
    <r>
      <rPr>
        <sz val="9"/>
        <rFont val="WenQuanYi Zen Hei"/>
        <family val="2"/>
      </rPr>
      <t xml:space="preserve">／</t>
    </r>
    <r>
      <rPr>
        <sz val="9"/>
        <rFont val="Arial"/>
        <family val="0"/>
        <charset val="1"/>
      </rPr>
      <t xml:space="preserve">Zoom</t>
    </r>
    <r>
      <rPr>
        <sz val="9"/>
        <rFont val="WenQuanYi Zen Hei"/>
        <family val="2"/>
      </rPr>
      <t xml:space="preserve">／</t>
    </r>
    <r>
      <rPr>
        <sz val="9"/>
        <rFont val="Arial"/>
        <family val="0"/>
        <charset val="1"/>
      </rPr>
      <t xml:space="preserve">AI</t>
    </r>
    <r>
      <rPr>
        <sz val="9"/>
        <rFont val="WenQuanYi Zen Hei"/>
        <family val="2"/>
      </rPr>
      <t xml:space="preserve">通訳ツールの運用</t>
    </r>
  </si>
  <si>
    <t xml:space="preserve">日本側: 中村（Zoomホスト・AI通訳設定・Q&amp;A確認）、山口（録画・オンライン質疑）。現地一次対応: 藤本。ホスト国側で進行・機材を担えるなら望ましい（9/4 荒木田）</t>
  </si>
  <si>
    <t xml:space="preserve">会場PCへの接続方法、スクリーン切替の担当、翻訳ツール（ポケトーク等）のURL/QRの掲示方法、WhatsApp参加者グループの共有、ハイブリッド配信の範囲（RT・TS・SC）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</si>
  <si>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「記録・メディア 未対応」「使用言語 未対応」、</t>
    </r>
    <r>
      <rPr>
        <sz val="9"/>
        <rFont val="Arial"/>
        <family val="0"/>
        <charset val="1"/>
      </rPr>
      <t xml:space="preserve">GI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AI</t>
    </r>
    <r>
      <rPr>
        <sz val="9"/>
        <rFont val="WenQuanYi Zen Hei"/>
        <family val="2"/>
      </rPr>
      <t xml:space="preserve">翻訳ツール試行）、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</si>
  <si>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t xml:space="preserve">荒木田・中村</t>
  </si>
  <si>
    <t xml:space="preserve">未協議</t>
  </si>
  <si>
    <t xml:space="preserve">A3</t>
  </si>
  <si>
    <t xml:space="preserve">モデレーター体制</t>
  </si>
  <si>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側モデレーター（</t>
    </r>
    <r>
      <rPr>
        <sz val="9"/>
        <rFont val="Arial"/>
        <family val="0"/>
        <charset val="1"/>
      </rPr>
      <t xml:space="preserve">Said Faisal</t>
    </r>
    <r>
      <rPr>
        <sz val="9"/>
        <rFont val="WenQuanYi Zen Hei"/>
        <family val="2"/>
      </rPr>
      <t xml:space="preserve">氏辞退後の代替）＋</t>
    </r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側</t>
    </r>
    <r>
      <rPr>
        <sz val="9"/>
        <rFont val="Arial"/>
        <family val="0"/>
        <charset val="1"/>
      </rPr>
      <t xml:space="preserve">Co-Chair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Mizan</t>
    </r>
    <r>
      <rPr>
        <sz val="9"/>
        <rFont val="WenQuanYi Zen Hei"/>
        <family val="2"/>
      </rPr>
      <t xml:space="preserve">案）。</t>
    </r>
    <r>
      <rPr>
        <sz val="9"/>
        <rFont val="Arial"/>
        <family val="0"/>
        <charset val="1"/>
      </rPr>
      <t xml:space="preserve">RT</t>
    </r>
    <r>
      <rPr>
        <sz val="9"/>
        <rFont val="WenQuanYi Zen Hei"/>
        <family val="2"/>
      </rPr>
      <t xml:space="preserve">はメンバー国</t>
    </r>
    <r>
      <rPr>
        <sz val="9"/>
        <rFont val="Arial"/>
        <family val="0"/>
        <charset val="1"/>
      </rPr>
      <t xml:space="preserve">Co-Moderator</t>
    </r>
    <r>
      <rPr>
        <sz val="9"/>
        <rFont val="WenQuanYi Zen Hei"/>
        <family val="2"/>
      </rPr>
      <t xml:space="preserve">＋事前ステートメント回収。</t>
    </r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は司会・モデレーターとして</t>
    </r>
    <r>
      <rPr>
        <sz val="9"/>
        <rFont val="Arial"/>
        <family val="0"/>
        <charset val="1"/>
      </rPr>
      <t xml:space="preserve">LTC Yong Kai</t>
    </r>
    <r>
      <rPr>
        <sz val="9"/>
        <rFont val="WenQuanYi Zen Hei"/>
        <family val="2"/>
      </rPr>
      <t xml:space="preserve">を指名済み（</t>
    </r>
    <r>
      <rPr>
        <sz val="9"/>
        <rFont val="Arial"/>
        <family val="0"/>
        <charset val="1"/>
      </rPr>
      <t xml:space="preserve">Sylvia 7/30 WhatsApp</t>
    </r>
    <r>
      <rPr>
        <sz val="9"/>
        <rFont val="WenQuanYi Zen Hei"/>
        <family val="2"/>
      </rPr>
      <t xml:space="preserve">）。</t>
    </r>
    <r>
      <rPr>
        <sz val="9"/>
        <rFont val="Arial"/>
        <family val="0"/>
        <charset val="1"/>
      </rPr>
      <t xml:space="preserve">TS</t>
    </r>
    <r>
      <rPr>
        <sz val="9"/>
        <rFont val="WenQuanYi Zen Hei"/>
        <family val="2"/>
      </rPr>
      <t xml:space="preserve">も同氏かは未確認</t>
    </r>
  </si>
  <si>
    <r>
      <rPr>
        <sz val="9"/>
        <rFont val="Arial"/>
        <family val="0"/>
        <charset val="1"/>
      </rPr>
      <t xml:space="preserve">LTC Yong Kai</t>
    </r>
    <r>
      <rPr>
        <sz val="9"/>
        <rFont val="WenQuanYi Zen Hei"/>
        <family val="2"/>
      </rPr>
      <t xml:space="preserve">が</t>
    </r>
    <r>
      <rPr>
        <sz val="9"/>
        <rFont val="Arial"/>
        <family val="0"/>
        <charset val="1"/>
      </rPr>
      <t xml:space="preserve">TS</t>
    </r>
    <r>
      <rPr>
        <sz val="9"/>
        <rFont val="WenQuanYi Zen Hei"/>
        <family val="2"/>
      </rPr>
      <t xml:space="preserve">も担当するか</t>
    </r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が別途指名するか、</t>
    </r>
    <r>
      <rPr>
        <sz val="9"/>
        <rFont val="Arial"/>
        <family val="0"/>
        <charset val="1"/>
      </rPr>
      <t xml:space="preserve">Co-Chair</t>
    </r>
    <r>
      <rPr>
        <sz val="9"/>
        <rFont val="WenQuanYi Zen Hei"/>
        <family val="2"/>
      </rPr>
      <t xml:space="preserve">の役割（時間管理・</t>
    </r>
    <r>
      <rPr>
        <sz val="9"/>
        <rFont val="Arial"/>
        <family val="0"/>
        <charset val="1"/>
      </rPr>
      <t xml:space="preserve">Q&amp;A</t>
    </r>
    <r>
      <rPr>
        <sz val="9"/>
        <rFont val="WenQuanYi Zen Hei"/>
        <family val="2"/>
      </rPr>
      <t xml:space="preserve">取次）、プロフィール送付先・期限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</si>
  <si>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「進行」、荒木田</t>
    </r>
    <r>
      <rPr>
        <sz val="9"/>
        <rFont val="Arial"/>
        <family val="0"/>
        <charset val="1"/>
      </rPr>
      <t xml:space="preserve">8/31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Mizan 8/31</t>
    </r>
  </si>
  <si>
    <r>
      <rPr>
        <sz val="9"/>
        <rFont val="Arial"/>
        <family val="0"/>
        <charset val="1"/>
      </rPr>
      <t xml:space="preserve">9/19</t>
    </r>
    <r>
      <rPr>
        <sz val="9"/>
        <rFont val="WenQuanYi Zen Hei"/>
        <family val="2"/>
      </rPr>
      <t xml:space="preserve">（登壇者確定）</t>
    </r>
  </si>
  <si>
    <t xml:space="preserve">荒木田・Mizan・池田</t>
  </si>
  <si>
    <t xml:space="preserve">A4</t>
  </si>
  <si>
    <t xml:space="preserve">受付・名札（QRセット）</t>
  </si>
  <si>
    <r>
      <rPr>
        <sz val="9"/>
        <rFont val="Arial"/>
        <family val="0"/>
        <charset val="1"/>
      </rPr>
      <t xml:space="preserve">QR</t>
    </r>
    <r>
      <rPr>
        <sz val="9"/>
        <rFont val="WenQuanYi Zen Hei"/>
        <family val="2"/>
      </rPr>
      <t xml:space="preserve">付き名札セットは</t>
    </r>
    <r>
      <rPr>
        <sz val="9"/>
        <rFont val="Arial"/>
        <family val="0"/>
        <charset val="1"/>
      </rPr>
      <t xml:space="preserve">27</t>
    </r>
    <r>
      <rPr>
        <sz val="9"/>
        <rFont val="WenQuanYi Zen Hei"/>
        <family val="2"/>
      </rPr>
      <t xml:space="preserve">日の公邸レセプションで手渡し。会場受付は藤中・田中（＋藤本）。当日参加者への対応方針は未定。事前に詳細を渡せば</t>
    </r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が</t>
    </r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招待者の</t>
    </r>
    <r>
      <rPr>
        <sz val="9"/>
        <rFont val="Arial"/>
        <family val="0"/>
        <charset val="1"/>
      </rPr>
      <t xml:space="preserve">SIDEX</t>
    </r>
    <r>
      <rPr>
        <sz val="9"/>
        <rFont val="WenQuanYi Zen Hei"/>
        <family val="2"/>
      </rPr>
      <t xml:space="preserve">登録を裏で行いパスを印刷（</t>
    </r>
    <r>
      <rPr>
        <sz val="9"/>
        <rFont val="Arial"/>
        <family val="0"/>
        <charset val="1"/>
      </rPr>
      <t xml:space="preserve">Sylvia 8/17 WhatsApp</t>
    </r>
    <r>
      <rPr>
        <sz val="9"/>
        <rFont val="WenQuanYi Zen Hei"/>
        <family val="2"/>
      </rPr>
      <t xml:space="preserve">）</t>
    </r>
  </si>
  <si>
    <t xml:space="preserve">会場受付のSCDF/ADRCスタッフ配置、QR読取機の台数・場所、公邸で受け取れなかった人への当日発行、当日飛び込み参加の扱い、会議セット（バッグ等）の配布場所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</si>
  <si>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「事前登録」「受付対応 未対応」「参加者サポート 未対応」</t>
    </r>
  </si>
  <si>
    <t xml:space="preserve">田中・藤中</t>
  </si>
  <si>
    <t xml:space="preserve">A5</t>
  </si>
  <si>
    <t xml:space="preserve">事務局部屋（28-29日）</t>
  </si>
  <si>
    <r>
      <rPr>
        <sz val="9"/>
        <rFont val="Arial"/>
        <family val="0"/>
        <charset val="1"/>
      </rPr>
      <t xml:space="preserve">28</t>
    </r>
    <r>
      <rPr>
        <sz val="9"/>
        <rFont val="WenQuanYi Zen Hei"/>
        <family val="2"/>
      </rPr>
      <t xml:space="preserve">日朝に</t>
    </r>
    <r>
      <rPr>
        <sz val="9"/>
        <rFont val="Arial"/>
        <family val="0"/>
        <charset val="1"/>
      </rPr>
      <t xml:space="preserve">Gerry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Mizan</t>
    </r>
    <r>
      <rPr>
        <sz val="9"/>
        <rFont val="WenQuanYi Zen Hei"/>
        <family val="2"/>
      </rPr>
      <t xml:space="preserve">・塩見・森口が設営。</t>
    </r>
    <r>
      <rPr>
        <sz val="9"/>
        <rFont val="Arial"/>
        <family val="0"/>
        <charset val="1"/>
      </rPr>
      <t xml:space="preserve">29</t>
    </r>
    <r>
      <rPr>
        <sz val="9"/>
        <rFont val="WenQuanYi Zen Hei"/>
        <family val="2"/>
      </rPr>
      <t xml:space="preserve">日終了後に児玉・藤中が撤収（</t>
    </r>
    <r>
      <rPr>
        <sz val="9"/>
        <rFont val="Arial"/>
        <family val="0"/>
        <charset val="1"/>
      </rPr>
      <t xml:space="preserve">27</t>
    </r>
    <r>
      <rPr>
        <sz val="9"/>
        <rFont val="WenQuanYi Zen Hei"/>
        <family val="2"/>
      </rPr>
      <t xml:space="preserve">日と</t>
    </r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日は部屋なし）。</t>
    </r>
    <r>
      <rPr>
        <sz val="9"/>
        <rFont val="Arial"/>
        <family val="0"/>
        <charset val="1"/>
      </rPr>
      <t xml:space="preserve">Tourmaline 207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Peridot 202-205</t>
    </r>
    <r>
      <rPr>
        <sz val="9"/>
        <rFont val="WenQuanYi Zen Hei"/>
        <family val="2"/>
      </rPr>
      <t xml:space="preserve">は</t>
    </r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負担で無償（</t>
    </r>
    <r>
      <rPr>
        <sz val="9"/>
        <rFont val="Arial"/>
        <family val="0"/>
        <charset val="1"/>
      </rPr>
      <t xml:space="preserve">Sylvia 8/25 WhatsApp</t>
    </r>
    <r>
      <rPr>
        <sz val="9"/>
        <rFont val="WenQuanYi Zen Hei"/>
        <family val="2"/>
      </rPr>
      <t xml:space="preserve">）</t>
    </r>
  </si>
  <si>
    <t xml:space="preserve">広さ・施錠・複合機・延長コード・水、28日朝の入室可能時刻、30日の荷物置き場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</si>
  <si>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「事務局部屋 詳細未対応」、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</si>
  <si>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t xml:space="preserve">藤中</t>
  </si>
  <si>
    <t xml:space="preserve">A6</t>
  </si>
  <si>
    <t xml:space="preserve">参加者の引率（ホテル⇔EXPO）</t>
  </si>
  <si>
    <r>
      <rPr>
        <sz val="9"/>
        <rFont val="Arial"/>
        <family val="0"/>
        <charset val="1"/>
      </rPr>
      <t xml:space="preserve">28</t>
    </r>
    <r>
      <rPr>
        <sz val="9"/>
        <rFont val="WenQuanYi Zen Hei"/>
        <family val="2"/>
      </rPr>
      <t xml:space="preserve">日は</t>
    </r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が </t>
    </r>
    <r>
      <rPr>
        <sz val="9"/>
        <rFont val="Arial"/>
        <family val="0"/>
        <charset val="1"/>
      </rPr>
      <t xml:space="preserve">Dorsett→</t>
    </r>
    <r>
      <rPr>
        <sz val="9"/>
        <rFont val="WenQuanYi Zen Hei"/>
        <family val="2"/>
      </rPr>
      <t xml:space="preserve">会場を引率。</t>
    </r>
    <r>
      <rPr>
        <sz val="9"/>
        <rFont val="Arial"/>
        <family val="0"/>
        <charset val="1"/>
      </rPr>
      <t xml:space="preserve">29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日は引率なし（</t>
    </r>
    <r>
      <rPr>
        <sz val="9"/>
        <rFont val="Arial"/>
        <family val="0"/>
        <charset val="1"/>
      </rPr>
      <t xml:space="preserve">9/4 </t>
    </r>
    <r>
      <rPr>
        <sz val="9"/>
        <rFont val="WenQuanYi Zen Hei"/>
        <family val="2"/>
      </rPr>
      <t xml:space="preserve">藤中）→</t>
    </r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側で誘導（田中・吉田・塩見）。パレード前はホテルで着替えて</t>
    </r>
    <r>
      <rPr>
        <sz val="9"/>
        <rFont val="Arial"/>
        <family val="0"/>
        <charset val="1"/>
      </rPr>
      <t xml:space="preserve">EXPO</t>
    </r>
    <r>
      <rPr>
        <sz val="9"/>
        <rFont val="WenQuanYi Zen Hei"/>
        <family val="2"/>
      </rPr>
      <t xml:space="preserve">へ再移動。</t>
    </r>
    <r>
      <rPr>
        <sz val="9"/>
        <rFont val="Arial"/>
        <family val="0"/>
        <charset val="1"/>
      </rPr>
      <t xml:space="preserve">Field Trip</t>
    </r>
    <r>
      <rPr>
        <sz val="9"/>
        <rFont val="WenQuanYi Zen Hei"/>
        <family val="2"/>
      </rPr>
      <t xml:space="preserve">後の</t>
    </r>
    <r>
      <rPr>
        <sz val="9"/>
        <rFont val="Arial"/>
        <family val="0"/>
        <charset val="1"/>
      </rPr>
      <t xml:space="preserve">EXPO</t>
    </r>
    <r>
      <rPr>
        <sz val="9"/>
        <rFont val="WenQuanYi Zen Hei"/>
        <family val="2"/>
      </rPr>
      <t xml:space="preserve">帰着は</t>
    </r>
    <r>
      <rPr>
        <sz val="9"/>
        <rFont val="Arial"/>
        <family val="0"/>
        <charset val="1"/>
      </rPr>
      <t xml:space="preserve">17:00</t>
    </r>
    <r>
      <rPr>
        <sz val="9"/>
        <rFont val="WenQuanYi Zen Hei"/>
        <family val="2"/>
      </rPr>
      <t xml:space="preserve">、パレードは</t>
    </r>
    <r>
      <rPr>
        <sz val="9"/>
        <rFont val="Arial"/>
        <family val="0"/>
        <charset val="1"/>
      </rPr>
      <t xml:space="preserve">18:00</t>
    </r>
    <r>
      <rPr>
        <sz val="9"/>
        <rFont val="WenQuanYi Zen Hei"/>
        <family val="2"/>
      </rPr>
      <t xml:space="preserve">着席・</t>
    </r>
    <r>
      <rPr>
        <sz val="9"/>
        <rFont val="Arial"/>
        <family val="0"/>
        <charset val="1"/>
      </rPr>
      <t xml:space="preserve">GOH 18:30</t>
    </r>
    <r>
      <rPr>
        <sz val="9"/>
        <rFont val="WenQuanYi Zen Hei"/>
        <family val="2"/>
      </rPr>
      <t xml:space="preserve">到着（</t>
    </r>
    <r>
      <rPr>
        <sz val="9"/>
        <rFont val="Arial"/>
        <family val="0"/>
        <charset val="1"/>
      </rPr>
      <t xml:space="preserve">Sylvia 8/26</t>
    </r>
    <r>
      <rPr>
        <sz val="9"/>
        <rFont val="WenQuanYi Zen Hei"/>
        <family val="2"/>
      </rPr>
      <t xml:space="preserve">）→ホテルで着替える時間は約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時間</t>
    </r>
  </si>
  <si>
    <r>
      <rPr>
        <sz val="9"/>
        <rFont val="Arial"/>
        <family val="0"/>
        <charset val="1"/>
      </rPr>
      <t xml:space="preserve">29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日朝のシャトル時刻とバス台数、</t>
    </r>
    <r>
      <rPr>
        <sz val="9"/>
        <rFont val="Arial"/>
        <family val="0"/>
        <charset val="1"/>
      </rPr>
      <t xml:space="preserve">Hotel Mi→EXPO</t>
    </r>
    <r>
      <rPr>
        <sz val="9"/>
        <rFont val="WenQuanYi Zen Hei"/>
        <family val="2"/>
      </rPr>
      <t xml:space="preserve">朝バス、パレード前のホテル→</t>
    </r>
    <r>
      <rPr>
        <sz val="9"/>
        <rFont val="Arial"/>
        <family val="0"/>
        <charset val="1"/>
      </rPr>
      <t xml:space="preserve">EXPO</t>
    </r>
    <r>
      <rPr>
        <sz val="9"/>
        <rFont val="WenQuanYi Zen Hei"/>
        <family val="2"/>
      </rPr>
      <t xml:space="preserve">便と出発時刻、</t>
    </r>
    <r>
      <rPr>
        <sz val="9"/>
        <rFont val="Arial"/>
        <family val="0"/>
        <charset val="1"/>
      </rPr>
      <t xml:space="preserve">Gala</t>
    </r>
    <r>
      <rPr>
        <sz val="9"/>
        <rFont val="WenQuanYi Zen Hei"/>
        <family val="2"/>
      </rPr>
      <t xml:space="preserve">出発（</t>
    </r>
    <r>
      <rPr>
        <sz val="9"/>
        <rFont val="Arial"/>
        <family val="0"/>
        <charset val="1"/>
      </rPr>
      <t xml:space="preserve">17:30 Dorsett</t>
    </r>
    <r>
      <rPr>
        <sz val="9"/>
        <rFont val="WenQuanYi Zen Hei"/>
        <family val="2"/>
      </rPr>
      <t xml:space="preserve">）の集合方法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</si>
  <si>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「導線」、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打合せ、</t>
    </r>
    <r>
      <rPr>
        <sz val="9"/>
        <rFont val="Arial"/>
        <family val="0"/>
        <charset val="1"/>
      </rPr>
      <t xml:space="preserve">Agenda 0805r</t>
    </r>
  </si>
  <si>
    <t xml:space="preserve">田中</t>
  </si>
  <si>
    <t xml:space="preserve">A7</t>
  </si>
  <si>
    <r>
      <rPr>
        <sz val="9"/>
        <rFont val="Arial"/>
        <family val="0"/>
        <charset val="1"/>
      </rPr>
      <t xml:space="preserve">Field Trip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CDA</t>
    </r>
    <r>
      <rPr>
        <sz val="9"/>
        <rFont val="WenQuanYi Zen Hei"/>
        <family val="2"/>
      </rPr>
      <t xml:space="preserve">）の運行</t>
    </r>
  </si>
  <si>
    <t xml:space="preserve">荒木田・吉田が引率、田中が名簿・点呼。北本・宮木も参加</t>
  </si>
  <si>
    <t xml:space="preserve">出発時刻（Flyer 13:00／Agenda 13:30）、ヘルメット・ベスト貸出、休憩・水分、途中下車の柔軟性、渋滞時の短縮判断、パレード開始前の到着保証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</si>
  <si>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4</t>
    </r>
    <r>
      <rPr>
        <sz val="9"/>
        <rFont val="WenQuanYi Zen Hei"/>
        <family val="2"/>
      </rPr>
      <t xml:space="preserve">（全項目未対応）、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</si>
  <si>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t xml:space="preserve">荒木田・吉田</t>
  </si>
  <si>
    <t xml:space="preserve">A8</t>
  </si>
  <si>
    <t xml:space="preserve">写真・ビデオ・集合写真</t>
  </si>
  <si>
    <t xml:space="preserve">藤本が撮影主担当（承諾済み）。ハイライト動画は閉会時上映の想定。撮影ポイントは27日公邸レセプションとCDA視察（ひな壇型）で合意（WhatsApp 8/14）</t>
  </si>
  <si>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公式カメラマンの有無、集合写真の場所（</t>
    </r>
    <r>
      <rPr>
        <sz val="9"/>
        <rFont val="Arial"/>
        <family val="0"/>
        <charset val="1"/>
      </rPr>
      <t xml:space="preserve">Hall 3</t>
    </r>
    <r>
      <rPr>
        <sz val="9"/>
        <rFont val="WenQuanYi Zen Hei"/>
        <family val="2"/>
      </rPr>
      <t xml:space="preserve">入口等）と時刻（</t>
    </r>
    <r>
      <rPr>
        <sz val="9"/>
        <rFont val="Arial"/>
        <family val="0"/>
        <charset val="1"/>
      </rPr>
      <t xml:space="preserve">Day1 Opening</t>
    </r>
    <r>
      <rPr>
        <sz val="9"/>
        <rFont val="WenQuanYi Zen Hei"/>
        <family val="2"/>
      </rPr>
      <t xml:space="preserve">後）、素材の受渡しフロー、動画編集の場所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</si>
  <si>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「写真・ビデオ 未対応」「集合写真 未対応」</t>
    </r>
  </si>
  <si>
    <t xml:space="preserve">藤本・Gerry</t>
  </si>
  <si>
    <t xml:space="preserve">A9</t>
  </si>
  <si>
    <t xml:space="preserve">バナー・バックドロップ・サイン</t>
  </si>
  <si>
    <t xml:space="preserve">会場・公邸のバナーは誰が作るか未確認（9/4 藤本→荒木田が確認中）。ロゴ提供はADRC</t>
  </si>
  <si>
    <t xml:space="preserve">制作主体（SCDF/COSEM/ADRC）、デザイン締切、駅→会場の看板、受付デスクの仕様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</si>
  <si>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「看板設置 未対応」、月次</t>
    </r>
    <r>
      <rPr>
        <sz val="9"/>
        <rFont val="Arial"/>
        <family val="0"/>
        <charset val="1"/>
      </rPr>
      <t xml:space="preserve">ToDo 9</t>
    </r>
    <r>
      <rPr>
        <sz val="9"/>
        <rFont val="WenQuanYi Zen Hei"/>
        <family val="2"/>
      </rPr>
      <t xml:space="preserve">月「バックドロップ・サイン」、</t>
    </r>
    <r>
      <rPr>
        <sz val="9"/>
        <rFont val="Arial"/>
        <family val="0"/>
        <charset val="1"/>
      </rPr>
      <t xml:space="preserve">9/4</t>
    </r>
  </si>
  <si>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月中</t>
    </r>
  </si>
  <si>
    <t xml:space="preserve">荒木田・藤本</t>
  </si>
  <si>
    <t xml:space="preserve">A10</t>
  </si>
  <si>
    <t xml:space="preserve">会場レイアウト（Peridot）</t>
  </si>
  <si>
    <t xml:space="preserve">EXPO図面（7/28改訂、Option 2 横長、Peridot 203-204・70名）をSylviaが8/20にWhatsAppで送付し、左側（緑）増席か後方（ピンク）拡張を提案。8/24に児玉が「1/3利用は不自然、ピンク部分も使いたい」→Peridot 202-205で確定依頼（SylviaがCOSEM/EXPOと交渉）。コーヒーブレイクはOption 1（右側、事務局室寄り）を選択（8/26）。202-205拡張後の改訂図面は未着。RT/TS/SCの席配置図をADRCが作成し次回打合せまでに調整</t>
  </si>
  <si>
    <r>
      <rPr>
        <sz val="9"/>
        <rFont val="Arial"/>
        <family val="0"/>
        <charset val="1"/>
      </rPr>
      <t xml:space="preserve">Peridot 202-205</t>
    </r>
    <r>
      <rPr>
        <sz val="9"/>
        <rFont val="WenQuanYi Zen Hei"/>
        <family val="2"/>
      </rPr>
      <t xml:space="preserve">の確定（</t>
    </r>
    <r>
      <rPr>
        <sz val="9"/>
        <rFont val="Arial"/>
        <family val="0"/>
        <charset val="1"/>
      </rPr>
      <t xml:space="preserve">EXPO</t>
    </r>
    <r>
      <rPr>
        <sz val="9"/>
        <rFont val="WenQuanYi Zen Hei"/>
        <family val="2"/>
      </rPr>
      <t xml:space="preserve">回答）と改訂図面、</t>
    </r>
    <r>
      <rPr>
        <sz val="9"/>
        <rFont val="Arial"/>
        <family val="0"/>
        <charset val="1"/>
      </rPr>
      <t xml:space="preserve">Day1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RT/SC</t>
    </r>
    <r>
      <rPr>
        <sz val="9"/>
        <rFont val="WenQuanYi Zen Hei"/>
        <family val="2"/>
      </rPr>
      <t xml:space="preserve">）と</t>
    </r>
    <r>
      <rPr>
        <sz val="9"/>
        <rFont val="Arial"/>
        <family val="0"/>
        <charset val="1"/>
      </rPr>
      <t xml:space="preserve">Day2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TS</t>
    </r>
    <r>
      <rPr>
        <sz val="9"/>
        <rFont val="WenQuanYi Zen Hei"/>
        <family val="2"/>
      </rPr>
      <t xml:space="preserve">）の配置（</t>
    </r>
    <r>
      <rPr>
        <sz val="9"/>
        <rFont val="Arial"/>
        <family val="0"/>
        <charset val="1"/>
      </rPr>
      <t xml:space="preserve">RT/SC: U</t>
    </r>
    <r>
      <rPr>
        <sz val="9"/>
        <rFont val="WenQuanYi Zen Hei"/>
        <family val="2"/>
      </rPr>
      <t xml:space="preserve">字＋卓上マイク、</t>
    </r>
    <r>
      <rPr>
        <sz val="9"/>
        <rFont val="Arial"/>
        <family val="0"/>
        <charset val="1"/>
      </rPr>
      <t xml:space="preserve">TS: </t>
    </r>
    <r>
      <rPr>
        <sz val="9"/>
        <rFont val="WenQuanYi Zen Hei"/>
        <family val="2"/>
      </rPr>
      <t xml:space="preserve">スクール形式＋登壇者卓）、スクリーン前テーブル（</t>
    </r>
    <r>
      <rPr>
        <sz val="9"/>
        <rFont val="Arial"/>
        <family val="0"/>
        <charset val="1"/>
      </rPr>
      <t xml:space="preserve">RT: SG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SC: </t>
    </r>
    <r>
      <rPr>
        <sz val="9"/>
        <rFont val="WenQuanYi Zen Hei"/>
        <family val="2"/>
      </rPr>
      <t xml:space="preserve">日本・</t>
    </r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TS: </t>
    </r>
    <r>
      <rPr>
        <sz val="9"/>
        <rFont val="WenQuanYi Zen Hei"/>
        <family val="2"/>
      </rPr>
      <t xml:space="preserve">共同議長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名＋登壇者）、最前列・モデレーター席、スクリーン数、</t>
    </r>
    <r>
      <rPr>
        <sz val="9"/>
        <rFont val="Arial"/>
        <family val="0"/>
        <charset val="1"/>
      </rPr>
      <t xml:space="preserve">AV</t>
    </r>
    <r>
      <rPr>
        <sz val="9"/>
        <rFont val="WenQuanYi Zen Hei"/>
        <family val="2"/>
      </rPr>
      <t xml:space="preserve">卓の位置、演台</t>
    </r>
    <r>
      <rPr>
        <sz val="9"/>
        <rFont val="Arial"/>
        <family val="0"/>
        <charset val="1"/>
      </rPr>
      <t xml:space="preserve">Wi-Fi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</si>
  <si>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「</t>
    </r>
    <r>
      <rPr>
        <sz val="9"/>
        <rFont val="Arial"/>
        <family val="0"/>
        <charset val="1"/>
      </rPr>
      <t xml:space="preserve">Peridot Room</t>
    </r>
    <r>
      <rPr>
        <sz val="9"/>
        <rFont val="WenQuanYi Zen Hei"/>
        <family val="2"/>
      </rPr>
      <t xml:space="preserve">」、月次</t>
    </r>
    <r>
      <rPr>
        <sz val="9"/>
        <rFont val="Arial"/>
        <family val="0"/>
        <charset val="1"/>
      </rPr>
      <t xml:space="preserve">ToDo 9</t>
    </r>
    <r>
      <rPr>
        <sz val="9"/>
        <rFont val="WenQuanYi Zen Hei"/>
        <family val="2"/>
      </rPr>
      <t xml:space="preserve">月、</t>
    </r>
    <r>
      <rPr>
        <sz val="9"/>
        <rFont val="Arial"/>
        <family val="0"/>
        <charset val="1"/>
      </rPr>
      <t xml:space="preserve">9/4 </t>
    </r>
    <r>
      <rPr>
        <sz val="9"/>
        <rFont val="WenQuanYi Zen Hei"/>
        <family val="2"/>
      </rPr>
      <t xml:space="preserve">児玉</t>
    </r>
  </si>
  <si>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月下旬（次回所内打合せ）</t>
    </r>
  </si>
  <si>
    <t xml:space="preserve">A11</t>
  </si>
  <si>
    <t xml:space="preserve">バイ会談スペース・VIP控室</t>
  </si>
  <si>
    <t xml:space="preserve">宮木・児玉が内閣府・COSEMとの調整を担当（張り付きはしない）</t>
  </si>
  <si>
    <t xml:space="preserve">小部屋・ブースの予約ルール、内閣府随行の控室、水の配置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</si>
  <si>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「バイ会談 未対応」「</t>
    </r>
    <r>
      <rPr>
        <sz val="9"/>
        <rFont val="Arial"/>
        <family val="0"/>
        <charset val="1"/>
      </rPr>
      <t xml:space="preserve">VIP</t>
    </r>
    <r>
      <rPr>
        <sz val="9"/>
        <rFont val="WenQuanYi Zen Hei"/>
        <family val="2"/>
      </rPr>
      <t xml:space="preserve">控室 未対応」</t>
    </r>
  </si>
  <si>
    <t xml:space="preserve">宮木・児玉</t>
  </si>
  <si>
    <t xml:space="preserve">A12</t>
  </si>
  <si>
    <t xml:space="preserve">アンケート</t>
  </si>
  <si>
    <r>
      <rPr>
        <sz val="9"/>
        <rFont val="Arial"/>
        <family val="0"/>
        <charset val="1"/>
      </rPr>
      <t xml:space="preserve">Google</t>
    </r>
    <r>
      <rPr>
        <sz val="9"/>
        <rFont val="WenQuanYi Zen Hei"/>
        <family val="2"/>
      </rPr>
      <t xml:space="preserve">フォーム（</t>
    </r>
    <r>
      <rPr>
        <sz val="9"/>
        <rFont val="Arial"/>
        <family val="0"/>
        <charset val="1"/>
      </rPr>
      <t xml:space="preserve">QR</t>
    </r>
    <r>
      <rPr>
        <sz val="9"/>
        <rFont val="WenQuanYi Zen Hei"/>
        <family val="2"/>
      </rPr>
      <t xml:space="preserve">）で実施。回答率向上のため閉会前に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分の回答時間を確保したい（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）</t>
    </r>
  </si>
  <si>
    <r>
      <rPr>
        <sz val="9"/>
        <rFont val="Arial"/>
        <family val="0"/>
        <charset val="1"/>
      </rPr>
      <t xml:space="preserve">ACDR Closing</t>
    </r>
    <r>
      <rPr>
        <sz val="9"/>
        <rFont val="WenQuanYi Zen Hei"/>
        <family val="2"/>
      </rPr>
      <t xml:space="preserve">前のプログラムに回答時間を入れることの了承、</t>
    </r>
    <r>
      <rPr>
        <sz val="9"/>
        <rFont val="Arial"/>
        <family val="0"/>
        <charset val="1"/>
      </rPr>
      <t xml:space="preserve">QR</t>
    </r>
    <r>
      <rPr>
        <sz val="9"/>
        <rFont val="WenQuanYi Zen Hei"/>
        <family val="2"/>
      </rPr>
      <t xml:space="preserve">掲示</t>
    </r>
  </si>
  <si>
    <r>
      <rPr>
        <sz val="9"/>
        <rFont val="Arial"/>
        <family val="0"/>
        <charset val="1"/>
      </rPr>
      <t xml:space="preserve">9/4 </t>
    </r>
    <r>
      <rPr>
        <sz val="9"/>
        <rFont val="WenQuanYi Zen Hei"/>
        <family val="2"/>
      </rPr>
      <t xml:space="preserve">荒木田・藤本</t>
    </r>
  </si>
  <si>
    <t xml:space="preserve">アジェンダ確定時</t>
  </si>
  <si>
    <t xml:space="preserve">藤本・荒木田</t>
  </si>
  <si>
    <t xml:space="preserve">B13</t>
  </si>
  <si>
    <t xml:space="preserve">ドレスコード</t>
  </si>
  <si>
    <r>
      <rPr>
        <sz val="9"/>
        <rFont val="Arial"/>
        <family val="0"/>
        <charset val="1"/>
      </rPr>
      <t xml:space="preserve">SIDEX Gala Dinner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10/28 Orchard Hotel</t>
    </r>
    <r>
      <rPr>
        <sz val="9"/>
        <rFont val="WenQuanYi Zen Hei"/>
        <family val="2"/>
      </rPr>
      <t xml:space="preserve">）</t>
    </r>
  </si>
  <si>
    <t xml:space="preserve">前回シンガポール開催時はネクタイなしの指定があった（宮木）。通常ADRC会議では指定なし</t>
  </si>
  <si>
    <t xml:space="preserve">主催側のドレスコード（スマートカジュアル等）の明示。参加者への周知文をGI/リマインダーに入れる</t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</si>
  <si>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打合せ（宮木・藤中）</t>
    </r>
  </si>
  <si>
    <r>
      <rPr>
        <sz val="9"/>
        <rFont val="Arial"/>
        <family val="0"/>
        <charset val="1"/>
      </rPr>
      <t xml:space="preserve">GI</t>
    </r>
    <r>
      <rPr>
        <sz val="9"/>
        <rFont val="WenQuanYi Zen Hei"/>
        <family val="2"/>
      </rPr>
      <t xml:space="preserve">改訂（</t>
    </r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月末）</t>
    </r>
  </si>
  <si>
    <t xml:space="preserve">B14</t>
  </si>
  <si>
    <r>
      <rPr>
        <sz val="9"/>
        <rFont val="Arial"/>
        <family val="0"/>
        <charset val="1"/>
      </rPr>
      <t xml:space="preserve">SCDF Parade &amp; Dinner Reception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10/29</t>
    </r>
    <r>
      <rPr>
        <sz val="9"/>
        <rFont val="WenQuanYi Zen Hei"/>
        <family val="2"/>
      </rPr>
      <t xml:space="preserve">）</t>
    </r>
  </si>
  <si>
    <t xml:space="preserve">服装指定の言及あり（長袖等、詳細不明）。Field Trip後にホテルで着替える前提。Field Trip帰着17:00→18:00着席（Sylvia 8/26）のため着替え時間は約1時間</t>
  </si>
  <si>
    <t xml:space="preserve">正式なドレスコード、大臣到着前の着席要件、着替え時間を見込んだ移動計画</t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</si>
  <si>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打合せ（児玉・藤中）</t>
    </r>
  </si>
  <si>
    <t xml:space="preserve">B15</t>
  </si>
  <si>
    <t xml:space="preserve">大使公邸レセプション（10/27）</t>
  </si>
  <si>
    <t xml:space="preserve">大使館側に確認（宮木依頼）。SJ60記念レセプション</t>
  </si>
  <si>
    <t xml:space="preserve">大使館としての服装指定の有無（ビジネス／スマートカジュアル）、招待状への記載</t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</si>
  <si>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打合せ（宮木）</t>
    </r>
  </si>
  <si>
    <t xml:space="preserve">招待状発送（10/13）前</t>
  </si>
  <si>
    <t xml:space="preserve">児玉</t>
  </si>
  <si>
    <t xml:space="preserve">B16</t>
  </si>
  <si>
    <r>
      <rPr>
        <sz val="9"/>
        <rFont val="Arial"/>
        <family val="0"/>
        <charset val="1"/>
      </rPr>
      <t xml:space="preserve">Field Trip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10/29</t>
    </r>
    <r>
      <rPr>
        <sz val="9"/>
        <rFont val="WenQuanYi Zen Hei"/>
        <family val="2"/>
      </rPr>
      <t xml:space="preserve">）</t>
    </r>
  </si>
  <si>
    <t xml:space="preserve">歩きやすい靴で、と毎回GIに記載。汚れる行程はない</t>
  </si>
  <si>
    <r>
      <rPr>
        <sz val="9"/>
        <rFont val="Arial"/>
        <family val="0"/>
        <charset val="1"/>
      </rPr>
      <t xml:space="preserve">CDA</t>
    </r>
    <r>
      <rPr>
        <sz val="9"/>
        <rFont val="WenQuanYi Zen Hei"/>
        <family val="2"/>
      </rPr>
      <t xml:space="preserve">側の安全上の要件（長ズボン等）があれば明示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</si>
  <si>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4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9/4</t>
    </r>
  </si>
  <si>
    <r>
      <rPr>
        <sz val="9"/>
        <rFont val="Arial"/>
        <family val="0"/>
        <charset val="1"/>
      </rPr>
      <t xml:space="preserve">GI</t>
    </r>
    <r>
      <rPr>
        <sz val="9"/>
        <rFont val="WenQuanYi Zen Hei"/>
        <family val="2"/>
      </rPr>
      <t xml:space="preserve">改訂</t>
    </r>
  </si>
  <si>
    <t xml:space="preserve">B17</t>
  </si>
  <si>
    <t xml:space="preserve">会議（Opening／RT／TS／SIDEX）</t>
  </si>
  <si>
    <t xml:space="preserve">通常はスーツまたは民族衣装で、特段の指定はしていない。SIDEX展示入場はつま先の隠れる靴が必須（Sylvia 8/17 WhatsApp）→GIに明記</t>
  </si>
  <si>
    <r>
      <rPr>
        <sz val="9"/>
        <rFont val="Arial"/>
        <family val="0"/>
        <charset val="1"/>
      </rPr>
      <t xml:space="preserve">SIDEX Opening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Senior Minister</t>
    </r>
    <r>
      <rPr>
        <sz val="9"/>
        <rFont val="WenQuanYi Zen Hei"/>
        <family val="2"/>
      </rPr>
      <t xml:space="preserve">出席）に合わせた指定の要否</t>
    </r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</si>
  <si>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（藤中）</t>
    </r>
  </si>
  <si>
    <t xml:space="preserve">C18</t>
  </si>
  <si>
    <t xml:space="preserve">会場・機材</t>
  </si>
  <si>
    <t xml:space="preserve">投影・接続・データ受渡し</t>
  </si>
  <si>
    <t xml:space="preserve">投影形式（プロジェクター/LED）と解像度・縦横比、HDMI/USB-C直結の可否と変換アダプタ、プレゼンデータの受渡し（PC直結/USB/クラウド）、レーザーポインター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</si>
  <si>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「映像・音響 未対応」</t>
    </r>
  </si>
  <si>
    <t xml:space="preserve">池田・荒木田</t>
  </si>
  <si>
    <t xml:space="preserve">C19</t>
  </si>
  <si>
    <t xml:space="preserve">音響・マイク・電源・照明</t>
  </si>
  <si>
    <r>
      <rPr>
        <sz val="9"/>
        <rFont val="Arial"/>
        <family val="0"/>
        <charset val="1"/>
      </rPr>
      <t xml:space="preserve">TS</t>
    </r>
    <r>
      <rPr>
        <sz val="9"/>
        <rFont val="WenQuanYi Zen Hei"/>
        <family val="2"/>
      </rPr>
      <t xml:space="preserve">はテーブルマイク使用（月次</t>
    </r>
    <r>
      <rPr>
        <sz val="9"/>
        <rFont val="Arial"/>
        <family val="0"/>
        <charset val="1"/>
      </rPr>
      <t xml:space="preserve">ToDo</t>
    </r>
    <r>
      <rPr>
        <sz val="9"/>
        <rFont val="WenQuanYi Zen Hei"/>
        <family val="2"/>
      </rPr>
      <t xml:space="preserve">）。会場（</t>
    </r>
    <r>
      <rPr>
        <sz val="9"/>
        <rFont val="Arial"/>
        <family val="0"/>
        <charset val="1"/>
      </rPr>
      <t xml:space="preserve">Peridot 202-205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Tourmaline 207</t>
    </r>
    <r>
      <rPr>
        <sz val="9"/>
        <rFont val="WenQuanYi Zen Hei"/>
        <family val="2"/>
      </rPr>
      <t xml:space="preserve">）は</t>
    </r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負担で無償（</t>
    </r>
    <r>
      <rPr>
        <sz val="9"/>
        <rFont val="Arial"/>
        <family val="0"/>
        <charset val="1"/>
      </rPr>
      <t xml:space="preserve">Sylvia 8/25</t>
    </r>
    <r>
      <rPr>
        <sz val="9"/>
        <rFont val="WenQuanYi Zen Hei"/>
        <family val="2"/>
      </rPr>
      <t xml:space="preserve">）。マイク等ベンダー費用の負担者は未確認</t>
    </r>
  </si>
  <si>
    <t xml:space="preserve">スピーカー配置とマイクの種類・本数、客席・デモ卓の電源タップ、プラグ（タイプG）とアダプタ予備、照明操作の担当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</si>
  <si>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、月次</t>
    </r>
    <r>
      <rPr>
        <sz val="9"/>
        <rFont val="Arial"/>
        <family val="0"/>
        <charset val="1"/>
      </rPr>
      <t xml:space="preserve">ToDo 9</t>
    </r>
    <r>
      <rPr>
        <sz val="9"/>
        <rFont val="WenQuanYi Zen Hei"/>
        <family val="2"/>
      </rPr>
      <t xml:space="preserve">月</t>
    </r>
  </si>
  <si>
    <t xml:space="preserve">池田</t>
  </si>
  <si>
    <t xml:space="preserve">C20</t>
  </si>
  <si>
    <t xml:space="preserve">通信</t>
  </si>
  <si>
    <r>
      <rPr>
        <sz val="9"/>
        <rFont val="Arial"/>
        <family val="0"/>
        <charset val="1"/>
      </rPr>
      <t xml:space="preserve">WiFi</t>
    </r>
    <r>
      <rPr>
        <sz val="9"/>
        <rFont val="WenQuanYi Zen Hei"/>
        <family val="2"/>
      </rPr>
      <t xml:space="preserve">実測</t>
    </r>
    <r>
      <rPr>
        <sz val="9"/>
        <rFont val="Arial"/>
        <family val="0"/>
        <charset val="1"/>
      </rPr>
      <t xml:space="preserve">34/3Mbps</t>
    </r>
    <r>
      <rPr>
        <sz val="9"/>
        <rFont val="WenQuanYi Zen Hei"/>
        <family val="2"/>
      </rPr>
      <t xml:space="preserve">、有線可（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月）</t>
    </r>
  </si>
  <si>
    <r>
      <rPr>
        <sz val="9"/>
        <rFont val="Arial"/>
        <family val="0"/>
        <charset val="1"/>
      </rPr>
      <t xml:space="preserve">ACDR</t>
    </r>
    <r>
      <rPr>
        <sz val="9"/>
        <rFont val="WenQuanYi Zen Hei"/>
        <family val="2"/>
      </rPr>
      <t xml:space="preserve">専用有償</t>
    </r>
    <r>
      <rPr>
        <sz val="9"/>
        <rFont val="Arial"/>
        <family val="0"/>
        <charset val="1"/>
      </rPr>
      <t xml:space="preserve">SSID</t>
    </r>
    <r>
      <rPr>
        <sz val="9"/>
        <rFont val="WenQuanYi Zen Hei"/>
        <family val="2"/>
      </rPr>
      <t xml:space="preserve">の要否と見積、</t>
    </r>
    <r>
      <rPr>
        <sz val="9"/>
        <rFont val="Arial"/>
        <family val="0"/>
        <charset val="1"/>
      </rPr>
      <t xml:space="preserve">eSIM/SIM</t>
    </r>
    <r>
      <rPr>
        <sz val="9"/>
        <rFont val="WenQuanYi Zen Hei"/>
        <family val="2"/>
      </rPr>
      <t xml:space="preserve">販売カウンター、事務局部屋の有線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</si>
  <si>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1-IT</t>
    </r>
    <r>
      <rPr>
        <sz val="9"/>
        <rFont val="WenQuanYi Zen Hei"/>
        <family val="2"/>
      </rPr>
      <t xml:space="preserve">「専用</t>
    </r>
    <r>
      <rPr>
        <sz val="9"/>
        <rFont val="Arial"/>
        <family val="0"/>
        <charset val="1"/>
      </rPr>
      <t xml:space="preserve">SSID </t>
    </r>
    <r>
      <rPr>
        <sz val="9"/>
        <rFont val="WenQuanYi Zen Hei"/>
        <family val="2"/>
      </rPr>
      <t xml:space="preserve">未対応」「</t>
    </r>
    <r>
      <rPr>
        <sz val="9"/>
        <rFont val="Arial"/>
        <family val="0"/>
        <charset val="1"/>
      </rPr>
      <t xml:space="preserve">eSIM </t>
    </r>
    <r>
      <rPr>
        <sz val="9"/>
        <rFont val="WenQuanYi Zen Hei"/>
        <family val="2"/>
      </rPr>
      <t xml:space="preserve">未対応」</t>
    </r>
  </si>
  <si>
    <t xml:space="preserve">荒木田</t>
  </si>
  <si>
    <t xml:space="preserve">C21</t>
  </si>
  <si>
    <t xml:space="preserve">空調・給水</t>
  </si>
  <si>
    <t xml:space="preserve">温度設定の柔軟性、ブランケット、会議中の水・コーヒー補充頻度、飲食可能エリア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</si>
  <si>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3</t>
    </r>
  </si>
  <si>
    <t xml:space="preserve">D22</t>
  </si>
  <si>
    <t xml:space="preserve">導線</t>
  </si>
  <si>
    <t xml:space="preserve">空港送迎</t>
  </si>
  <si>
    <t xml:space="preserve">到着日1回の送迎バス（COSEM）。26日夕〜27日午前に到着集中、14時台着（バングラデシュ等）はタクシー送迎の想定</t>
  </si>
  <si>
    <t xml:space="preserve">待ち受け場所と情報デスク、送迎対象と回数、遅延時の連絡経路（WhatsApp）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</si>
  <si>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「導線」、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（藤中）</t>
    </r>
  </si>
  <si>
    <t xml:space="preserve">フライト確定後（9月末）</t>
  </si>
  <si>
    <t xml:space="preserve">D23</t>
  </si>
  <si>
    <t xml:space="preserve">公邸レセプションの送迎（10/27）</t>
  </si>
  <si>
    <r>
      <rPr>
        <sz val="9"/>
        <rFont val="Arial"/>
        <family val="0"/>
        <charset val="1"/>
      </rPr>
      <t xml:space="preserve">Dorsett→</t>
    </r>
    <r>
      <rPr>
        <sz val="9"/>
        <rFont val="WenQuanYi Zen Hei"/>
        <family val="2"/>
      </rPr>
      <t xml:space="preserve">公邸の送迎バス（</t>
    </r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手配、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月）。</t>
    </r>
    <r>
      <rPr>
        <sz val="9"/>
        <rFont val="Arial"/>
        <family val="0"/>
        <charset val="1"/>
      </rPr>
      <t xml:space="preserve">17:30</t>
    </r>
    <r>
      <rPr>
        <sz val="9"/>
        <rFont val="WenQuanYi Zen Hei"/>
        <family val="2"/>
      </rPr>
      <t xml:space="preserve">〜</t>
    </r>
    <r>
      <rPr>
        <sz val="9"/>
        <rFont val="Arial"/>
        <family val="0"/>
        <charset val="1"/>
      </rPr>
      <t xml:space="preserve">18:30</t>
    </r>
    <r>
      <rPr>
        <sz val="9"/>
        <rFont val="WenQuanYi Zen Hei"/>
        <family val="2"/>
      </rPr>
      <t xml:space="preserve">頃出発想定</t>
    </r>
  </si>
  <si>
    <t xml:space="preserve">出発時刻・台数、Hotel Mi宿泊スタッフの移動、20:30撤収後の帰路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</si>
  <si>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、月次</t>
    </r>
    <r>
      <rPr>
        <sz val="9"/>
        <rFont val="Arial"/>
        <family val="0"/>
        <charset val="1"/>
      </rPr>
      <t xml:space="preserve">ToDo 10</t>
    </r>
    <r>
      <rPr>
        <sz val="9"/>
        <rFont val="WenQuanYi Zen Hei"/>
        <family val="2"/>
      </rPr>
      <t xml:space="preserve">月</t>
    </r>
  </si>
  <si>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月末</t>
    </r>
  </si>
  <si>
    <t xml:space="preserve">児玉・田中</t>
  </si>
  <si>
    <t xml:space="preserve">D24</t>
  </si>
  <si>
    <t xml:space="preserve">バス乗降場・雨天対応</t>
  </si>
  <si>
    <t xml:space="preserve">大型バスは入口で乗降、待機スペースあり（5月）</t>
  </si>
  <si>
    <r>
      <rPr>
        <sz val="9"/>
        <rFont val="Arial"/>
        <family val="0"/>
        <charset val="1"/>
      </rPr>
      <t xml:space="preserve">EXPO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CDA</t>
    </r>
    <r>
      <rPr>
        <sz val="9"/>
        <rFont val="WenQuanYi Zen Hei"/>
        <family val="2"/>
      </rPr>
      <t xml:space="preserve">の正確な停車位置、雨天時の屋根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</si>
  <si>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「バス乗降場」</t>
    </r>
  </si>
  <si>
    <t xml:space="preserve">D25</t>
  </si>
  <si>
    <t xml:space="preserve">ホスピタリティ</t>
  </si>
  <si>
    <t xml:space="preserve">ハラル・アレルギー・祈祷室</t>
  </si>
  <si>
    <t xml:space="preserve">参加者の食事希望は登録で収集（Halal多数）</t>
  </si>
  <si>
    <t xml:space="preserve">全メニューのハラル認証、アレルギー表示、Prayer Roomの場所・男女別・Wudu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</si>
  <si>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</si>
  <si>
    <t xml:space="preserve">D26</t>
  </si>
  <si>
    <t xml:space="preserve">ホテル朝食・Dorsett客室</t>
  </si>
  <si>
    <r>
      <rPr>
        <sz val="9"/>
        <rFont val="Arial"/>
        <family val="0"/>
        <charset val="1"/>
      </rPr>
      <t xml:space="preserve">Dorsett 180</t>
    </r>
    <r>
      <rPr>
        <sz val="9"/>
        <rFont val="WenQuanYi Zen Hei"/>
        <family val="2"/>
      </rPr>
      <t xml:space="preserve">室夜を確保、</t>
    </r>
    <r>
      <rPr>
        <sz val="9"/>
        <rFont val="Arial"/>
        <family val="0"/>
        <charset val="1"/>
      </rPr>
      <t xml:space="preserve">9/28</t>
    </r>
    <r>
      <rPr>
        <sz val="9"/>
        <rFont val="WenQuanYi Zen Hei"/>
        <family val="2"/>
      </rPr>
      <t xml:space="preserve">に</t>
    </r>
    <r>
      <rPr>
        <sz val="9"/>
        <rFont val="Arial"/>
        <family val="0"/>
        <charset val="1"/>
      </rPr>
      <t xml:space="preserve">10%</t>
    </r>
    <r>
      <rPr>
        <sz val="9"/>
        <rFont val="WenQuanYi Zen Hei"/>
        <family val="2"/>
      </rPr>
      <t xml:space="preserve">リリース可。宮木・児玉は</t>
    </r>
    <r>
      <rPr>
        <sz val="9"/>
        <rFont val="Arial"/>
        <family val="0"/>
        <charset val="1"/>
      </rPr>
      <t xml:space="preserve">10/25 23:40</t>
    </r>
    <r>
      <rPr>
        <sz val="9"/>
        <rFont val="WenQuanYi Zen Hei"/>
        <family val="2"/>
      </rPr>
      <t xml:space="preserve">着のため</t>
    </r>
    <r>
      <rPr>
        <sz val="9"/>
        <rFont val="Arial"/>
        <family val="0"/>
        <charset val="1"/>
      </rPr>
      <t xml:space="preserve">25</t>
    </r>
    <r>
      <rPr>
        <sz val="9"/>
        <rFont val="WenQuanYi Zen Hei"/>
        <family val="2"/>
      </rPr>
      <t xml:space="preserve">日泊が必要（</t>
    </r>
    <r>
      <rPr>
        <sz val="9"/>
        <rFont val="Arial"/>
        <family val="0"/>
        <charset val="1"/>
      </rPr>
      <t xml:space="preserve">9/6</t>
    </r>
    <r>
      <rPr>
        <sz val="9"/>
        <rFont val="WenQuanYi Zen Hei"/>
        <family val="2"/>
      </rPr>
      <t xml:space="preserve">確認）。所長の宿泊先（</t>
    </r>
    <r>
      <rPr>
        <sz val="9"/>
        <rFont val="Arial"/>
        <family val="0"/>
        <charset val="1"/>
      </rPr>
      <t xml:space="preserve">Dorsett/</t>
    </r>
    <r>
      <rPr>
        <sz val="9"/>
        <rFont val="WenQuanYi Zen Hei"/>
        <family val="2"/>
      </rPr>
      <t xml:space="preserve">任意）は未定、児玉は</t>
    </r>
    <r>
      <rPr>
        <sz val="9"/>
        <rFont val="Arial"/>
        <family val="0"/>
        <charset val="1"/>
      </rPr>
      <t xml:space="preserve">Hotel Mi</t>
    </r>
    <r>
      <rPr>
        <sz val="9"/>
        <rFont val="WenQuanYi Zen Hei"/>
        <family val="2"/>
      </rPr>
      <t xml:space="preserve">追加</t>
    </r>
  </si>
  <si>
    <t xml:space="preserve">朝食開始時刻・メニュー、早期チェックイン/レイトチェックアウトの扱い、追加客室の余地、リリース日程の確認（25日泊の宿泊先はADRC内部で決定し、部屋チャートで通知）</t>
  </si>
  <si>
    <t xml:space="preserve">藤中→Sylvia 8/28・9/1、9/4</t>
  </si>
  <si>
    <r>
      <rPr>
        <sz val="9"/>
        <rFont val="Arial"/>
        <family val="0"/>
        <charset val="1"/>
      </rPr>
      <t xml:space="preserve">9/28</t>
    </r>
    <r>
      <rPr>
        <sz val="9"/>
        <rFont val="WenQuanYi Zen Hei"/>
        <family val="2"/>
      </rPr>
      <t xml:space="preserve">（リリース期限）</t>
    </r>
  </si>
  <si>
    <t xml:space="preserve">E27</t>
  </si>
  <si>
    <t xml:space="preserve">記録・広報</t>
  </si>
  <si>
    <t xml:space="preserve">議事録・サマリー・ハイライト動画</t>
  </si>
  <si>
    <r>
      <rPr>
        <sz val="9"/>
        <rFont val="Arial"/>
        <family val="0"/>
        <charset val="1"/>
      </rPr>
      <t xml:space="preserve">Draft Summary</t>
    </r>
    <r>
      <rPr>
        <sz val="9"/>
        <rFont val="WenQuanYi Zen Hei"/>
        <family val="2"/>
      </rPr>
      <t xml:space="preserve">は</t>
    </r>
    <r>
      <rPr>
        <sz val="9"/>
        <rFont val="Arial"/>
        <family val="0"/>
        <charset val="1"/>
      </rPr>
      <t xml:space="preserve">Gerry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Mizan</t>
    </r>
    <r>
      <rPr>
        <sz val="9"/>
        <rFont val="WenQuanYi Zen Hei"/>
        <family val="2"/>
      </rPr>
      <t xml:space="preserve">、記録補助は塩見。日本側で録画</t>
    </r>
  </si>
  <si>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側の記録担当、閉会時のハイライト動画上映の可否と編集場所、報告書用素材の共有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</si>
  <si>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「記録・メディア 未対応」</t>
    </r>
  </si>
  <si>
    <r>
      <rPr>
        <sz val="9"/>
        <rFont val="Arial"/>
        <family val="0"/>
        <charset val="1"/>
      </rPr>
      <t xml:space="preserve">Gerry</t>
    </r>
    <r>
      <rPr>
        <sz val="9"/>
        <rFont val="WenQuanYi Zen Hei"/>
        <family val="2"/>
      </rPr>
      <t xml:space="preserve">・荒木田</t>
    </r>
  </si>
  <si>
    <t xml:space="preserve">E28</t>
  </si>
  <si>
    <t xml:space="preserve">プレスリリース</t>
  </si>
  <si>
    <t xml:space="preserve">内閣府・県庁記者クラブへ管理部と宮木が投げ込み、神戸新聞記者へ荒木田が案内（9/4）</t>
  </si>
  <si>
    <r>
      <rPr>
        <sz val="9"/>
        <rFont val="Arial"/>
        <family val="0"/>
        <charset val="1"/>
      </rPr>
      <t xml:space="preserve">SCDF/COSEM</t>
    </r>
    <r>
      <rPr>
        <sz val="9"/>
        <rFont val="WenQuanYi Zen Hei"/>
        <family val="2"/>
      </rPr>
      <t xml:space="preserve">側の広報（共同通信・時事通信の検討あり）との整合、写真・ロゴの使用ルール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</si>
  <si>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「大使館ディナー 広報」、</t>
    </r>
    <r>
      <rPr>
        <sz val="9"/>
        <rFont val="Arial"/>
        <family val="0"/>
        <charset val="1"/>
      </rPr>
      <t xml:space="preserve">9/4</t>
    </r>
  </si>
  <si>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月上旬</t>
    </r>
  </si>
  <si>
    <t xml:space="preserve">宮木・森口</t>
  </si>
  <si>
    <t xml:space="preserve">F29</t>
  </si>
  <si>
    <t xml:space="preserve">事務・契約</t>
  </si>
  <si>
    <t xml:space="preserve">支払方法・支払同意書</t>
  </si>
  <si>
    <t xml:space="preserve">事後銀行振込の可否、事前送金割合・通貨・時期、COSEMの同意書発行が未確認</t>
  </si>
  <si>
    <t xml:space="preserve">支払スケジュール、分割条件、キャンセルポリシーを含む同意書、ホテル・バス・ケータリングの精算方法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</si>
  <si>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5</t>
    </r>
    <r>
      <rPr>
        <sz val="9"/>
        <rFont val="WenQuanYi Zen Hei"/>
        <family val="2"/>
      </rPr>
      <t xml:space="preserve">（全項目未対応）</t>
    </r>
  </si>
  <si>
    <t xml:space="preserve">F30</t>
  </si>
  <si>
    <t xml:space="preserve">ビザ招聘状・申請案内</t>
  </si>
  <si>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が招聘状を発行。シンガポール側レターの有無は未確認</t>
    </r>
  </si>
  <si>
    <r>
      <rPr>
        <sz val="9"/>
        <rFont val="Arial"/>
        <family val="0"/>
        <charset val="1"/>
      </rPr>
      <t xml:space="preserve">SG</t>
    </r>
    <r>
      <rPr>
        <sz val="9"/>
        <rFont val="WenQuanYi Zen Hei"/>
        <family val="2"/>
      </rPr>
      <t xml:space="preserve">側からのレター発行、必要書類、取得困難時のバックアップ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</si>
  <si>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5</t>
    </r>
  </si>
  <si>
    <r>
      <rPr>
        <sz val="9"/>
        <rFont val="Arial"/>
        <family val="0"/>
        <charset val="1"/>
      </rPr>
      <t xml:space="preserve">9/20</t>
    </r>
    <r>
      <rPr>
        <sz val="9"/>
        <rFont val="WenQuanYi Zen Hei"/>
        <family val="2"/>
      </rPr>
      <t xml:space="preserve">（登録期限）</t>
    </r>
  </si>
  <si>
    <t xml:space="preserve">田中・寺坂</t>
  </si>
  <si>
    <t xml:space="preserve">F31</t>
  </si>
  <si>
    <t xml:space="preserve">ロジカード・緊急連絡先</t>
  </si>
  <si>
    <t xml:space="preserve">作成が必要（5月）</t>
  </si>
  <si>
    <t xml:space="preserve">病院・警察・大使館・事務局・COSEM担当者の連絡先、当日の緊急連絡網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</si>
  <si>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「緊急連絡先 未対応」</t>
    </r>
  </si>
  <si>
    <t xml:space="preserve">F32</t>
  </si>
  <si>
    <t xml:space="preserve">内閣府のホテル</t>
  </si>
  <si>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から問い合わせ中で回答期限を確認する必要あり（</t>
    </r>
    <r>
      <rPr>
        <sz val="9"/>
        <rFont val="Arial"/>
        <family val="0"/>
        <charset val="1"/>
      </rPr>
      <t xml:space="preserve">9/4 </t>
    </r>
    <r>
      <rPr>
        <sz val="9"/>
        <rFont val="WenQuanYi Zen Hei"/>
        <family val="2"/>
      </rPr>
      <t xml:space="preserve">児玉）。内閣府は林副大臣の出席が決定（児玉 </t>
    </r>
    <r>
      <rPr>
        <sz val="9"/>
        <rFont val="Arial"/>
        <family val="0"/>
        <charset val="1"/>
      </rPr>
      <t xml:space="preserve">8/28</t>
    </r>
    <r>
      <rPr>
        <sz val="9"/>
        <rFont val="WenQuanYi Zen Hei"/>
        <family val="2"/>
      </rPr>
      <t xml:space="preserve">）、御手洗参事官は単独出席（</t>
    </r>
    <r>
      <rPr>
        <sz val="9"/>
        <rFont val="Arial"/>
        <family val="0"/>
        <charset val="1"/>
      </rPr>
      <t xml:space="preserve">9/1</t>
    </r>
    <r>
      <rPr>
        <sz val="9"/>
        <rFont val="WenQuanYi Zen Hei"/>
        <family val="2"/>
      </rPr>
      <t xml:space="preserve">）</t>
    </r>
  </si>
  <si>
    <t xml:space="preserve">内閣府（林統括官＋随行2名）の宿泊先と手配主体</t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</si>
  <si>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</si>
  <si>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t xml:space="preserve">F33</t>
  </si>
  <si>
    <t xml:space="preserve">ADRC関係者13名分の無料会議パス</t>
  </si>
  <si>
    <r>
      <rPr>
        <sz val="9"/>
        <rFont val="Arial"/>
        <family val="0"/>
        <charset val="1"/>
      </rPr>
      <t xml:space="preserve">ADRC WG 10</t>
    </r>
    <r>
      <rPr>
        <sz val="9"/>
        <rFont val="WenQuanYi Zen Hei"/>
        <family val="2"/>
      </rPr>
      <t xml:space="preserve">名＋会長・</t>
    </r>
    <r>
      <rPr>
        <sz val="9"/>
        <rFont val="Arial"/>
        <family val="0"/>
        <charset val="1"/>
      </rPr>
      <t xml:space="preserve">ED</t>
    </r>
    <r>
      <rPr>
        <sz val="9"/>
        <rFont val="WenQuanYi Zen Hei"/>
        <family val="2"/>
      </rPr>
      <t xml:space="preserve">・理事の</t>
    </r>
    <r>
      <rPr>
        <sz val="9"/>
        <rFont val="Arial"/>
        <family val="0"/>
        <charset val="1"/>
      </rPr>
      <t xml:space="preserve">13</t>
    </r>
    <r>
      <rPr>
        <sz val="9"/>
        <rFont val="WenQuanYi Zen Hei"/>
        <family val="2"/>
      </rPr>
      <t xml:space="preserve">名分の無料パスは</t>
    </r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長官の承認待ち（</t>
    </r>
    <r>
      <rPr>
        <sz val="9"/>
        <rFont val="Arial"/>
        <family val="0"/>
        <charset val="1"/>
      </rPr>
      <t xml:space="preserve">Sylvia 7/29 WhatsApp</t>
    </r>
    <r>
      <rPr>
        <sz val="9"/>
        <rFont val="WenQuanYi Zen Hei"/>
        <family val="2"/>
      </rPr>
      <t xml:space="preserve">）</t>
    </r>
  </si>
  <si>
    <t xml:space="preserve">承認結果と、パス発行に必要な名簿の提出期限</t>
  </si>
  <si>
    <t xml:space="preserve">WhatsApp 7/29</t>
  </si>
  <si>
    <t xml:space="preserve">G34</t>
  </si>
  <si>
    <t xml:space="preserve">プログラム</t>
  </si>
  <si>
    <t xml:space="preserve">Gala Dinner（10/28）での副大臣挨拶枠</t>
  </si>
  <si>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は</t>
    </r>
    <r>
      <rPr>
        <sz val="9"/>
        <rFont val="Arial"/>
        <family val="0"/>
        <charset val="1"/>
      </rPr>
      <t xml:space="preserve">GOH</t>
    </r>
    <r>
      <rPr>
        <sz val="9"/>
        <rFont val="WenQuanYi Zen Hei"/>
        <family val="2"/>
      </rPr>
      <t xml:space="preserve">以外の挨拶枠なしと回答（</t>
    </r>
    <r>
      <rPr>
        <sz val="9"/>
        <rFont val="Arial"/>
        <family val="0"/>
        <charset val="1"/>
      </rPr>
      <t xml:space="preserve">8/28</t>
    </r>
    <r>
      <rPr>
        <sz val="9"/>
        <rFont val="WenQuanYi Zen Hei"/>
        <family val="2"/>
      </rPr>
      <t xml:space="preserve">）。挨拶枠がなければ副大臣は出席不可として児玉が再要請（</t>
    </r>
    <r>
      <rPr>
        <sz val="9"/>
        <rFont val="Arial"/>
        <family val="0"/>
        <charset val="1"/>
      </rPr>
      <t xml:space="preserve">WhatsApp 8/28</t>
    </r>
    <r>
      <rPr>
        <sz val="9"/>
        <rFont val="WenQuanYi Zen Hei"/>
        <family val="2"/>
      </rPr>
      <t xml:space="preserve">、メール 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）</t>
    </r>
  </si>
  <si>
    <t xml:space="preserve">副大臣の短い挨拶枠の可否（SCDF再打診中）</t>
  </si>
  <si>
    <r>
      <rPr>
        <sz val="9"/>
        <rFont val="Arial"/>
        <family val="0"/>
        <charset val="1"/>
      </rPr>
      <t xml:space="preserve">WhatsApp 8/28</t>
    </r>
    <r>
      <rPr>
        <sz val="9"/>
        <rFont val="WenQuanYi Zen Hei"/>
        <family val="2"/>
      </rPr>
      <t xml:space="preserve">、児玉→</t>
    </r>
    <r>
      <rPr>
        <sz val="9"/>
        <rFont val="Arial"/>
        <family val="0"/>
        <charset val="1"/>
      </rPr>
      <t xml:space="preserve">Sylvia 9/4</t>
    </r>
    <r>
      <rPr>
        <sz val="9"/>
        <rFont val="WenQuanYi Zen Hei"/>
        <family val="2"/>
      </rPr>
      <t xml:space="preserve">メール</t>
    </r>
  </si>
  <si>
    <r>
      <rPr>
        <sz val="9"/>
        <rFont val="Arial"/>
        <family val="0"/>
        <charset val="1"/>
      </rPr>
      <t xml:space="preserve">9/15</t>
    </r>
    <r>
      <rPr>
        <sz val="9"/>
        <rFont val="WenQuanYi Zen Hei"/>
        <family val="2"/>
      </rPr>
      <t xml:space="preserve">前</t>
    </r>
  </si>
  <si>
    <t xml:space="preserve">G35</t>
  </si>
  <si>
    <t xml:space="preserve">SJ60記念レセプション（10/27）のSCDF共催</t>
  </si>
  <si>
    <t xml:space="preserve">児玉が9/4メールでSCDF共催を打診。TS登壇者6名＋モデレーター、Invited Generalも招待（9/1）</t>
  </si>
  <si>
    <t xml:space="preserve">共催の可否と表記、招待範囲の最終確認</t>
  </si>
  <si>
    <t xml:space="preserve">児玉→Sylvia 9/4、WhatsApp 9/1</t>
  </si>
  <si>
    <t xml:space="preserve">G36</t>
  </si>
  <si>
    <t xml:space="preserve">MOU署名（内閣府⇔内務省）の日時・場所</t>
  </si>
  <si>
    <r>
      <rPr>
        <sz val="9"/>
        <rFont val="Arial"/>
        <family val="0"/>
        <charset val="1"/>
      </rPr>
      <t xml:space="preserve">COSEM/SCDF</t>
    </r>
    <r>
      <rPr>
        <sz val="9"/>
        <rFont val="WenQuanYi Zen Hei"/>
        <family val="2"/>
      </rPr>
      <t xml:space="preserve">は</t>
    </r>
    <r>
      <rPr>
        <sz val="9"/>
        <rFont val="Arial"/>
        <family val="0"/>
        <charset val="1"/>
      </rPr>
      <t xml:space="preserve">Joint Opening</t>
    </r>
    <r>
      <rPr>
        <sz val="9"/>
        <rFont val="WenQuanYi Zen Hei"/>
        <family val="2"/>
      </rPr>
      <t xml:space="preserve">直後に本会場での実施を希望。内閣府の回答待ち（</t>
    </r>
    <r>
      <rPr>
        <sz val="9"/>
        <rFont val="Arial"/>
        <family val="0"/>
        <charset val="1"/>
      </rPr>
      <t xml:space="preserve">8/24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8/26</t>
    </r>
    <r>
      <rPr>
        <sz val="9"/>
        <rFont val="WenQuanYi Zen Hei"/>
        <family val="2"/>
      </rPr>
      <t xml:space="preserve">時点）</t>
    </r>
  </si>
  <si>
    <t xml:space="preserve">内閣府回答後の日時・場所の確定、表敬の重複回避</t>
  </si>
  <si>
    <r>
      <rPr>
        <sz val="9"/>
        <rFont val="Arial"/>
        <family val="0"/>
        <charset val="1"/>
      </rPr>
      <t xml:space="preserve">WhatsApp 8/24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8/26</t>
    </r>
  </si>
  <si>
    <t xml:space="preserve">G37</t>
  </si>
  <si>
    <t xml:space="preserve">日本パビリオン開会式の時間（GOHツアー内）</t>
  </si>
  <si>
    <r>
      <rPr>
        <sz val="9"/>
        <rFont val="Arial"/>
        <family val="0"/>
        <charset val="1"/>
      </rPr>
      <t xml:space="preserve">GOH</t>
    </r>
    <r>
      <rPr>
        <sz val="9"/>
        <rFont val="WenQuanYi Zen Hei"/>
        <family val="2"/>
      </rPr>
      <t xml:space="preserve">ツアーは</t>
    </r>
    <r>
      <rPr>
        <sz val="9"/>
        <rFont val="Arial"/>
        <family val="0"/>
        <charset val="1"/>
      </rPr>
      <t xml:space="preserve">53</t>
    </r>
    <r>
      <rPr>
        <sz val="9"/>
        <rFont val="WenQuanYi Zen Hei"/>
        <family val="2"/>
      </rPr>
      <t xml:space="preserve">分固定で日本ブースは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分のみ。延長は困難（</t>
    </r>
    <r>
      <rPr>
        <sz val="9"/>
        <rFont val="Arial"/>
        <family val="0"/>
        <charset val="1"/>
      </rPr>
      <t xml:space="preserve">Sylvia 8/24</t>
    </r>
    <r>
      <rPr>
        <sz val="9"/>
        <rFont val="WenQuanYi Zen Hei"/>
        <family val="2"/>
      </rPr>
      <t xml:space="preserve">）。内閣府は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番目なら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分で可（</t>
    </r>
    <r>
      <rPr>
        <sz val="9"/>
        <rFont val="Arial"/>
        <family val="0"/>
        <charset val="1"/>
      </rPr>
      <t xml:space="preserve">8/31</t>
    </r>
    <r>
      <rPr>
        <sz val="9"/>
        <rFont val="WenQuanYi Zen Hei"/>
        <family val="2"/>
      </rPr>
      <t xml:space="preserve">資料）</t>
    </r>
  </si>
  <si>
    <t xml:space="preserve">内閣府の希望を踏まえた最終調整</t>
  </si>
  <si>
    <r>
      <rPr>
        <sz val="9"/>
        <rFont val="Arial"/>
        <family val="0"/>
        <charset val="1"/>
      </rPr>
      <t xml:space="preserve">WhatsApp 8/24</t>
    </r>
    <r>
      <rPr>
        <sz val="9"/>
        <rFont val="WenQuanYi Zen Hei"/>
        <family val="2"/>
      </rPr>
      <t xml:space="preserve">、内閣府</t>
    </r>
    <r>
      <rPr>
        <sz val="9"/>
        <rFont val="Arial"/>
        <family val="0"/>
        <charset val="1"/>
      </rPr>
      <t xml:space="preserve">8/31</t>
    </r>
    <r>
      <rPr>
        <sz val="9"/>
        <rFont val="WenQuanYi Zen Hei"/>
        <family val="2"/>
      </rPr>
      <t xml:space="preserve">資料</t>
    </r>
  </si>
  <si>
    <t xml:space="preserve">G38</t>
  </si>
  <si>
    <t xml:space="preserve">記録</t>
  </si>
  <si>
    <t xml:space="preserve">第4回合同会議（8/25）の議事録</t>
  </si>
  <si>
    <t xml:space="preserve">未受領（Gmail 9/6時点）</t>
  </si>
  <si>
    <t xml:space="preserve">NOM 4/2026の送付依頼</t>
  </si>
  <si>
    <r>
      <rPr>
        <sz val="9"/>
        <rFont val="Arial"/>
        <family val="0"/>
        <charset val="1"/>
      </rPr>
      <t xml:space="preserve">Gmail</t>
    </r>
    <r>
      <rPr>
        <sz val="9"/>
        <rFont val="WenQuanYi Zen Hei"/>
        <family val="2"/>
      </rPr>
      <t xml:space="preserve">検索 </t>
    </r>
    <r>
      <rPr>
        <sz val="9"/>
        <rFont val="Arial"/>
        <family val="0"/>
        <charset val="1"/>
      </rPr>
      <t xml:space="preserve">9/6</t>
    </r>
  </si>
  <si>
    <t xml:space="preserve">未協議（COSEM/SCDFにまだ提示していない）</t>
  </si>
  <si>
    <t xml:space="preserve">協議中（提示済み・回答待ち）</t>
  </si>
  <si>
    <t xml:space="preserve">合意</t>
  </si>
  <si>
    <t xml:space="preserve">集計</t>
  </si>
  <si>
    <t xml:space="preserve">メンバー国等 到着・出発予定（ホテル部屋数検討用リスト_tt.xlsx Dorsettシート, as of 2026/8/25-28）</t>
  </si>
  <si>
    <r>
      <rPr>
        <i val="true"/>
        <sz val="9"/>
        <color rgb="FF555555"/>
        <rFont val="Arial"/>
        <family val="2"/>
        <charset val="1"/>
      </rPr>
      <t xml:space="preserve">※TBD</t>
    </r>
    <r>
      <rPr>
        <i val="true"/>
        <sz val="9"/>
        <color rgb="FF555555"/>
        <rFont val="WenQuanYi Zen Hei"/>
        <family val="2"/>
      </rPr>
      <t xml:space="preserve">は招待済みで人選未定。</t>
    </r>
    <r>
      <rPr>
        <i val="true"/>
        <sz val="9"/>
        <color rgb="FF555555"/>
        <rFont val="Arial"/>
        <family val="2"/>
        <charset val="1"/>
      </rPr>
      <t xml:space="preserve">DS=Dorsett</t>
    </r>
    <r>
      <rPr>
        <i val="true"/>
        <sz val="9"/>
        <color rgb="FF555555"/>
        <rFont val="WenQuanYi Zen Hei"/>
        <family val="2"/>
      </rPr>
      <t xml:space="preserve">自己負担。到着時刻は</t>
    </r>
    <r>
      <rPr>
        <i val="true"/>
        <sz val="9"/>
        <color rgb="FF555555"/>
        <rFont val="Arial"/>
        <family val="2"/>
        <charset val="1"/>
      </rPr>
      <t xml:space="preserve">COSEM</t>
    </r>
    <r>
      <rPr>
        <i val="true"/>
        <sz val="9"/>
        <color rgb="FF555555"/>
        <rFont val="WenQuanYi Zen Hei"/>
        <family val="2"/>
      </rPr>
      <t xml:space="preserve">送迎・</t>
    </r>
    <r>
      <rPr>
        <i val="true"/>
        <sz val="9"/>
        <color rgb="FF555555"/>
        <rFont val="Arial"/>
        <family val="2"/>
        <charset val="1"/>
      </rPr>
      <t xml:space="preserve">Dorsett</t>
    </r>
    <r>
      <rPr>
        <i val="true"/>
        <sz val="9"/>
        <color rgb="FF555555"/>
        <rFont val="WenQuanYi Zen Hei"/>
        <family val="2"/>
      </rPr>
      <t xml:space="preserve">受付配置の検討用。</t>
    </r>
  </si>
  <si>
    <t xml:space="preserve">【9/4打合せ時点の登録状況】メンバー国15か国（日本・シンガポール除く。含めると17か国でSC定足数を確保）、現地登録42名、オンライン3名。新規: バングラデシュ、パキスタン2名、PNG2名、フィジー3名、カンボジア3名、韓国3名予定（登録未）、NZ（アドバイザー）3名。ウズベキスタン2名（リソース1＋メンバー1）は回答待ち。インドネシア環境省の扱い（メンバー国か）は要確認。フィリピン・タイ・ブルネイの追加で約20か国の見込み。到着は26日と27日午前に集中させる方針だが、14時台着（バングラデシュ等）はタクシー送迎の想定。</t>
  </si>
  <si>
    <t xml:space="preserve">国・組織</t>
  </si>
  <si>
    <t xml:space="preserve">到着日</t>
  </si>
  <si>
    <t xml:space="preserve">到着時刻</t>
  </si>
  <si>
    <t xml:space="preserve">出発日</t>
  </si>
  <si>
    <t xml:space="preserve">出発時刻</t>
  </si>
  <si>
    <t xml:space="preserve">便名(到着/出発)</t>
  </si>
  <si>
    <t xml:space="preserve">備考</t>
  </si>
  <si>
    <t xml:space="preserve">モルディブ</t>
  </si>
  <si>
    <t xml:space="preserve">Hassan Hisan (Chief Executive, NDMA)</t>
  </si>
  <si>
    <t xml:space="preserve">10/27</t>
  </si>
  <si>
    <t xml:space="preserve">07:15</t>
  </si>
  <si>
    <t xml:space="preserve">10/31</t>
  </si>
  <si>
    <t xml:space="preserve">10:25</t>
  </si>
  <si>
    <t xml:space="preserve">D</t>
  </si>
  <si>
    <t xml:space="preserve">Yes</t>
  </si>
  <si>
    <t xml:space="preserve">Halal</t>
  </si>
  <si>
    <t xml:space="preserve">アルメニア</t>
  </si>
  <si>
    <t xml:space="preserve">Syuzanna Vardazari Kakoyan</t>
  </si>
  <si>
    <t xml:space="preserve">08:45</t>
  </si>
  <si>
    <t xml:space="preserve">11/1</t>
  </si>
  <si>
    <t xml:space="preserve">TK208/TK209</t>
  </si>
  <si>
    <t xml:space="preserve">D(+10/31 DS)</t>
  </si>
  <si>
    <t xml:space="preserve">本人希望で1泊延長</t>
  </si>
  <si>
    <t xml:space="preserve">アゼルバイジャン</t>
  </si>
  <si>
    <t xml:space="preserve">Zamanov Niyazi</t>
  </si>
  <si>
    <t xml:space="preserve">10/26</t>
  </si>
  <si>
    <t xml:space="preserve">17:40</t>
  </si>
  <si>
    <t xml:space="preserve">10/30</t>
  </si>
  <si>
    <t xml:space="preserve">23:15</t>
  </si>
  <si>
    <t xml:space="preserve">TK335/TK54</t>
  </si>
  <si>
    <t xml:space="preserve">Rustamzade Kamran</t>
  </si>
  <si>
    <t xml:space="preserve">DS</t>
  </si>
  <si>
    <t xml:space="preserve">トルコ</t>
  </si>
  <si>
    <t xml:space="preserve">Pehlivan Ali Hamza (Governor/Head of AFAD)</t>
  </si>
  <si>
    <t xml:space="preserve">―/TK209</t>
  </si>
  <si>
    <t xml:space="preserve">Yaman Muhammet Maruf</t>
  </si>
  <si>
    <t xml:space="preserve">モンゴル</t>
  </si>
  <si>
    <t xml:space="preserve">Nyambayar Tsedev (Director, NEMA)</t>
  </si>
  <si>
    <t xml:space="preserve">21:55</t>
  </si>
  <si>
    <t xml:space="preserve">23:55</t>
  </si>
  <si>
    <t xml:space="preserve">CA969/CA970</t>
  </si>
  <si>
    <t xml:space="preserve">中国国際航空(北京経由)</t>
  </si>
  <si>
    <t xml:space="preserve">フィジー</t>
  </si>
  <si>
    <t xml:space="preserve">Naipolioni Dabea Boseiwaqa (Director, NDRMO)</t>
  </si>
  <si>
    <t xml:space="preserve">21:35</t>
  </si>
  <si>
    <t xml:space="preserve">13:40</t>
  </si>
  <si>
    <t xml:space="preserve">No</t>
  </si>
  <si>
    <t xml:space="preserve">スリランカ</t>
  </si>
  <si>
    <t xml:space="preserve">Maj.Gen.(Retd.) Kotuwegoda (DG, DMC)</t>
  </si>
  <si>
    <t xml:space="preserve">08:10</t>
  </si>
  <si>
    <t xml:space="preserve">09:40</t>
  </si>
  <si>
    <t xml:space="preserve">マレーシア</t>
  </si>
  <si>
    <t xml:space="preserve">Ezrin Rozani Bin Rosli (NADMA)</t>
  </si>
  <si>
    <t xml:space="preserve">12:20</t>
  </si>
  <si>
    <t xml:space="preserve">12:45</t>
  </si>
  <si>
    <t xml:space="preserve">D(10/27-)</t>
  </si>
  <si>
    <t xml:space="preserve">韓国</t>
  </si>
  <si>
    <t xml:space="preserve">Byungim So (MOIS)</t>
  </si>
  <si>
    <t xml:space="preserve">20:25</t>
  </si>
  <si>
    <t xml:space="preserve">01:35</t>
  </si>
  <si>
    <t xml:space="preserve">TBD ×2</t>
  </si>
  <si>
    <t xml:space="preserve">ベトナム</t>
  </si>
  <si>
    <r>
      <rPr>
        <b val="true"/>
        <sz val="10"/>
        <color rgb="FF000000"/>
        <rFont val="Arial"/>
        <family val="2"/>
        <charset val="1"/>
      </rPr>
      <t xml:space="preserve">Doan Thi Tuyet Nga </t>
    </r>
    <r>
      <rPr>
        <b val="true"/>
        <sz val="10"/>
        <color rgb="FF000000"/>
        <rFont val="WenQuanYi Zen Hei"/>
        <family val="2"/>
      </rPr>
      <t xml:space="preserve">ほか</t>
    </r>
    <r>
      <rPr>
        <b val="true"/>
        <sz val="10"/>
        <color rgb="FF000000"/>
        <rFont val="Arial"/>
        <family val="2"/>
        <charset val="1"/>
      </rPr>
      <t xml:space="preserve">TBD</t>
    </r>
  </si>
  <si>
    <t xml:space="preserve">17:20</t>
  </si>
  <si>
    <t xml:space="preserve">12:35</t>
  </si>
  <si>
    <t xml:space="preserve">D/DS</t>
  </si>
  <si>
    <r>
      <rPr>
        <b val="true"/>
        <sz val="10"/>
        <color rgb="FF000000"/>
        <rFont val="Arial"/>
        <family val="2"/>
        <charset val="1"/>
      </rPr>
      <t xml:space="preserve">8/27</t>
    </r>
    <r>
      <rPr>
        <b val="true"/>
        <sz val="10"/>
        <color rgb="FF000000"/>
        <rFont val="WenQuanYi Zen Hei"/>
        <family val="2"/>
      </rPr>
      <t xml:space="preserve">登録、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人目の可能性</t>
    </r>
  </si>
  <si>
    <t xml:space="preserve">ウズベキスタン</t>
  </si>
  <si>
    <r>
      <rPr>
        <b val="true"/>
        <sz val="10"/>
        <color rgb="FF000000"/>
        <rFont val="Arial"/>
        <family val="2"/>
        <charset val="1"/>
      </rPr>
      <t xml:space="preserve">TBD ×2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2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名は</t>
    </r>
    <r>
      <rPr>
        <b val="true"/>
        <sz val="10"/>
        <color rgb="FF000000"/>
        <rFont val="Arial"/>
        <family val="2"/>
        <charset val="1"/>
      </rPr>
      <t xml:space="preserve">TS</t>
    </r>
    <r>
      <rPr>
        <b val="true"/>
        <sz val="10"/>
        <color rgb="FF000000"/>
        <rFont val="WenQuanYi Zen Hei"/>
        <family val="2"/>
      </rPr>
      <t xml:space="preserve">スピーカー）</t>
    </r>
  </si>
  <si>
    <t xml:space="preserve">D×2</t>
  </si>
  <si>
    <t xml:space="preserve">宿泊負担の整理未了（田中8/31）</t>
  </si>
  <si>
    <t xml:space="preserve">フィリピン</t>
  </si>
  <si>
    <t xml:space="preserve">12:10</t>
  </si>
  <si>
    <t xml:space="preserve">ブルネイ</t>
  </si>
  <si>
    <t xml:space="preserve">14:30</t>
  </si>
  <si>
    <t xml:space="preserve">09:00</t>
  </si>
  <si>
    <t xml:space="preserve">ブータン</t>
  </si>
  <si>
    <t xml:space="preserve">TBD</t>
  </si>
  <si>
    <t xml:space="preserve">19:30</t>
  </si>
  <si>
    <t xml:space="preserve">12:30</t>
  </si>
  <si>
    <t xml:space="preserve">PNG</t>
  </si>
  <si>
    <t xml:space="preserve">20:40</t>
  </si>
  <si>
    <t xml:space="preserve">タイ</t>
  </si>
  <si>
    <t xml:space="preserve">14:50</t>
  </si>
  <si>
    <t xml:space="preserve">12:25</t>
  </si>
  <si>
    <t xml:space="preserve">カンボジア</t>
  </si>
  <si>
    <r>
      <rPr>
        <b val="true"/>
        <sz val="10"/>
        <color rgb="FF000000"/>
        <rFont val="Arial"/>
        <family val="2"/>
        <charset val="1"/>
      </rPr>
      <t xml:space="preserve">9/1</t>
    </r>
    <r>
      <rPr>
        <b val="true"/>
        <sz val="10"/>
        <color rgb="FF000000"/>
        <rFont val="WenQuanYi Zen Hei"/>
        <family val="2"/>
      </rPr>
      <t xml:space="preserve">登録あり</t>
    </r>
  </si>
  <si>
    <t xml:space="preserve">ミャンマー</t>
  </si>
  <si>
    <t xml:space="preserve">15:10</t>
  </si>
  <si>
    <t xml:space="preserve">13:45</t>
  </si>
  <si>
    <t xml:space="preserve">インドネシア</t>
  </si>
  <si>
    <t xml:space="preserve">11:20</t>
  </si>
  <si>
    <t xml:space="preserve">22:40</t>
  </si>
  <si>
    <t xml:space="preserve">パキスタン</t>
  </si>
  <si>
    <t xml:space="preserve">11:15</t>
  </si>
  <si>
    <t xml:space="preserve">インド</t>
  </si>
  <si>
    <r>
      <rPr>
        <b val="true"/>
        <sz val="10"/>
        <color rgb="FF000000"/>
        <rFont val="Arial"/>
        <family val="2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名（</t>
    </r>
    <r>
      <rPr>
        <b val="true"/>
        <sz val="10"/>
        <color rgb="FF000000"/>
        <rFont val="Arial"/>
        <family val="2"/>
        <charset val="1"/>
      </rPr>
      <t xml:space="preserve">8/28</t>
    </r>
    <r>
      <rPr>
        <b val="true"/>
        <sz val="10"/>
        <color rgb="FF000000"/>
        <rFont val="WenQuanYi Zen Hei"/>
        <family val="2"/>
      </rPr>
      <t xml:space="preserve">登録、</t>
    </r>
    <r>
      <rPr>
        <b val="true"/>
        <sz val="10"/>
        <color rgb="FF000000"/>
        <rFont val="Arial"/>
        <family val="2"/>
        <charset val="1"/>
      </rPr>
      <t xml:space="preserve">9/3</t>
    </r>
    <r>
      <rPr>
        <b val="true"/>
        <sz val="10"/>
        <color rgb="FF000000"/>
        <rFont val="WenQuanYi Zen Hei"/>
        <family val="2"/>
      </rPr>
      <t xml:space="preserve">に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人目確認）</t>
    </r>
  </si>
  <si>
    <t xml:space="preserve">16:40</t>
  </si>
  <si>
    <t xml:space="preserve">D+DS×2</t>
  </si>
  <si>
    <t xml:space="preserve">内閣府（日本）</t>
  </si>
  <si>
    <t xml:space="preserve">林 正道 政策統括官 ＋随行2名</t>
  </si>
  <si>
    <t xml:space="preserve">01:20</t>
  </si>
  <si>
    <r>
      <rPr>
        <b val="true"/>
        <sz val="10"/>
        <color rgb="FF000000"/>
        <rFont val="Arial"/>
        <family val="2"/>
        <charset val="1"/>
      </rPr>
      <t xml:space="preserve">DS×2(+</t>
    </r>
    <r>
      <rPr>
        <b val="true"/>
        <sz val="10"/>
        <color rgb="FF000000"/>
        <rFont val="WenQuanYi Zen Hei"/>
        <family val="2"/>
      </rPr>
      <t xml:space="preserve">林氏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</si>
  <si>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CV</t>
    </r>
    <r>
      <rPr>
        <b val="true"/>
        <sz val="10"/>
        <color rgb="FF000000"/>
        <rFont val="WenQuanYi Zen Hei"/>
        <family val="2"/>
      </rPr>
      <t xml:space="preserve">準備中。英語サポート要</t>
    </r>
  </si>
  <si>
    <t xml:space="preserve">リソース</t>
  </si>
  <si>
    <r>
      <rPr>
        <b val="true"/>
        <sz val="10"/>
        <color rgb="FF000000"/>
        <rFont val="Arial"/>
        <family val="2"/>
        <charset val="1"/>
      </rPr>
      <t xml:space="preserve">TS</t>
    </r>
    <r>
      <rPr>
        <b val="true"/>
        <sz val="10"/>
        <color rgb="FF000000"/>
        <rFont val="WenQuanYi Zen Hei"/>
        <family val="2"/>
      </rPr>
      <t xml:space="preserve">スピーカー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名（海外）</t>
    </r>
  </si>
  <si>
    <r>
      <rPr>
        <b val="true"/>
        <sz val="10"/>
        <color rgb="FF000000"/>
        <rFont val="Arial"/>
        <family val="2"/>
        <charset val="1"/>
      </rPr>
      <t xml:space="preserve">JAXA</t>
    </r>
    <r>
      <rPr>
        <b val="true"/>
        <sz val="10"/>
        <color rgb="FF000000"/>
        <rFont val="WenQuanYi Zen Hei"/>
        <family val="2"/>
      </rPr>
      <t xml:space="preserve">川北氏確定、他調整中</t>
    </r>
  </si>
  <si>
    <t xml:space="preserve">観察者・一般</t>
  </si>
  <si>
    <r>
      <rPr>
        <b val="true"/>
        <sz val="10"/>
        <color rgb="FF000000"/>
        <rFont val="Arial"/>
        <family val="2"/>
        <charset val="1"/>
      </rPr>
      <t xml:space="preserve">ADPC 2</t>
    </r>
    <r>
      <rPr>
        <b val="true"/>
        <sz val="10"/>
        <color rgb="FF000000"/>
        <rFont val="WenQuanYi Zen Hei"/>
        <family val="2"/>
      </rPr>
      <t xml:space="preserve">名、</t>
    </r>
    <r>
      <rPr>
        <b val="true"/>
        <sz val="10"/>
        <color rgb="FF000000"/>
        <rFont val="Arial"/>
        <family val="2"/>
        <charset val="1"/>
      </rPr>
      <t xml:space="preserve">AHA Centre</t>
    </r>
    <r>
      <rPr>
        <b val="true"/>
        <sz val="10"/>
        <color rgb="FF000000"/>
        <rFont val="WenQuanYi Zen Hei"/>
        <family val="2"/>
      </rPr>
      <t xml:space="preserve">、</t>
    </r>
    <r>
      <rPr>
        <b val="true"/>
        <sz val="10"/>
        <color rgb="FF000000"/>
        <rFont val="Arial"/>
        <family val="2"/>
        <charset val="1"/>
      </rPr>
      <t xml:space="preserve">JICA</t>
    </r>
    <r>
      <rPr>
        <b val="true"/>
        <sz val="10"/>
        <color rgb="FF000000"/>
        <rFont val="WenQuanYi Zen Hei"/>
        <family val="2"/>
      </rPr>
      <t xml:space="preserve">フィジー、東北大小野教授、仙台市</t>
    </r>
    <r>
      <rPr>
        <b val="true"/>
        <sz val="10"/>
        <color rgb="FF000000"/>
        <rFont val="Arial"/>
        <family val="2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名、</t>
    </r>
    <r>
      <rPr>
        <b val="true"/>
        <sz val="10"/>
        <color rgb="FF000000"/>
        <rFont val="Arial"/>
        <family val="2"/>
        <charset val="1"/>
      </rPr>
      <t xml:space="preserve">Mercy Malaysia</t>
    </r>
    <r>
      <rPr>
        <b val="true"/>
        <sz val="10"/>
        <color rgb="FF000000"/>
        <rFont val="WenQuanYi Zen Hei"/>
        <family val="2"/>
      </rPr>
      <t xml:space="preserve">、大学関係 等</t>
    </r>
  </si>
  <si>
    <t xml:space="preserve">自己手配</t>
  </si>
  <si>
    <t xml:space="preserve">昼食提供対象</t>
  </si>
  <si>
    <r>
      <rPr>
        <sz val="9"/>
        <color rgb="FFC00000"/>
        <rFont val="Arial"/>
        <family val="2"/>
        <charset val="1"/>
      </rPr>
      <t xml:space="preserve">Dorsett</t>
    </r>
    <r>
      <rPr>
        <sz val="9"/>
        <color rgb="FFC00000"/>
        <rFont val="WenQuanYi Zen Hei"/>
        <family val="2"/>
      </rPr>
      <t xml:space="preserve">確保数（</t>
    </r>
    <r>
      <rPr>
        <sz val="9"/>
        <color rgb="FFC00000"/>
        <rFont val="Arial"/>
        <family val="2"/>
        <charset val="1"/>
      </rPr>
      <t xml:space="preserve">8/28</t>
    </r>
    <r>
      <rPr>
        <sz val="9"/>
        <color rgb="FFC00000"/>
        <rFont val="WenQuanYi Zen Hei"/>
        <family val="2"/>
      </rPr>
      <t xml:space="preserve">に</t>
    </r>
    <r>
      <rPr>
        <sz val="9"/>
        <color rgb="FFC00000"/>
        <rFont val="Arial"/>
        <family val="2"/>
        <charset val="1"/>
      </rPr>
      <t xml:space="preserve">COSEM</t>
    </r>
    <r>
      <rPr>
        <sz val="9"/>
        <color rgb="FFC00000"/>
        <rFont val="WenQuanYi Zen Hei"/>
        <family val="2"/>
      </rPr>
      <t xml:space="preserve">へ通知）</t>
    </r>
    <r>
      <rPr>
        <sz val="9"/>
        <color rgb="FFC00000"/>
        <rFont val="Arial"/>
        <family val="2"/>
        <charset val="1"/>
      </rPr>
      <t xml:space="preserve">: 10/26 29</t>
    </r>
    <r>
      <rPr>
        <sz val="9"/>
        <color rgb="FFC00000"/>
        <rFont val="WenQuanYi Zen Hei"/>
        <family val="2"/>
      </rPr>
      <t xml:space="preserve">室、</t>
    </r>
    <r>
      <rPr>
        <sz val="9"/>
        <color rgb="FFC00000"/>
        <rFont val="Arial"/>
        <family val="2"/>
        <charset val="1"/>
      </rPr>
      <t xml:space="preserve">10/27-30 37</t>
    </r>
    <r>
      <rPr>
        <sz val="9"/>
        <color rgb="FFC00000"/>
        <rFont val="WenQuanYi Zen Hei"/>
        <family val="2"/>
      </rPr>
      <t xml:space="preserve">室</t>
    </r>
    <r>
      <rPr>
        <sz val="9"/>
        <color rgb="FFC00000"/>
        <rFont val="Arial"/>
        <family val="2"/>
        <charset val="1"/>
      </rPr>
      <t xml:space="preserve">/</t>
    </r>
    <r>
      <rPr>
        <sz val="9"/>
        <color rgb="FFC00000"/>
        <rFont val="WenQuanYi Zen Hei"/>
        <family val="2"/>
      </rPr>
      <t xml:space="preserve">泊、</t>
    </r>
    <r>
      <rPr>
        <sz val="9"/>
        <color rgb="FFC00000"/>
        <rFont val="Arial"/>
        <family val="2"/>
        <charset val="1"/>
      </rPr>
      <t xml:space="preserve">10/31 2</t>
    </r>
    <r>
      <rPr>
        <sz val="9"/>
        <color rgb="FFC00000"/>
        <rFont val="WenQuanYi Zen Hei"/>
        <family val="2"/>
      </rPr>
      <t xml:space="preserve">室、計</t>
    </r>
    <r>
      <rPr>
        <sz val="9"/>
        <color rgb="FFC00000"/>
        <rFont val="Arial"/>
        <family val="2"/>
        <charset val="1"/>
      </rPr>
      <t xml:space="preserve">180 room nights</t>
    </r>
    <r>
      <rPr>
        <sz val="9"/>
        <color rgb="FFC00000"/>
        <rFont val="WenQuanYi Zen Hei"/>
        <family val="2"/>
      </rPr>
      <t xml:space="preserve">。</t>
    </r>
    <r>
      <rPr>
        <sz val="9"/>
        <color rgb="FFC00000"/>
        <rFont val="Arial"/>
        <family val="2"/>
        <charset val="1"/>
      </rPr>
      <t xml:space="preserve">9/28</t>
    </r>
    <r>
      <rPr>
        <sz val="9"/>
        <color rgb="FFC00000"/>
        <rFont val="WenQuanYi Zen Hei"/>
        <family val="2"/>
      </rPr>
      <t xml:space="preserve">に</t>
    </r>
    <r>
      <rPr>
        <sz val="9"/>
        <color rgb="FFC00000"/>
        <rFont val="Arial"/>
        <family val="2"/>
        <charset val="1"/>
      </rPr>
      <t xml:space="preserve">10%</t>
    </r>
    <r>
      <rPr>
        <sz val="9"/>
        <color rgb="FFC00000"/>
        <rFont val="WenQuanYi Zen Hei"/>
        <family val="2"/>
      </rPr>
      <t xml:space="preserve">リリース可、以後</t>
    </r>
    <r>
      <rPr>
        <sz val="9"/>
        <color rgb="FFC00000"/>
        <rFont val="Arial"/>
        <family val="2"/>
        <charset val="1"/>
      </rPr>
      <t xml:space="preserve">100%</t>
    </r>
    <r>
      <rPr>
        <sz val="9"/>
        <color rgb="FFC00000"/>
        <rFont val="WenQuanYi Zen Hei"/>
        <family val="2"/>
      </rPr>
      <t xml:space="preserve">課金。</t>
    </r>
  </si>
  <si>
    <t xml:space="preserve">出典と前提（本表は2026/9/4時点の一次資料から作成。未確認事項は各シートに明記）</t>
  </si>
  <si>
    <t xml:space="preserve">#</t>
  </si>
  <si>
    <t xml:space="preserve">資料</t>
  </si>
  <si>
    <t xml:space="preserve">本表での使用箇所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</si>
  <si>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荒木田→研究部・事務局 </t>
    </r>
    <r>
      <rPr>
        <b val="true"/>
        <sz val="10"/>
        <color rgb="FF000000"/>
        <rFont val="Arial"/>
        <family val="2"/>
        <charset val="1"/>
      </rPr>
      <t xml:space="preserve">2026/9/2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ACDR2026</t>
    </r>
    <r>
      <rPr>
        <b val="true"/>
        <sz val="10"/>
        <color rgb="FF000000"/>
        <rFont val="WenQuanYi Zen Hei"/>
        <family val="2"/>
      </rPr>
      <t xml:space="preserve">打合せ」</t>
    </r>
    <r>
      <rPr>
        <b val="true"/>
        <sz val="10"/>
        <color rgb="FF000000"/>
        <rFont val="Arial"/>
        <family val="2"/>
        <charset val="1"/>
      </rPr>
      <t xml:space="preserve">(9/4 15-16</t>
    </r>
    <r>
      <rPr>
        <b val="true"/>
        <sz val="10"/>
        <color rgb="FF000000"/>
        <rFont val="WenQuanYi Zen Hei"/>
        <family val="2"/>
      </rPr>
      <t xml:space="preserve">時所内打合せ</t>
    </r>
    <r>
      <rPr>
        <b val="true"/>
        <sz val="10"/>
        <color rgb="FF000000"/>
        <rFont val="Arial"/>
        <family val="2"/>
        <charset val="1"/>
      </rPr>
      <t xml:space="preserve">)</t>
    </r>
  </si>
  <si>
    <t xml:space="preserve">児玉9/3『役割分担等再確認』の指示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</si>
  <si>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荒木田→塩見 </t>
    </r>
    <r>
      <rPr>
        <b val="true"/>
        <sz val="10"/>
        <color rgb="FF000000"/>
        <rFont val="Arial"/>
        <family val="2"/>
        <charset val="1"/>
      </rPr>
      <t xml:space="preserve">2026/9/4</t>
    </r>
    <r>
      <rPr>
        <b val="true"/>
        <sz val="10"/>
        <color rgb="FF000000"/>
        <rFont val="WenQuanYi Zen Hei"/>
        <family val="2"/>
      </rPr>
      <t xml:space="preserve">「日程について」返信</t>
    </r>
  </si>
  <si>
    <t xml:space="preserve">塩見への現地参加打診（未回答）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</si>
  <si>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荒木田→藤本 </t>
    </r>
    <r>
      <rPr>
        <b val="true"/>
        <sz val="10"/>
        <color rgb="FF000000"/>
        <rFont val="Arial"/>
        <family val="2"/>
        <charset val="1"/>
      </rPr>
      <t xml:space="preserve">2026/8/6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ACDR2026</t>
    </r>
    <r>
      <rPr>
        <b val="true"/>
        <sz val="10"/>
        <color rgb="FF000000"/>
        <rFont val="WenQuanYi Zen Hei"/>
        <family val="2"/>
      </rPr>
      <t xml:space="preserve">に行きませんか」／藤本 </t>
    </r>
    <r>
      <rPr>
        <b val="true"/>
        <sz val="10"/>
        <color rgb="FF000000"/>
        <rFont val="Arial"/>
        <family val="2"/>
        <charset val="1"/>
      </rPr>
      <t xml:space="preserve">8/7</t>
    </r>
    <r>
      <rPr>
        <b val="true"/>
        <sz val="10"/>
        <color rgb="FF000000"/>
        <rFont val="WenQuanYi Zen Hei"/>
        <family val="2"/>
      </rPr>
      <t xml:space="preserve">返信</t>
    </r>
  </si>
  <si>
    <t xml:space="preserve">追加要員1-2名の必要性、藤本の参加可否</t>
  </si>
  <si>
    <t xml:space="preserve">4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</si>
  <si>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ACDR2026_Demarcation_asof0805.pptx</t>
    </r>
    <r>
      <rPr>
        <b val="true"/>
        <sz val="10"/>
        <color rgb="FF000000"/>
        <rFont val="WenQuanYi Zen Hei"/>
        <family val="2"/>
      </rPr>
      <t xml:space="preserve">（荒木田→藤本 </t>
    </r>
    <r>
      <rPr>
        <b val="true"/>
        <sz val="10"/>
        <color rgb="FF000000"/>
        <rFont val="Arial"/>
        <family val="2"/>
        <charset val="1"/>
      </rPr>
      <t xml:space="preserve">8/6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</si>
  <si>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役割分担（8/6版）</t>
  </si>
  <si>
    <t xml:space="preserve">5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</si>
  <si>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</t>
    </r>
    <r>
      <rPr>
        <b val="true"/>
        <sz val="10"/>
        <color rgb="FF000000"/>
        <rFont val="WenQuanYi Zen Hei"/>
        <family val="2"/>
      </rPr>
      <t xml:space="preserve">ホテル部屋数検討用リスト </t>
    </r>
    <r>
      <rPr>
        <b val="true"/>
        <sz val="10"/>
        <color rgb="FF000000"/>
        <rFont val="Arial"/>
        <family val="2"/>
        <charset val="1"/>
      </rPr>
      <t xml:space="preserve">_tt.xlsx</t>
    </r>
    <r>
      <rPr>
        <b val="true"/>
        <sz val="10"/>
        <color rgb="FF000000"/>
        <rFont val="WenQuanYi Zen Hei"/>
        <family val="2"/>
      </rPr>
      <t xml:space="preserve">（田中→藤中・荒木田・児玉 </t>
    </r>
    <r>
      <rPr>
        <b val="true"/>
        <sz val="10"/>
        <color rgb="FF000000"/>
        <rFont val="Arial"/>
        <family val="2"/>
        <charset val="1"/>
      </rPr>
      <t xml:space="preserve">8/28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</si>
  <si>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スタッフ・参加者の到着/出発・宿泊</t>
  </si>
  <si>
    <t xml:space="preserve">6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</si>
  <si>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事務局→</t>
    </r>
    <r>
      <rPr>
        <b val="true"/>
        <sz val="10"/>
        <color rgb="FF000000"/>
        <rFont val="Arial"/>
        <family val="2"/>
        <charset val="1"/>
      </rPr>
      <t xml:space="preserve">Sylvia(COSEM) 8/28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Hotel Guest Rooms as of 28 August</t>
    </r>
    <r>
      <rPr>
        <b val="true"/>
        <sz val="10"/>
        <color rgb="FF000000"/>
        <rFont val="WenQuanYi Zen Hei"/>
        <family val="2"/>
      </rPr>
      <t xml:space="preserve">」／藤中 </t>
    </r>
    <r>
      <rPr>
        <b val="true"/>
        <sz val="10"/>
        <color rgb="FF000000"/>
        <rFont val="Arial"/>
        <family val="2"/>
        <charset val="1"/>
      </rPr>
      <t xml:space="preserve">9/1</t>
    </r>
    <r>
      <rPr>
        <b val="true"/>
        <sz val="10"/>
        <color rgb="FF000000"/>
        <rFont val="WenQuanYi Zen Hei"/>
        <family val="2"/>
      </rPr>
      <t xml:space="preserve">返信</t>
    </r>
  </si>
  <si>
    <t xml:space="preserve">Dorsett 180 room nights</t>
  </si>
  <si>
    <t xml:space="preserve">7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</si>
  <si>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ACDR2026</t>
    </r>
    <r>
      <rPr>
        <b val="true"/>
        <sz val="10"/>
        <color rgb="FF000000"/>
        <rFont val="WenQuanYi Zen Hei"/>
        <family val="2"/>
      </rPr>
      <t xml:space="preserve">予算</t>
    </r>
    <r>
      <rPr>
        <b val="true"/>
        <sz val="10"/>
        <color rgb="FF000000"/>
        <rFont val="Arial"/>
        <family val="2"/>
        <charset val="1"/>
      </rPr>
      <t xml:space="preserve">.xlsx</t>
    </r>
    <r>
      <rPr>
        <b val="true"/>
        <sz val="10"/>
        <color rgb="FF000000"/>
        <rFont val="WenQuanYi Zen Hei"/>
        <family val="2"/>
      </rPr>
      <t xml:space="preserve">（藤中→荒木田・児玉 </t>
    </r>
    <r>
      <rPr>
        <b val="true"/>
        <sz val="10"/>
        <color rgb="FF000000"/>
        <rFont val="Arial"/>
        <family val="2"/>
        <charset val="1"/>
      </rPr>
      <t xml:space="preserve">8/21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</si>
  <si>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スタッフ14名リスト、旅費・宿泊予算、超過見込み</t>
  </si>
  <si>
    <t xml:space="preserve">8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</si>
  <si>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ACDR2026_Draft_Agenda_EN_0805r.docx</t>
    </r>
    <r>
      <rPr>
        <b val="true"/>
        <sz val="10"/>
        <color rgb="FF000000"/>
        <rFont val="WenQuanYi Zen Hei"/>
        <family val="2"/>
      </rPr>
      <t xml:space="preserve">（児玉 </t>
    </r>
    <r>
      <rPr>
        <b val="true"/>
        <sz val="10"/>
        <color rgb="FF000000"/>
        <rFont val="Arial"/>
        <family val="2"/>
        <charset val="1"/>
      </rPr>
      <t xml:space="preserve">8/5</t>
    </r>
    <r>
      <rPr>
        <b val="true"/>
        <sz val="10"/>
        <color rgb="FF000000"/>
        <rFont val="WenQuanYi Zen Hei"/>
        <family val="2"/>
      </rPr>
      <t xml:space="preserve">）＋</t>
    </r>
    <r>
      <rPr>
        <b val="true"/>
        <sz val="10"/>
        <color rgb="FF000000"/>
        <rFont val="Arial"/>
        <family val="2"/>
        <charset val="1"/>
      </rPr>
      <t xml:space="preserve">Flyer 8/26</t>
    </r>
    <r>
      <rPr>
        <b val="true"/>
        <sz val="10"/>
        <color rgb="FF000000"/>
        <rFont val="WenQuanYi Zen Hei"/>
        <family val="2"/>
      </rPr>
      <t xml:space="preserve">版（</t>
    </r>
    <r>
      <rPr>
        <b val="true"/>
        <sz val="10"/>
        <color rgb="FF000000"/>
        <rFont val="Arial"/>
        <family val="2"/>
        <charset val="1"/>
      </rPr>
      <t xml:space="preserve">Field Trip 13:00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</si>
  <si>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会期プログラム</t>
  </si>
  <si>
    <t xml:space="preserve">9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</si>
  <si>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藤中 </t>
    </r>
    <r>
      <rPr>
        <b val="true"/>
        <sz val="10"/>
        <color rgb="FF000000"/>
        <rFont val="Arial"/>
        <family val="2"/>
        <charset val="1"/>
      </rPr>
      <t xml:space="preserve">7/15</t>
    </r>
    <r>
      <rPr>
        <b val="true"/>
        <sz val="10"/>
        <color rgb="FF000000"/>
        <rFont val="WenQuanYi Zen Hei"/>
        <family val="2"/>
      </rPr>
      <t xml:space="preserve">「三浦センター長のフライト」／</t>
    </r>
    <r>
      <rPr>
        <b val="true"/>
        <sz val="10"/>
        <color rgb="FF000000"/>
        <rFont val="Arial"/>
        <family val="2"/>
        <charset val="1"/>
      </rPr>
      <t xml:space="preserve">7/29-31</t>
    </r>
    <r>
      <rPr>
        <b val="true"/>
        <sz val="10"/>
        <color rgb="FF000000"/>
        <rFont val="WenQuanYi Zen Hei"/>
        <family val="2"/>
      </rPr>
      <t xml:space="preserve">「シンガポール行きのフライト【</t>
    </r>
    <r>
      <rPr>
        <b val="true"/>
        <sz val="10"/>
        <color rgb="FF000000"/>
        <rFont val="Arial"/>
        <family val="2"/>
        <charset val="1"/>
      </rPr>
      <t xml:space="preserve">ACDR2026</t>
    </r>
    <r>
      <rPr>
        <b val="true"/>
        <sz val="10"/>
        <color rgb="FF000000"/>
        <rFont val="WenQuanYi Zen Hei"/>
        <family val="2"/>
      </rPr>
      <t xml:space="preserve">】」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北本</t>
    </r>
    <r>
      <rPr>
        <b val="true"/>
        <sz val="10"/>
        <color rgb="FF000000"/>
        <rFont val="Arial"/>
        <family val="2"/>
        <charset val="1"/>
      </rPr>
      <t xml:space="preserve">)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2"/>
        <charset val="1"/>
      </rPr>
      <t xml:space="preserve">7/10</t>
    </r>
    <r>
      <rPr>
        <b val="true"/>
        <sz val="10"/>
        <color rgb="FF000000"/>
        <rFont val="WenQuanYi Zen Hei"/>
        <family val="2"/>
      </rPr>
      <t xml:space="preserve">「田中・藤中のフライト」／</t>
    </r>
    <r>
      <rPr>
        <b val="true"/>
        <sz val="10"/>
        <color rgb="FF000000"/>
        <rFont val="Arial"/>
        <family val="2"/>
        <charset val="1"/>
      </rPr>
      <t xml:space="preserve">7/21</t>
    </r>
    <r>
      <rPr>
        <b val="true"/>
        <sz val="10"/>
        <color rgb="FF000000"/>
        <rFont val="WenQuanYi Zen Hei"/>
        <family val="2"/>
      </rPr>
      <t xml:space="preserve">「スイス発着のフライト」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吉田</t>
    </r>
    <r>
      <rPr>
        <b val="true"/>
        <sz val="10"/>
        <color rgb="FF000000"/>
        <rFont val="Arial"/>
        <family val="2"/>
        <charset val="1"/>
      </rPr>
      <t xml:space="preserve">)→9/6 </t>
    </r>
    <r>
      <rPr>
        <b val="true"/>
        <sz val="10"/>
        <color rgb="FF000000"/>
        <rFont val="WenQuanYi Zen Hei"/>
        <family val="2"/>
      </rPr>
      <t xml:space="preserve">吉田メールで</t>
    </r>
    <r>
      <rPr>
        <b val="true"/>
        <sz val="10"/>
        <color rgb="FF000000"/>
        <rFont val="Arial"/>
        <family val="2"/>
        <charset val="1"/>
      </rPr>
      <t xml:space="preserve">AY</t>
    </r>
    <r>
      <rPr>
        <b val="true"/>
        <sz val="10"/>
        <color rgb="FF000000"/>
        <rFont val="WenQuanYi Zen Hei"/>
        <family val="2"/>
      </rPr>
      <t xml:space="preserve">便に変更／</t>
    </r>
    <r>
      <rPr>
        <b val="true"/>
        <sz val="10"/>
        <color rgb="FF000000"/>
        <rFont val="Arial"/>
        <family val="2"/>
        <charset val="1"/>
      </rPr>
      <t xml:space="preserve">7/29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Flight to Singapore for ACDR2026</t>
    </r>
    <r>
      <rPr>
        <b val="true"/>
        <sz val="10"/>
        <color rgb="FF000000"/>
        <rFont val="WenQuanYi Zen Hei"/>
        <family val="2"/>
      </rPr>
      <t xml:space="preserve">」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池田・</t>
    </r>
    <r>
      <rPr>
        <b val="true"/>
        <sz val="10"/>
        <color rgb="FF000000"/>
        <rFont val="Arial"/>
        <family val="2"/>
        <charset val="1"/>
      </rPr>
      <t xml:space="preserve">Gerry)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2"/>
        <charset val="1"/>
      </rPr>
      <t xml:space="preserve">7/31</t>
    </r>
    <r>
      <rPr>
        <b val="true"/>
        <sz val="10"/>
        <color rgb="FF000000"/>
        <rFont val="WenQuanYi Zen Hei"/>
        <family val="2"/>
      </rPr>
      <t xml:space="preserve">「池田さん、</t>
    </r>
    <r>
      <rPr>
        <b val="true"/>
        <sz val="10"/>
        <color rgb="FF000000"/>
        <rFont val="Arial"/>
        <family val="2"/>
        <charset val="1"/>
      </rPr>
      <t xml:space="preserve">Gerry</t>
    </r>
    <r>
      <rPr>
        <b val="true"/>
        <sz val="10"/>
        <color rgb="FF000000"/>
        <rFont val="WenQuanYi Zen Hei"/>
        <family val="2"/>
      </rPr>
      <t xml:space="preserve">さんのふらいとについて」</t>
    </r>
  </si>
  <si>
    <t xml:space="preserve">各人のフライト</t>
  </si>
  <si>
    <t xml:space="preserve">10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</si>
  <si>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児玉→宮木・荒木田 </t>
    </r>
    <r>
      <rPr>
        <b val="true"/>
        <sz val="10"/>
        <color rgb="FF000000"/>
        <rFont val="Arial"/>
        <family val="2"/>
        <charset val="1"/>
      </rPr>
      <t xml:space="preserve">8/28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SIDEX-ACDR2026: </t>
    </r>
    <r>
      <rPr>
        <b val="true"/>
        <sz val="10"/>
        <color rgb="FF000000"/>
        <rFont val="WenQuanYi Zen Hei"/>
        <family val="2"/>
      </rPr>
      <t xml:space="preserve">日本（内閣府）からの出席者決定」</t>
    </r>
  </si>
  <si>
    <t xml:space="preserve">林正道氏出席、英語サポート要</t>
  </si>
  <si>
    <t xml:space="preserve">11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</si>
  <si>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児玉→荒木田・池田・</t>
    </r>
    <r>
      <rPr>
        <b val="true"/>
        <sz val="10"/>
        <color rgb="FF000000"/>
        <rFont val="Arial"/>
        <family val="2"/>
        <charset val="1"/>
      </rPr>
      <t xml:space="preserve">Mizan 8/28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2"/>
        <charset val="1"/>
      </rPr>
      <t xml:space="preserve">Mizan 8/31</t>
    </r>
    <r>
      <rPr>
        <b val="true"/>
        <sz val="10"/>
        <color rgb="FF000000"/>
        <rFont val="WenQuanYi Zen Hei"/>
        <family val="2"/>
      </rPr>
      <t xml:space="preserve">／荒木田 </t>
    </r>
    <r>
      <rPr>
        <b val="true"/>
        <sz val="10"/>
        <color rgb="FF000000"/>
        <rFont val="Arial"/>
        <family val="2"/>
        <charset val="1"/>
      </rPr>
      <t xml:space="preserve">8/31</t>
    </r>
    <r>
      <rPr>
        <b val="true"/>
        <sz val="10"/>
        <color rgb="FF000000"/>
        <rFont val="WenQuanYi Zen Hei"/>
        <family val="2"/>
      </rPr>
      <t xml:space="preserve">「テクニカルセッション準備状況」</t>
    </r>
  </si>
  <si>
    <r>
      <rPr>
        <b val="true"/>
        <sz val="10"/>
        <color rgb="FF000000"/>
        <rFont val="Arial"/>
        <family val="2"/>
        <charset val="1"/>
      </rPr>
      <t xml:space="preserve">Co-Chair</t>
    </r>
    <r>
      <rPr>
        <b val="true"/>
        <sz val="10"/>
        <color rgb="FF000000"/>
        <rFont val="WenQuanYi Zen Hei"/>
        <family val="2"/>
      </rPr>
      <t xml:space="preserve">人選、登壇者状況、期限設定</t>
    </r>
  </si>
  <si>
    <t xml:space="preserve">12</t>
  </si>
  <si>
    <r>
      <rPr>
        <b val="true"/>
        <sz val="10"/>
        <color rgb="FF000000"/>
        <rFont val="Arial"/>
        <family val="2"/>
        <charset val="1"/>
      </rPr>
      <t xml:space="preserve">Google</t>
    </r>
    <r>
      <rPr>
        <b val="true"/>
        <sz val="10"/>
        <color rgb="FF000000"/>
        <rFont val="WenQuanYi Zen Hei"/>
        <family val="2"/>
      </rPr>
      <t xml:space="preserve">ドライブ</t>
    </r>
    <r>
      <rPr>
        <b val="true"/>
        <sz val="10"/>
        <color rgb="FF000000"/>
        <rFont val="Arial"/>
        <family val="2"/>
        <charset val="1"/>
      </rPr>
      <t xml:space="preserve">: ACDR2026</t>
    </r>
    <r>
      <rPr>
        <b val="true"/>
        <sz val="10"/>
        <color rgb="FF000000"/>
        <rFont val="WenQuanYi Zen Hei"/>
        <family val="2"/>
      </rPr>
      <t xml:space="preserve">シンガポール事前協議チェックリスト回答状況（</t>
    </r>
    <r>
      <rPr>
        <b val="true"/>
        <sz val="10"/>
        <color rgb="FF000000"/>
        <rFont val="Arial"/>
        <family val="2"/>
        <charset val="1"/>
      </rPr>
      <t xml:space="preserve">5/18</t>
    </r>
    <r>
      <rPr>
        <b val="true"/>
        <sz val="10"/>
        <color rgb="FF000000"/>
        <rFont val="WenQuanYi Zen Hei"/>
        <family val="2"/>
      </rPr>
      <t xml:space="preserve">）／</t>
    </r>
    <r>
      <rPr>
        <b val="true"/>
        <sz val="10"/>
        <color rgb="FF000000"/>
        <rFont val="Arial"/>
        <family val="2"/>
        <charset val="1"/>
      </rPr>
      <t xml:space="preserve">SIDEX-ACDR 2026 </t>
    </r>
    <r>
      <rPr>
        <b val="true"/>
        <sz val="10"/>
        <color rgb="FF000000"/>
        <rFont val="WenQuanYi Zen Hei"/>
        <family val="2"/>
      </rPr>
      <t xml:space="preserve">開催準備月次</t>
    </r>
    <r>
      <rPr>
        <b val="true"/>
        <sz val="10"/>
        <color rgb="FF000000"/>
        <rFont val="Arial"/>
        <family val="2"/>
        <charset val="1"/>
      </rPr>
      <t xml:space="preserve">ToDo</t>
    </r>
    <r>
      <rPr>
        <b val="true"/>
        <sz val="10"/>
        <color rgb="FF000000"/>
        <rFont val="WenQuanYi Zen Hei"/>
        <family val="2"/>
      </rPr>
      <t xml:space="preserve">リスト</t>
    </r>
    <r>
      <rPr>
        <b val="true"/>
        <sz val="10"/>
        <color rgb="FF000000"/>
        <rFont val="Arial"/>
        <family val="2"/>
        <charset val="1"/>
      </rPr>
      <t xml:space="preserve">_V1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2"/>
        <charset val="1"/>
      </rPr>
      <t xml:space="preserve">5/19</t>
    </r>
    <r>
      <rPr>
        <b val="true"/>
        <sz val="10"/>
        <color rgb="FF000000"/>
        <rFont val="WenQuanYi Zen Hei"/>
        <family val="2"/>
      </rPr>
      <t xml:space="preserve">）／</t>
    </r>
    <r>
      <rPr>
        <b val="true"/>
        <sz val="10"/>
        <color rgb="FF000000"/>
        <rFont val="Arial"/>
        <family val="2"/>
        <charset val="1"/>
      </rPr>
      <t xml:space="preserve">ACDR 2026 Mission to Singapore Checklist</t>
    </r>
  </si>
  <si>
    <t xml:space="preserve">レセプション運営（16:00設営・18:30開始・受付ADRC）、未対応事項</t>
  </si>
  <si>
    <t xml:space="preserve">13</t>
  </si>
  <si>
    <r>
      <rPr>
        <b val="true"/>
        <sz val="10"/>
        <color rgb="FF000000"/>
        <rFont val="Arial"/>
        <family val="2"/>
        <charset val="1"/>
      </rPr>
      <t xml:space="preserve">Google</t>
    </r>
    <r>
      <rPr>
        <b val="true"/>
        <sz val="10"/>
        <color rgb="FF000000"/>
        <rFont val="WenQuanYi Zen Hei"/>
        <family val="2"/>
      </rPr>
      <t xml:space="preserve">ドライブ</t>
    </r>
    <r>
      <rPr>
        <b val="true"/>
        <sz val="10"/>
        <color rgb="FF000000"/>
        <rFont val="Arial"/>
        <family val="2"/>
        <charset val="1"/>
      </rPr>
      <t xml:space="preserve">: </t>
    </r>
    <r>
      <rPr>
        <b val="true"/>
        <sz val="10"/>
        <color rgb="FF000000"/>
        <rFont val="WenQuanYi Zen Hei"/>
        <family val="2"/>
      </rPr>
      <t xml:space="preserve">動態表 </t>
    </r>
    <r>
      <rPr>
        <b val="true"/>
        <sz val="10"/>
        <color rgb="FF000000"/>
        <rFont val="Arial"/>
        <family val="2"/>
        <charset val="1"/>
      </rPr>
      <t xml:space="preserve">ACDR2023 as of 17 Oct.xlsx</t>
    </r>
  </si>
  <si>
    <t xml:space="preserve">書式（日別AM/PM＋時間帯別）と2023年の人員配置の比較基準</t>
  </si>
  <si>
    <t xml:space="preserve">14</t>
  </si>
  <si>
    <r>
      <rPr>
        <b val="true"/>
        <sz val="10"/>
        <color rgb="FF000000"/>
        <rFont val="Arial"/>
        <family val="2"/>
        <charset val="1"/>
      </rPr>
      <t xml:space="preserve">Google</t>
    </r>
    <r>
      <rPr>
        <b val="true"/>
        <sz val="10"/>
        <color rgb="FF000000"/>
        <rFont val="WenQuanYi Zen Hei"/>
        <family val="2"/>
      </rPr>
      <t xml:space="preserve">ドライブ</t>
    </r>
    <r>
      <rPr>
        <b val="true"/>
        <sz val="10"/>
        <color rgb="FF000000"/>
        <rFont val="Arial"/>
        <family val="2"/>
        <charset val="1"/>
      </rPr>
      <t xml:space="preserve">: ACDR2026_General Information (UNDRR).pdf</t>
    </r>
  </si>
  <si>
    <t xml:space="preserve">日程・会場・AI翻訳ツール試行・登録期限9/20</t>
  </si>
  <si>
    <t xml:space="preserve">15</t>
  </si>
  <si>
    <t xml:space="preserve">アップロード: ACDR2025動態表 as of 11/26（16-19 DEC 2025, 三田）</t>
  </si>
  <si>
    <t xml:space="preserve">日本側サポート体制の前例（中村: Webinar/Zoom設定・Q&amp;A確認、寺坂: 録画日英、伊達: Webinarホスト確認、山口: 現地Photo/CAM）</t>
  </si>
  <si>
    <t xml:space="preserve">16</t>
  </si>
  <si>
    <t xml:space="preserve">荒木田 2026/9/4 指示（本セッション）</t>
  </si>
  <si>
    <t xml:space="preserve">中村＝日本でAI通訳設定等を担当、山口＝日本側サポート（録画・オンライン質疑）</t>
  </si>
  <si>
    <t xml:space="preserve">17</t>
  </si>
  <si>
    <t xml:space="preserve">児玉 2026/9/4 修正版（動態表 v1_2）</t>
  </si>
  <si>
    <t xml:space="preserve">宮木・児玉のフライト（10/25 NH2178/NH803、10/31 NH802）、池田・Gerryの便名（SQ619/SQ622）、Gerry＝研究部次長</t>
  </si>
  <si>
    <t xml:space="preserve">18</t>
  </si>
  <si>
    <t xml:space="preserve">Plaud 文字起こし・要約: 「09-04 ACDR開催に向けた準備状況とタスク確認会議」（2026/9/4 15:00-16:00 JST、59分）</t>
  </si>
  <si>
    <t xml:space="preserve">森口=SC担当で現地、藤本=撮影、宮木・児玉の位置づけ、27日午前の会場下見、29-30日の誘導、エリック長官夕食会、登録状況、今後のスケジュール</t>
  </si>
  <si>
    <t xml:space="preserve">19</t>
  </si>
  <si>
    <t xml:space="preserve">荒木田 2026/9/4 指示（本セッション）＋Googleドライブ「ACDR2026シンガポール事前協議チェックリスト回答状況」（5/18）</t>
  </si>
  <si>
    <t xml:space="preserve">藤本・塩見の本人承諾。ドレスコードと役割分担をCOSEM協議事項として整理（5月チェックリストの未対応項目を再掲）</t>
  </si>
  <si>
    <t xml:space="preserve">前提・限界</t>
  </si>
  <si>
    <t xml:space="preserve">・指定されたDropboxフォルダ（C:\Users\arakida\Dropbox\araarashare\JOB\ADRC\ACDR\）およびダウンロードフォルダは、この作業環境（クラウド上のLinuxコンテナ）から参照できないため未使用。同フォルダにある最新のデマケ・動態表があれば本表と突合が必要。</t>
  </si>
  <si>
    <t xml:space="preserve">・宮木・児玉の航空券は個人メールに記録がなく（管理部手配の可能性）、到着日は8/28リストの記載（10/27）をそのまま載せた。</t>
  </si>
  <si>
    <t xml:space="preserve">・時間帯別シートの担当割当は、8/6デマケと2023年の動態表を基にした『第1案』であり、所内打合せで調整する前提。</t>
  </si>
  <si>
    <t xml:space="preserve">・藤本・塩見の行は追加推奨の仮置きで、本人の承諾・手配は未了。</t>
  </si>
  <si>
    <t xml:space="preserve">・稼働人数の自動計算は、結合セルの先頭列のみを数える簡易指標。</t>
  </si>
  <si>
    <t xml:space="preserve">・日本側サポートの担当時間はJST勤務時間内を想定し、シンガポール時間の列に置いた（JST = SGT + 1時間）。寺坂・伊達は本人未確認の仮置き。 接続テストは①10/26午後(JST15-17, 荒木田・中村・山口、池田は到着後合流)、②10/27午後(JST14-17, 荒木田・池田・中村・山口＋仮置きの寺坂・伊達)の2回を想定。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</si>
</sst>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2"/>
      <charset val="1"/>
    </font>
    <font>
      <b val="true"/>
      <sz val="14"/>
      <color rgb="FF1F4E78"/>
      <name val="WenQuanYi Zen Hei"/>
      <family val="2"/>
    </font>
    <font>
      <i val="true"/>
      <sz val="9"/>
      <color rgb="FF555555"/>
      <name val="WenQuanYi Zen Hei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FFFFF"/>
      <name val="WenQuanYi Zen He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WenQuanYi Zen Hei"/>
      <family val="2"/>
      <charset val="1"/>
    </font>
    <font>
      <sz val="10"/>
      <color rgb="FF000000"/>
      <name val="WenQuanYi Zen Hei"/>
      <family val="2"/>
    </font>
    <font>
      <sz val="10"/>
      <color rgb="FF000000"/>
      <name val="WenQuanYi Zen Hei"/>
      <family val="3"/>
      <charset val="128"/>
    </font>
    <font>
      <b val="true"/>
      <sz val="10"/>
      <color rgb="FF000000"/>
      <name val="WenQuanYi Zen Hei"/>
      <family val="2"/>
      <charset val="1"/>
    </font>
    <font>
      <sz val="11"/>
      <color theme="1"/>
      <name val="WenQuanYi Zen Hei"/>
      <family val="2"/>
      <charset val="1"/>
    </font>
    <font>
      <b val="true"/>
      <sz val="10"/>
      <color rgb="FF0000FF"/>
      <name val="Arial"/>
      <family val="2"/>
      <charset val="1"/>
    </font>
    <font>
      <i val="true"/>
      <sz val="9"/>
      <color rgb="FF555555"/>
      <name val="Arial"/>
      <family val="2"/>
      <charset val="1"/>
    </font>
    <font>
      <i val="true"/>
      <sz val="9"/>
      <color rgb="FF555555"/>
      <name val="WenQuanYi Zen Hei"/>
      <family val="2"/>
    </font>
    <font>
      <sz val="9"/>
      <color rgb="FF000000"/>
      <name val="WenQuanYi Zen Hei"/>
      <family val="2"/>
      <charset val="1"/>
    </font>
    <font>
      <b val="true"/>
      <sz val="12"/>
      <color rgb="FF1F4E78"/>
      <name val="Arial"/>
      <family val="2"/>
      <charset val="1"/>
    </font>
    <font>
      <b val="true"/>
      <sz val="12"/>
      <color rgb="FF1F4E78"/>
      <name val="WenQuanYi Zen Hei"/>
      <family val="2"/>
    </font>
    <font>
      <sz val="11"/>
      <color theme="1"/>
      <name val="ＭＳ Ｐゴシック"/>
      <family val="2"/>
      <charset val="128"/>
    </font>
    <font>
      <sz val="11"/>
      <color theme="1"/>
      <name val="WenQuanYi Zen Hei"/>
      <family val="2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WenQuanYi Zen Hei"/>
      <family val="2"/>
    </font>
    <font>
      <sz val="8"/>
      <color rgb="FF000000"/>
      <name val="Arial"/>
      <family val="2"/>
      <charset val="1"/>
    </font>
    <font>
      <sz val="8"/>
      <color rgb="FF000000"/>
      <name val="WenQuanYi Zen Hei"/>
      <family val="2"/>
      <charset val="1"/>
    </font>
    <font>
      <sz val="8"/>
      <color rgb="FF000000"/>
      <name val="WenQuanYi Zen Hei"/>
      <family val="2"/>
    </font>
    <font>
      <b val="true"/>
      <sz val="10"/>
      <color rgb="FFC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9"/>
      <color rgb="FF000000"/>
      <name val="WenQuanYi Zen Hei"/>
      <family val="2"/>
      <charset val="1"/>
    </font>
    <font>
      <sz val="8"/>
      <name val="WenQuanYi Zen Hei"/>
      <family val="2"/>
      <charset val="1"/>
    </font>
    <font>
      <sz val="8"/>
      <name val="Arial"/>
      <family val="0"/>
      <charset val="1"/>
    </font>
    <font>
      <sz val="8"/>
      <name val="WenQuanYi Zen Hei"/>
      <family val="2"/>
    </font>
    <font>
      <i val="true"/>
      <sz val="8"/>
      <color rgb="FF555555"/>
      <name val="WenQuanYi Zen Hei"/>
      <family val="2"/>
      <charset val="1"/>
    </font>
    <font>
      <sz val="9"/>
      <color rgb="FFC00000"/>
      <name val="WenQuanYi Zen Hei"/>
      <family val="2"/>
      <charset val="1"/>
    </font>
    <font>
      <b val="true"/>
      <sz val="9"/>
      <color rgb="FFFFFFFF"/>
      <name val="WenQuanYi Zen Hei"/>
      <family val="2"/>
      <charset val="1"/>
    </font>
    <font>
      <sz val="8"/>
      <name val="Arial"/>
      <family val="2"/>
      <charset val="1"/>
    </font>
    <font>
      <sz val="8"/>
      <color rgb="FF000000"/>
      <name val="WenQuanYi Zen Hei"/>
      <family val="3"/>
      <charset val="128"/>
    </font>
    <font>
      <b val="true"/>
      <sz val="12"/>
      <color rgb="FF1F4E78"/>
      <name val="WenQuanYi Zen Hei"/>
      <family val="2"/>
      <charset val="1"/>
    </font>
    <font>
      <b val="true"/>
      <sz val="11"/>
      <color rgb="FF1F4E78"/>
      <name val="WenQuanYi Zen Hei"/>
      <family val="2"/>
      <charset val="1"/>
    </font>
    <font>
      <sz val="10"/>
      <name val="WenQuanYi Zen Hei"/>
      <family val="2"/>
      <charset val="1"/>
    </font>
    <font>
      <b val="true"/>
      <sz val="13"/>
      <color rgb="FF1F4E78"/>
      <name val="Arial"/>
      <family val="0"/>
      <charset val="1"/>
    </font>
    <font>
      <b val="true"/>
      <sz val="13"/>
      <color rgb="FF1F4E78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9"/>
      <name val="Arial"/>
      <family val="0"/>
      <charset val="1"/>
    </font>
    <font>
      <sz val="9"/>
      <name val="WenQuanYi Zen Hei"/>
      <family val="2"/>
      <charset val="1"/>
    </font>
    <font>
      <sz val="9"/>
      <name val="WenQuanYi Zen Hei"/>
      <family val="2"/>
    </font>
    <font>
      <b val="true"/>
      <sz val="10"/>
      <name val="WenQuanYi Zen Hei"/>
      <family val="2"/>
      <charset val="1"/>
    </font>
    <font>
      <b val="true"/>
      <sz val="9"/>
      <name val="Arial"/>
      <family val="0"/>
      <charset val="1"/>
    </font>
    <font>
      <sz val="9"/>
      <color rgb="FFC00000"/>
      <name val="Arial"/>
      <family val="2"/>
      <charset val="1"/>
    </font>
    <font>
      <sz val="9"/>
      <color rgb="FFC00000"/>
      <name val="WenQuanYi Zen Hei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EB9C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C7CE"/>
      </patternFill>
    </fill>
    <fill>
      <patternFill patternType="solid">
        <fgColor rgb="FFB4C6E7"/>
        <bgColor rgb="FFBDD7EE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E16" activeCellId="0" sqref="E16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5.56"/>
    <col collapsed="false" customWidth="true" hidden="false" outlineLevel="0" max="5" min="5" style="1" width="13.11"/>
    <col collapsed="false" customWidth="true" hidden="false" outlineLevel="0" max="7" min="6" style="1" width="24.67"/>
    <col collapsed="false" customWidth="true" hidden="false" outlineLevel="0" max="8" min="8" style="1" width="19"/>
    <col collapsed="false" customWidth="true" hidden="false" outlineLevel="0" max="9" min="9" style="1" width="36"/>
    <col collapsed="false" customWidth="true" hidden="false" outlineLevel="0" max="10" min="10" style="1" width="44"/>
    <col collapsed="false" customWidth="true" hidden="false" outlineLevel="0" max="11" min="11" style="1" width="32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6.25" hidden="false" customHeight="true" outlineLevel="0" collapsed="false">
      <c r="A4" s="4" t="s">
        <v>2</v>
      </c>
      <c r="B4" s="5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customFormat="false" ht="39" hidden="false" customHeight="true" outlineLevel="0" collapsed="false">
      <c r="A5" s="6" t="n">
        <v>1</v>
      </c>
      <c r="B5" s="7" t="s">
        <v>13</v>
      </c>
      <c r="C5" s="6" t="s">
        <v>14</v>
      </c>
      <c r="D5" s="7" t="s">
        <v>15</v>
      </c>
      <c r="E5" s="8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7" t="s">
        <v>22</v>
      </c>
    </row>
    <row r="6" customFormat="false" ht="26.25" hidden="false" customHeight="true" outlineLevel="0" collapsed="false">
      <c r="A6" s="6" t="n">
        <v>2</v>
      </c>
      <c r="B6" s="7" t="s">
        <v>23</v>
      </c>
      <c r="C6" s="6" t="s">
        <v>24</v>
      </c>
      <c r="D6" s="7" t="s">
        <v>25</v>
      </c>
      <c r="E6" s="8" t="s">
        <v>16</v>
      </c>
      <c r="F6" s="6" t="s">
        <v>26</v>
      </c>
      <c r="G6" s="6" t="s">
        <v>27</v>
      </c>
      <c r="H6" s="6" t="s">
        <v>19</v>
      </c>
      <c r="I6" s="7" t="s">
        <v>28</v>
      </c>
      <c r="J6" s="6" t="s">
        <v>29</v>
      </c>
      <c r="K6" s="7" t="s">
        <v>30</v>
      </c>
    </row>
    <row r="7" customFormat="false" ht="52.5" hidden="false" customHeight="true" outlineLevel="0" collapsed="false">
      <c r="A7" s="6" t="n">
        <v>3</v>
      </c>
      <c r="B7" s="7" t="s">
        <v>31</v>
      </c>
      <c r="C7" s="6" t="s">
        <v>32</v>
      </c>
      <c r="D7" s="7" t="s">
        <v>33</v>
      </c>
      <c r="E7" s="8" t="s">
        <v>34</v>
      </c>
      <c r="F7" s="6" t="s">
        <v>35</v>
      </c>
      <c r="G7" s="6" t="s">
        <v>36</v>
      </c>
      <c r="H7" s="7" t="s">
        <v>37</v>
      </c>
      <c r="I7" s="7" t="s">
        <v>38</v>
      </c>
      <c r="J7" s="7" t="s">
        <v>39</v>
      </c>
      <c r="K7" s="9" t="s">
        <v>40</v>
      </c>
    </row>
    <row r="8" customFormat="false" ht="39" hidden="false" customHeight="true" outlineLevel="0" collapsed="false">
      <c r="A8" s="6" t="n">
        <v>4</v>
      </c>
      <c r="B8" s="7" t="s">
        <v>41</v>
      </c>
      <c r="C8" s="6" t="s">
        <v>42</v>
      </c>
      <c r="D8" s="7" t="s">
        <v>43</v>
      </c>
      <c r="E8" s="8" t="s">
        <v>34</v>
      </c>
      <c r="F8" s="6" t="s">
        <v>35</v>
      </c>
      <c r="G8" s="6" t="s">
        <v>44</v>
      </c>
      <c r="H8" s="6" t="s">
        <v>45</v>
      </c>
      <c r="I8" s="6" t="s">
        <v>46</v>
      </c>
      <c r="J8" s="7" t="s">
        <v>47</v>
      </c>
      <c r="K8" s="7" t="s">
        <v>48</v>
      </c>
    </row>
    <row r="9" customFormat="false" ht="39" hidden="false" customHeight="true" outlineLevel="0" collapsed="false">
      <c r="A9" s="6" t="n">
        <v>5</v>
      </c>
      <c r="B9" s="7" t="s">
        <v>49</v>
      </c>
      <c r="C9" s="6" t="s">
        <v>50</v>
      </c>
      <c r="D9" s="7" t="s">
        <v>51</v>
      </c>
      <c r="E9" s="8" t="s">
        <v>16</v>
      </c>
      <c r="F9" s="6" t="s">
        <v>52</v>
      </c>
      <c r="G9" s="6" t="s">
        <v>53</v>
      </c>
      <c r="H9" s="6" t="s">
        <v>54</v>
      </c>
      <c r="I9" s="7" t="s">
        <v>55</v>
      </c>
      <c r="J9" s="7" t="s">
        <v>56</v>
      </c>
      <c r="K9" s="6" t="s">
        <v>57</v>
      </c>
    </row>
    <row r="10" customFormat="false" ht="39" hidden="false" customHeight="true" outlineLevel="0" collapsed="false">
      <c r="A10" s="6" t="n">
        <v>6</v>
      </c>
      <c r="B10" s="9" t="s">
        <v>58</v>
      </c>
      <c r="C10" s="6" t="s">
        <v>59</v>
      </c>
      <c r="D10" s="7" t="s">
        <v>60</v>
      </c>
      <c r="E10" s="8" t="s">
        <v>16</v>
      </c>
      <c r="F10" s="6" t="s">
        <v>61</v>
      </c>
      <c r="G10" s="6" t="s">
        <v>62</v>
      </c>
      <c r="H10" s="6" t="s">
        <v>54</v>
      </c>
      <c r="I10" s="6" t="s">
        <v>63</v>
      </c>
      <c r="J10" s="6" t="s">
        <v>64</v>
      </c>
      <c r="K10" s="7" t="s">
        <v>65</v>
      </c>
    </row>
    <row r="11" customFormat="false" ht="39" hidden="false" customHeight="true" outlineLevel="0" collapsed="false">
      <c r="A11" s="6" t="n">
        <v>7</v>
      </c>
      <c r="B11" s="7" t="s">
        <v>66</v>
      </c>
      <c r="C11" s="6" t="s">
        <v>67</v>
      </c>
      <c r="D11" s="7" t="s">
        <v>68</v>
      </c>
      <c r="E11" s="8" t="s">
        <v>16</v>
      </c>
      <c r="F11" s="6" t="s">
        <v>69</v>
      </c>
      <c r="G11" s="6" t="s">
        <v>70</v>
      </c>
      <c r="H11" s="6" t="s">
        <v>71</v>
      </c>
      <c r="I11" s="7" t="s">
        <v>72</v>
      </c>
      <c r="J11" s="7" t="s">
        <v>73</v>
      </c>
      <c r="K11" s="7" t="s">
        <v>74</v>
      </c>
    </row>
    <row r="12" customFormat="false" ht="39" hidden="false" customHeight="true" outlineLevel="0" collapsed="false">
      <c r="A12" s="6" t="n">
        <v>8</v>
      </c>
      <c r="B12" s="7" t="s">
        <v>75</v>
      </c>
      <c r="C12" s="6" t="s">
        <v>76</v>
      </c>
      <c r="D12" s="7" t="s">
        <v>77</v>
      </c>
      <c r="E12" s="8" t="s">
        <v>16</v>
      </c>
      <c r="F12" s="6" t="s">
        <v>69</v>
      </c>
      <c r="G12" s="6" t="s">
        <v>70</v>
      </c>
      <c r="H12" s="6" t="s">
        <v>71</v>
      </c>
      <c r="I12" s="6" t="s">
        <v>78</v>
      </c>
      <c r="J12" s="7" t="s">
        <v>79</v>
      </c>
      <c r="K12" s="7" t="s">
        <v>80</v>
      </c>
    </row>
    <row r="13" customFormat="false" ht="52.5" hidden="false" customHeight="true" outlineLevel="0" collapsed="false">
      <c r="A13" s="6" t="n">
        <v>9</v>
      </c>
      <c r="B13" s="7" t="s">
        <v>81</v>
      </c>
      <c r="C13" s="6" t="s">
        <v>82</v>
      </c>
      <c r="D13" s="7" t="s">
        <v>83</v>
      </c>
      <c r="E13" s="8" t="s">
        <v>84</v>
      </c>
      <c r="F13" s="6" t="s">
        <v>85</v>
      </c>
      <c r="G13" s="6" t="s">
        <v>86</v>
      </c>
      <c r="H13" s="6" t="s">
        <v>87</v>
      </c>
      <c r="I13" s="6" t="s">
        <v>88</v>
      </c>
      <c r="J13" s="6" t="s">
        <v>89</v>
      </c>
      <c r="K13" s="7" t="s">
        <v>90</v>
      </c>
    </row>
    <row r="14" customFormat="false" ht="64.5" hidden="false" customHeight="true" outlineLevel="0" collapsed="false">
      <c r="A14" s="6" t="n">
        <v>10</v>
      </c>
      <c r="B14" s="7" t="s">
        <v>91</v>
      </c>
      <c r="C14" s="6" t="s">
        <v>92</v>
      </c>
      <c r="D14" s="7" t="s">
        <v>93</v>
      </c>
      <c r="E14" s="8" t="s">
        <v>84</v>
      </c>
      <c r="F14" s="6" t="s">
        <v>85</v>
      </c>
      <c r="G14" s="6" t="s">
        <v>86</v>
      </c>
      <c r="H14" s="6" t="s">
        <v>87</v>
      </c>
      <c r="I14" s="7" t="s">
        <v>94</v>
      </c>
      <c r="J14" s="6" t="s">
        <v>95</v>
      </c>
      <c r="K14" s="7" t="s">
        <v>96</v>
      </c>
    </row>
    <row r="15" customFormat="false" ht="39" hidden="false" customHeight="true" outlineLevel="0" collapsed="false">
      <c r="A15" s="6" t="n">
        <v>11</v>
      </c>
      <c r="B15" s="7" t="s">
        <v>97</v>
      </c>
      <c r="C15" s="6" t="s">
        <v>98</v>
      </c>
      <c r="D15" s="7" t="s">
        <v>99</v>
      </c>
      <c r="E15" s="10" t="s">
        <v>100</v>
      </c>
      <c r="F15" s="7" t="s">
        <v>101</v>
      </c>
      <c r="G15" s="7" t="s">
        <v>101</v>
      </c>
      <c r="H15" s="6" t="s">
        <v>87</v>
      </c>
      <c r="I15" s="6" t="s">
        <v>102</v>
      </c>
      <c r="J15" s="6" t="s">
        <v>103</v>
      </c>
      <c r="K15" s="9" t="s">
        <v>104</v>
      </c>
    </row>
    <row r="16" customFormat="false" ht="52.5" hidden="false" customHeight="true" outlineLevel="0" collapsed="false">
      <c r="A16" s="6" t="n">
        <v>12</v>
      </c>
      <c r="B16" s="7" t="s">
        <v>105</v>
      </c>
      <c r="C16" s="6" t="s">
        <v>106</v>
      </c>
      <c r="D16" s="7" t="s">
        <v>107</v>
      </c>
      <c r="E16" s="8" t="s">
        <v>108</v>
      </c>
      <c r="F16" s="7" t="s">
        <v>109</v>
      </c>
      <c r="G16" s="7" t="s">
        <v>109</v>
      </c>
      <c r="H16" s="6" t="s">
        <v>110</v>
      </c>
      <c r="I16" s="7" t="s">
        <v>111</v>
      </c>
      <c r="J16" s="7" t="s">
        <v>112</v>
      </c>
      <c r="K16" s="7" t="s">
        <v>113</v>
      </c>
    </row>
    <row r="17" customFormat="false" ht="39" hidden="false" customHeight="true" outlineLevel="0" collapsed="false">
      <c r="A17" s="6" t="n">
        <v>13</v>
      </c>
      <c r="B17" s="7" t="s">
        <v>114</v>
      </c>
      <c r="C17" s="6" t="s">
        <v>115</v>
      </c>
      <c r="D17" s="7" t="s">
        <v>83</v>
      </c>
      <c r="E17" s="8" t="s">
        <v>108</v>
      </c>
      <c r="F17" s="7" t="s">
        <v>109</v>
      </c>
      <c r="G17" s="7" t="s">
        <v>109</v>
      </c>
      <c r="H17" s="6" t="s">
        <v>110</v>
      </c>
      <c r="I17" s="7" t="s">
        <v>116</v>
      </c>
      <c r="J17" s="7" t="s">
        <v>117</v>
      </c>
      <c r="K17" s="7" t="s">
        <v>118</v>
      </c>
    </row>
    <row r="18" customFormat="false" ht="39" hidden="false" customHeight="true" outlineLevel="0" collapsed="false">
      <c r="A18" s="6" t="n">
        <v>14</v>
      </c>
      <c r="B18" s="7" t="s">
        <v>119</v>
      </c>
      <c r="C18" s="6" t="s">
        <v>120</v>
      </c>
      <c r="D18" s="7" t="s">
        <v>121</v>
      </c>
      <c r="E18" s="10" t="s">
        <v>122</v>
      </c>
      <c r="F18" s="7" t="s">
        <v>109</v>
      </c>
      <c r="G18" s="7" t="s">
        <v>109</v>
      </c>
      <c r="H18" s="7" t="s">
        <v>123</v>
      </c>
      <c r="I18" s="7" t="s">
        <v>124</v>
      </c>
      <c r="J18" s="7" t="s">
        <v>125</v>
      </c>
      <c r="K18" s="7" t="s">
        <v>126</v>
      </c>
    </row>
    <row r="19" customFormat="false" ht="51.75" hidden="false" customHeight="true" outlineLevel="0" collapsed="false">
      <c r="A19" s="6" t="n">
        <v>15</v>
      </c>
      <c r="B19" s="7" t="s">
        <v>127</v>
      </c>
      <c r="C19" s="6" t="s">
        <v>128</v>
      </c>
      <c r="D19" s="7" t="s">
        <v>129</v>
      </c>
      <c r="E19" s="11" t="s">
        <v>130</v>
      </c>
      <c r="F19" s="6" t="s">
        <v>131</v>
      </c>
      <c r="G19" s="6" t="s">
        <v>131</v>
      </c>
      <c r="H19" s="7" t="s">
        <v>132</v>
      </c>
      <c r="I19" s="7" t="s">
        <v>133</v>
      </c>
      <c r="J19" s="7" t="s">
        <v>134</v>
      </c>
      <c r="K19" s="7" t="s">
        <v>135</v>
      </c>
    </row>
    <row r="20" customFormat="false" ht="51.75" hidden="false" customHeight="true" outlineLevel="0" collapsed="false">
      <c r="A20" s="6" t="n">
        <v>16</v>
      </c>
      <c r="B20" s="7" t="s">
        <v>136</v>
      </c>
      <c r="C20" s="6" t="s">
        <v>137</v>
      </c>
      <c r="D20" s="7" t="s">
        <v>129</v>
      </c>
      <c r="E20" s="11" t="s">
        <v>130</v>
      </c>
      <c r="F20" s="6" t="s">
        <v>131</v>
      </c>
      <c r="G20" s="6" t="s">
        <v>131</v>
      </c>
      <c r="H20" s="7" t="s">
        <v>132</v>
      </c>
      <c r="I20" s="7" t="s">
        <v>133</v>
      </c>
      <c r="J20" s="7" t="s">
        <v>138</v>
      </c>
      <c r="K20" s="7" t="s">
        <v>139</v>
      </c>
    </row>
    <row r="21" customFormat="false" ht="26.25" hidden="false" customHeight="true" outlineLevel="0" collapsed="false">
      <c r="A21" s="6" t="n">
        <v>17</v>
      </c>
      <c r="B21" s="7" t="s">
        <v>140</v>
      </c>
      <c r="C21" s="6" t="s">
        <v>141</v>
      </c>
      <c r="D21" s="6" t="s">
        <v>131</v>
      </c>
      <c r="E21" s="11" t="s">
        <v>142</v>
      </c>
      <c r="F21" s="6" t="s">
        <v>131</v>
      </c>
      <c r="G21" s="6" t="s">
        <v>131</v>
      </c>
      <c r="H21" s="6" t="s">
        <v>131</v>
      </c>
      <c r="I21" s="6" t="s">
        <v>143</v>
      </c>
      <c r="J21" s="7" t="s">
        <v>144</v>
      </c>
      <c r="K21" s="6" t="s">
        <v>145</v>
      </c>
    </row>
    <row r="22" customFormat="false" ht="39" hidden="false" customHeight="true" outlineLevel="0" collapsed="false">
      <c r="A22" s="6" t="n">
        <v>18</v>
      </c>
      <c r="B22" s="7" t="s">
        <v>146</v>
      </c>
      <c r="C22" s="6" t="s">
        <v>147</v>
      </c>
      <c r="D22" s="7" t="s">
        <v>148</v>
      </c>
      <c r="E22" s="11" t="s">
        <v>149</v>
      </c>
      <c r="F22" s="6" t="s">
        <v>131</v>
      </c>
      <c r="G22" s="6" t="s">
        <v>131</v>
      </c>
      <c r="H22" s="6" t="s">
        <v>131</v>
      </c>
      <c r="I22" s="7" t="s">
        <v>150</v>
      </c>
      <c r="J22" s="7" t="s">
        <v>151</v>
      </c>
      <c r="K22" s="7" t="s">
        <v>152</v>
      </c>
    </row>
    <row r="23" customFormat="false" ht="26.25" hidden="false" customHeight="true" outlineLevel="0" collapsed="false">
      <c r="A23" s="6" t="n">
        <v>19</v>
      </c>
      <c r="B23" s="7" t="s">
        <v>153</v>
      </c>
      <c r="C23" s="6" t="s">
        <v>154</v>
      </c>
      <c r="D23" s="7" t="s">
        <v>68</v>
      </c>
      <c r="E23" s="11" t="s">
        <v>149</v>
      </c>
      <c r="F23" s="6" t="s">
        <v>131</v>
      </c>
      <c r="G23" s="6" t="s">
        <v>131</v>
      </c>
      <c r="H23" s="6" t="s">
        <v>131</v>
      </c>
      <c r="I23" s="7" t="s">
        <v>155</v>
      </c>
      <c r="J23" s="7" t="s">
        <v>156</v>
      </c>
      <c r="K23" s="6" t="s">
        <v>131</v>
      </c>
    </row>
    <row r="24" customFormat="false" ht="39" hidden="false" customHeight="true" outlineLevel="0" collapsed="false">
      <c r="A24" s="6" t="n">
        <v>20</v>
      </c>
      <c r="B24" s="7" t="s">
        <v>157</v>
      </c>
      <c r="C24" s="6" t="s">
        <v>158</v>
      </c>
      <c r="D24" s="7" t="s">
        <v>99</v>
      </c>
      <c r="E24" s="11" t="s">
        <v>149</v>
      </c>
      <c r="F24" s="6" t="s">
        <v>131</v>
      </c>
      <c r="G24" s="6" t="s">
        <v>131</v>
      </c>
      <c r="H24" s="6" t="s">
        <v>131</v>
      </c>
      <c r="I24" s="7"/>
      <c r="J24" s="7" t="s">
        <v>159</v>
      </c>
      <c r="K24" s="7" t="s">
        <v>160</v>
      </c>
    </row>
    <row r="26" customFormat="false" ht="14.25" hidden="false" customHeight="true" outlineLevel="0" collapsed="false">
      <c r="B26" s="12" t="s">
        <v>161</v>
      </c>
    </row>
    <row r="27" customFormat="false" ht="14.25" hidden="false" customHeight="true" outlineLevel="0" collapsed="false">
      <c r="B27" s="13" t="s">
        <v>162</v>
      </c>
      <c r="E27" s="12" t="n">
        <f aca="false">COUNTIF(E5:E24,"確定*")</f>
        <v>12</v>
      </c>
    </row>
    <row r="28" customFormat="false" ht="14.25" hidden="false" customHeight="true" outlineLevel="0" collapsed="false">
      <c r="B28" s="13" t="s">
        <v>163</v>
      </c>
      <c r="E28" s="12" t="n">
        <f aca="false">COUNTIF(E5:E24,"見込*")+COUNTIF(E5:E24,"候補*")</f>
        <v>2</v>
      </c>
    </row>
    <row r="29" customFormat="false" ht="14.25" hidden="false" customHeight="true" outlineLevel="0" collapsed="false">
      <c r="B29" s="13" t="s">
        <v>164</v>
      </c>
      <c r="E29" s="12" t="n">
        <f aca="false">COUNTIF(E5:E24,"未定*")</f>
        <v>0</v>
      </c>
    </row>
    <row r="30" customFormat="false" ht="14.25" hidden="false" customHeight="true" outlineLevel="0" collapsed="false">
      <c r="B30" s="13" t="s">
        <v>165</v>
      </c>
      <c r="E30" s="14" t="n">
        <v>3</v>
      </c>
    </row>
    <row r="31" customFormat="false" ht="14.25" hidden="false" customHeight="true" outlineLevel="0" collapsed="false">
      <c r="B31" s="13" t="s">
        <v>166</v>
      </c>
      <c r="E31" s="12" t="n">
        <f aca="false">E27+COUNTIF(E5:E24,"見込*")-E30</f>
        <v>11</v>
      </c>
      <c r="F31" s="15" t="s">
        <v>167</v>
      </c>
    </row>
    <row r="32" customFormat="false" ht="14.25" hidden="false" customHeight="true" outlineLevel="0" collapsed="false">
      <c r="B32" s="13" t="s">
        <v>168</v>
      </c>
      <c r="E32" s="14" t="n">
        <f aca="false">E31-2</f>
        <v>9</v>
      </c>
      <c r="F32" s="16" t="s">
        <v>169</v>
      </c>
    </row>
    <row r="33" customFormat="false" ht="14.25" hidden="false" customHeight="true" outlineLevel="0" collapsed="false">
      <c r="B33" s="13" t="s">
        <v>170</v>
      </c>
      <c r="E33" s="14" t="n">
        <f aca="false">COUNTIF(E5:E24,"国内サポート（確定）")</f>
        <v>2</v>
      </c>
    </row>
    <row r="34" customFormat="false" ht="14.25" hidden="false" customHeight="true" outlineLevel="0" collapsed="false">
      <c r="B34" s="12" t="s">
        <v>171</v>
      </c>
    </row>
    <row r="35" customFormat="false" ht="14.25" hidden="false" customHeight="true" outlineLevel="0" collapsed="false">
      <c r="B35" s="17"/>
      <c r="C35" s="18" t="s">
        <v>172</v>
      </c>
    </row>
    <row r="36" customFormat="false" ht="14.25" hidden="false" customHeight="true" outlineLevel="0" collapsed="false">
      <c r="B36" s="19"/>
      <c r="C36" s="18" t="s">
        <v>173</v>
      </c>
    </row>
    <row r="37" customFormat="false" ht="14.25" hidden="false" customHeight="true" outlineLevel="0" collapsed="false">
      <c r="B37" s="20"/>
      <c r="C37" s="18" t="s">
        <v>174</v>
      </c>
    </row>
    <row r="38" customFormat="false" ht="14.25" hidden="false" customHeight="true" outlineLevel="0" collapsed="false">
      <c r="B38" s="21"/>
      <c r="C38" s="18" t="s">
        <v>175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E13" activeCellId="0" sqref="E13"/>
    </sheetView>
  </sheetViews>
  <sheetFormatPr defaultColWidth="8.55859375" defaultRowHeight="14.25" zeroHeight="false" outlineLevelRow="0" outlineLevelCol="0"/>
  <cols>
    <col collapsed="false" customWidth="true" hidden="false" outlineLevel="0" max="1" min="1" style="22" width="14"/>
    <col collapsed="false" customWidth="true" hidden="false" outlineLevel="0" max="19" min="2" style="1" width="16"/>
  </cols>
  <sheetData>
    <row r="1" customFormat="false" ht="15" hidden="false" customHeight="true" outlineLevel="0" collapsed="false">
      <c r="A1" s="23" t="s">
        <v>176</v>
      </c>
    </row>
    <row r="2" customFormat="false" ht="14.25" hidden="false" customHeight="true" outlineLevel="0" collapsed="false">
      <c r="G2" s="24" t="s">
        <v>177</v>
      </c>
    </row>
    <row r="3" customFormat="false" ht="15" hidden="false" customHeight="true" outlineLevel="0" collapsed="false">
      <c r="A3" s="25" t="s">
        <v>178</v>
      </c>
      <c r="B3" s="26" t="s">
        <v>179</v>
      </c>
      <c r="C3" s="26"/>
      <c r="D3" s="26" t="s">
        <v>180</v>
      </c>
      <c r="E3" s="26"/>
      <c r="F3" s="26" t="s">
        <v>181</v>
      </c>
      <c r="G3" s="26"/>
      <c r="H3" s="26" t="s">
        <v>182</v>
      </c>
      <c r="I3" s="26"/>
      <c r="J3" s="26" t="s">
        <v>183</v>
      </c>
      <c r="K3" s="26"/>
      <c r="L3" s="26" t="s">
        <v>184</v>
      </c>
      <c r="M3" s="26"/>
      <c r="N3" s="26" t="s">
        <v>185</v>
      </c>
      <c r="O3" s="26"/>
      <c r="P3" s="26" t="s">
        <v>186</v>
      </c>
      <c r="Q3" s="26"/>
      <c r="R3" s="26" t="s">
        <v>187</v>
      </c>
      <c r="S3" s="26"/>
    </row>
    <row r="4" customFormat="false" ht="14.25" hidden="false" customHeight="true" outlineLevel="0" collapsed="false">
      <c r="B4" s="27" t="s">
        <v>188</v>
      </c>
      <c r="C4" s="27" t="s">
        <v>189</v>
      </c>
      <c r="D4" s="27" t="s">
        <v>188</v>
      </c>
      <c r="E4" s="27" t="s">
        <v>189</v>
      </c>
      <c r="F4" s="27" t="s">
        <v>188</v>
      </c>
      <c r="G4" s="27" t="s">
        <v>189</v>
      </c>
      <c r="H4" s="27" t="s">
        <v>188</v>
      </c>
      <c r="I4" s="27" t="s">
        <v>189</v>
      </c>
      <c r="J4" s="27" t="s">
        <v>188</v>
      </c>
      <c r="K4" s="27" t="s">
        <v>189</v>
      </c>
      <c r="L4" s="27" t="s">
        <v>188</v>
      </c>
      <c r="M4" s="27" t="s">
        <v>189</v>
      </c>
      <c r="N4" s="27" t="s">
        <v>188</v>
      </c>
      <c r="O4" s="27" t="s">
        <v>189</v>
      </c>
      <c r="P4" s="27" t="s">
        <v>188</v>
      </c>
      <c r="Q4" s="27" t="s">
        <v>189</v>
      </c>
      <c r="R4" s="27" t="s">
        <v>188</v>
      </c>
      <c r="S4" s="27" t="s">
        <v>189</v>
      </c>
    </row>
    <row r="5" customFormat="false" ht="48" hidden="false" customHeight="true" outlineLevel="0" collapsed="false">
      <c r="A5" s="25" t="s">
        <v>190</v>
      </c>
      <c r="B5" s="28"/>
      <c r="C5" s="28"/>
      <c r="D5" s="28"/>
      <c r="E5" s="28"/>
      <c r="F5" s="29" t="s">
        <v>191</v>
      </c>
      <c r="G5" s="29" t="s">
        <v>192</v>
      </c>
      <c r="H5" s="29" t="s">
        <v>193</v>
      </c>
      <c r="I5" s="30" t="s">
        <v>194</v>
      </c>
      <c r="J5" s="30" t="s">
        <v>195</v>
      </c>
      <c r="K5" s="30" t="s">
        <v>196</v>
      </c>
      <c r="L5" s="30" t="s">
        <v>197</v>
      </c>
      <c r="M5" s="30" t="s">
        <v>198</v>
      </c>
      <c r="N5" s="30" t="s">
        <v>199</v>
      </c>
      <c r="O5" s="30" t="s">
        <v>200</v>
      </c>
      <c r="P5" s="29" t="s">
        <v>201</v>
      </c>
      <c r="Q5" s="29" t="s">
        <v>202</v>
      </c>
      <c r="R5" s="28"/>
      <c r="S5" s="28"/>
    </row>
    <row r="6" customFormat="false" ht="39.75" hidden="false" customHeight="true" outlineLevel="0" collapsed="false">
      <c r="A6" s="31" t="str">
        <f aca="false">人員一覧・判定!B5</f>
        <v>三浦 房紀</v>
      </c>
      <c r="B6" s="32"/>
      <c r="C6" s="32"/>
      <c r="D6" s="32"/>
      <c r="E6" s="32"/>
      <c r="F6" s="33" t="s">
        <v>203</v>
      </c>
      <c r="G6" s="34" t="s">
        <v>204</v>
      </c>
      <c r="H6" s="35" t="s">
        <v>205</v>
      </c>
      <c r="I6" s="36" t="s">
        <v>206</v>
      </c>
      <c r="J6" s="37" t="s">
        <v>207</v>
      </c>
      <c r="K6" s="38" t="s">
        <v>208</v>
      </c>
      <c r="L6" s="37" t="s">
        <v>209</v>
      </c>
      <c r="M6" s="38" t="s">
        <v>210</v>
      </c>
      <c r="N6" s="37" t="s">
        <v>211</v>
      </c>
      <c r="O6" s="34" t="s">
        <v>212</v>
      </c>
      <c r="P6" s="33" t="s">
        <v>213</v>
      </c>
      <c r="Q6" s="32"/>
      <c r="R6" s="32"/>
      <c r="S6" s="32"/>
    </row>
    <row r="7" customFormat="false" ht="39.75" hidden="false" customHeight="true" outlineLevel="0" collapsed="false">
      <c r="A7" s="31" t="str">
        <f aca="false">人員一覧・判定!B6</f>
        <v>北本 政行</v>
      </c>
      <c r="B7" s="32"/>
      <c r="C7" s="32"/>
      <c r="D7" s="32"/>
      <c r="E7" s="32"/>
      <c r="F7" s="33" t="s">
        <v>214</v>
      </c>
      <c r="G7" s="34" t="s">
        <v>215</v>
      </c>
      <c r="H7" s="35" t="s">
        <v>216</v>
      </c>
      <c r="I7" s="36" t="s">
        <v>206</v>
      </c>
      <c r="J7" s="37" t="s">
        <v>207</v>
      </c>
      <c r="K7" s="38" t="s">
        <v>217</v>
      </c>
      <c r="L7" s="37" t="s">
        <v>209</v>
      </c>
      <c r="M7" s="38" t="s">
        <v>210</v>
      </c>
      <c r="N7" s="37" t="s">
        <v>211</v>
      </c>
      <c r="O7" s="33" t="s">
        <v>218</v>
      </c>
      <c r="P7" s="37" t="s">
        <v>219</v>
      </c>
      <c r="Q7" s="32"/>
      <c r="R7" s="32"/>
      <c r="S7" s="32"/>
    </row>
    <row r="8" customFormat="false" ht="39.75" hidden="false" customHeight="true" outlineLevel="0" collapsed="false">
      <c r="A8" s="31" t="str">
        <f aca="false">人員一覧・判定!B7</f>
        <v>宮木 一寛</v>
      </c>
      <c r="B8" s="32"/>
      <c r="C8" s="32"/>
      <c r="D8" s="32"/>
      <c r="E8" s="33" t="s">
        <v>220</v>
      </c>
      <c r="F8" s="35" t="s">
        <v>221</v>
      </c>
      <c r="G8" s="39" t="s">
        <v>222</v>
      </c>
      <c r="H8" s="35" t="s">
        <v>223</v>
      </c>
      <c r="I8" s="36" t="s">
        <v>224</v>
      </c>
      <c r="J8" s="40" t="s">
        <v>225</v>
      </c>
      <c r="K8" s="38" t="s">
        <v>226</v>
      </c>
      <c r="L8" s="37" t="s">
        <v>209</v>
      </c>
      <c r="M8" s="38" t="s">
        <v>210</v>
      </c>
      <c r="N8" s="37" t="s">
        <v>227</v>
      </c>
      <c r="O8" s="34" t="s">
        <v>212</v>
      </c>
      <c r="P8" s="33" t="s">
        <v>228</v>
      </c>
      <c r="Q8" s="32"/>
      <c r="R8" s="32"/>
      <c r="S8" s="32"/>
    </row>
    <row r="9" customFormat="false" ht="39.75" hidden="false" customHeight="true" outlineLevel="0" collapsed="false">
      <c r="A9" s="31" t="str">
        <f aca="false">人員一覧・判定!B8</f>
        <v>児玉 美樹</v>
      </c>
      <c r="B9" s="32"/>
      <c r="C9" s="32"/>
      <c r="D9" s="32"/>
      <c r="E9" s="33" t="s">
        <v>220</v>
      </c>
      <c r="F9" s="34" t="s">
        <v>229</v>
      </c>
      <c r="G9" s="41" t="s">
        <v>230</v>
      </c>
      <c r="H9" s="36" t="s">
        <v>231</v>
      </c>
      <c r="I9" s="34" t="s">
        <v>232</v>
      </c>
      <c r="J9" s="37" t="s">
        <v>233</v>
      </c>
      <c r="K9" s="38" t="s">
        <v>234</v>
      </c>
      <c r="L9" s="37" t="s">
        <v>209</v>
      </c>
      <c r="M9" s="36" t="s">
        <v>235</v>
      </c>
      <c r="N9" s="37" t="s">
        <v>211</v>
      </c>
      <c r="O9" s="34" t="s">
        <v>236</v>
      </c>
      <c r="P9" s="42" t="s">
        <v>237</v>
      </c>
      <c r="Q9" s="32"/>
      <c r="R9" s="32"/>
      <c r="S9" s="32"/>
    </row>
    <row r="10" customFormat="false" ht="39.75" hidden="false" customHeight="true" outlineLevel="0" collapsed="false">
      <c r="A10" s="43" t="str">
        <f aca="false">人員一覧・判定!B9</f>
        <v>荒木田 勝</v>
      </c>
      <c r="B10" s="32"/>
      <c r="C10" s="32"/>
      <c r="D10" s="32"/>
      <c r="E10" s="32"/>
      <c r="F10" s="34" t="s">
        <v>238</v>
      </c>
      <c r="G10" s="41" t="s">
        <v>239</v>
      </c>
      <c r="H10" s="35" t="s">
        <v>240</v>
      </c>
      <c r="I10" s="36" t="s">
        <v>241</v>
      </c>
      <c r="J10" s="37" t="s">
        <v>242</v>
      </c>
      <c r="K10" s="38" t="s">
        <v>243</v>
      </c>
      <c r="L10" s="37" t="s">
        <v>244</v>
      </c>
      <c r="M10" s="38" t="s">
        <v>245</v>
      </c>
      <c r="N10" s="37" t="s">
        <v>246</v>
      </c>
      <c r="O10" s="33" t="s">
        <v>247</v>
      </c>
      <c r="P10" s="34" t="s">
        <v>248</v>
      </c>
      <c r="Q10" s="32"/>
      <c r="R10" s="32"/>
      <c r="S10" s="32"/>
    </row>
    <row r="11" customFormat="false" ht="39.75" hidden="false" customHeight="true" outlineLevel="0" collapsed="false">
      <c r="A11" s="43" t="str">
        <f aca="false">人員一覧・判定!B10</f>
        <v>吉田 真紀</v>
      </c>
      <c r="B11" s="32"/>
      <c r="C11" s="32"/>
      <c r="D11" s="33" t="s">
        <v>249</v>
      </c>
      <c r="E11" s="33" t="s">
        <v>250</v>
      </c>
      <c r="F11" s="44" t="s">
        <v>251</v>
      </c>
      <c r="G11" s="41" t="s">
        <v>252</v>
      </c>
      <c r="H11" s="40" t="s">
        <v>231</v>
      </c>
      <c r="I11" s="45" t="s">
        <v>253</v>
      </c>
      <c r="J11" s="37" t="s">
        <v>254</v>
      </c>
      <c r="K11" s="38" t="s">
        <v>255</v>
      </c>
      <c r="L11" s="37" t="s">
        <v>256</v>
      </c>
      <c r="M11" s="38" t="s">
        <v>257</v>
      </c>
      <c r="N11" s="37" t="s">
        <v>258</v>
      </c>
      <c r="O11" s="33" t="s">
        <v>259</v>
      </c>
      <c r="P11" s="34" t="s">
        <v>260</v>
      </c>
      <c r="Q11" s="32"/>
      <c r="R11" s="32"/>
      <c r="S11" s="32"/>
    </row>
    <row r="12" customFormat="false" ht="39.75" hidden="false" customHeight="true" outlineLevel="0" collapsed="false">
      <c r="A12" s="43" t="str">
        <f aca="false">人員一覧・判定!B11</f>
        <v>藤中 純子</v>
      </c>
      <c r="B12" s="32"/>
      <c r="C12" s="32"/>
      <c r="D12" s="33" t="s">
        <v>261</v>
      </c>
      <c r="E12" s="34" t="s">
        <v>262</v>
      </c>
      <c r="F12" s="41" t="s">
        <v>263</v>
      </c>
      <c r="G12" s="41" t="s">
        <v>264</v>
      </c>
      <c r="H12" s="41" t="s">
        <v>265</v>
      </c>
      <c r="I12" s="45" t="s">
        <v>266</v>
      </c>
      <c r="J12" s="45" t="s">
        <v>267</v>
      </c>
      <c r="K12" s="45" t="s">
        <v>268</v>
      </c>
      <c r="L12" s="45" t="s">
        <v>269</v>
      </c>
      <c r="M12" s="36" t="s">
        <v>270</v>
      </c>
      <c r="N12" s="41" t="s">
        <v>271</v>
      </c>
      <c r="O12" s="35" t="s">
        <v>272</v>
      </c>
      <c r="P12" s="35" t="s">
        <v>273</v>
      </c>
      <c r="Q12" s="33" t="s">
        <v>274</v>
      </c>
      <c r="R12" s="33" t="s">
        <v>275</v>
      </c>
      <c r="S12" s="34" t="s">
        <v>276</v>
      </c>
    </row>
    <row r="13" customFormat="false" ht="39.75" hidden="false" customHeight="true" outlineLevel="0" collapsed="false">
      <c r="A13" s="43" t="str">
        <f aca="false">人員一覧・判定!B12</f>
        <v>田中 智美</v>
      </c>
      <c r="B13" s="32"/>
      <c r="C13" s="32"/>
      <c r="D13" s="33" t="s">
        <v>261</v>
      </c>
      <c r="E13" s="34" t="s">
        <v>262</v>
      </c>
      <c r="F13" s="35" t="s">
        <v>277</v>
      </c>
      <c r="G13" s="41" t="s">
        <v>264</v>
      </c>
      <c r="H13" s="41" t="s">
        <v>278</v>
      </c>
      <c r="I13" s="45" t="s">
        <v>266</v>
      </c>
      <c r="J13" s="45" t="s">
        <v>267</v>
      </c>
      <c r="K13" s="45" t="s">
        <v>279</v>
      </c>
      <c r="L13" s="45" t="s">
        <v>280</v>
      </c>
      <c r="M13" s="38" t="s">
        <v>281</v>
      </c>
      <c r="N13" s="41" t="s">
        <v>282</v>
      </c>
      <c r="O13" s="35" t="s">
        <v>283</v>
      </c>
      <c r="P13" s="35" t="s">
        <v>284</v>
      </c>
      <c r="Q13" s="33" t="s">
        <v>274</v>
      </c>
      <c r="R13" s="33" t="s">
        <v>275</v>
      </c>
      <c r="S13" s="34" t="s">
        <v>276</v>
      </c>
    </row>
    <row r="14" customFormat="false" ht="39.75" hidden="false" customHeight="true" outlineLevel="0" collapsed="false">
      <c r="A14" s="43" t="str">
        <f aca="false">人員一覧・判定!B13</f>
        <v>池田　誠</v>
      </c>
      <c r="B14" s="32"/>
      <c r="C14" s="32"/>
      <c r="D14" s="32"/>
      <c r="E14" s="32"/>
      <c r="F14" s="33" t="s">
        <v>285</v>
      </c>
      <c r="G14" s="34" t="s">
        <v>286</v>
      </c>
      <c r="H14" s="35" t="s">
        <v>287</v>
      </c>
      <c r="I14" s="36" t="s">
        <v>288</v>
      </c>
      <c r="J14" s="34" t="s">
        <v>289</v>
      </c>
      <c r="K14" s="38" t="s">
        <v>290</v>
      </c>
      <c r="L14" s="37" t="s">
        <v>291</v>
      </c>
      <c r="M14" s="38" t="s">
        <v>292</v>
      </c>
      <c r="N14" s="37" t="s">
        <v>211</v>
      </c>
      <c r="O14" s="34" t="s">
        <v>293</v>
      </c>
      <c r="P14" s="33" t="s">
        <v>294</v>
      </c>
      <c r="Q14" s="32"/>
      <c r="R14" s="32"/>
      <c r="S14" s="32"/>
    </row>
    <row r="15" customFormat="false" ht="39.75" hidden="false" customHeight="true" outlineLevel="0" collapsed="false">
      <c r="A15" s="43" t="str">
        <f aca="false">人員一覧・判定!C14</f>
        <v>Gerald Ejem Potutan</v>
      </c>
      <c r="B15" s="32"/>
      <c r="C15" s="32"/>
      <c r="D15" s="32"/>
      <c r="E15" s="32"/>
      <c r="F15" s="33" t="s">
        <v>285</v>
      </c>
      <c r="G15" s="34" t="s">
        <v>295</v>
      </c>
      <c r="H15" s="40" t="s">
        <v>296</v>
      </c>
      <c r="I15" s="36" t="s">
        <v>288</v>
      </c>
      <c r="J15" s="37" t="s">
        <v>297</v>
      </c>
      <c r="K15" s="38" t="s">
        <v>298</v>
      </c>
      <c r="L15" s="37" t="s">
        <v>299</v>
      </c>
      <c r="M15" s="38" t="s">
        <v>210</v>
      </c>
      <c r="N15" s="37" t="s">
        <v>300</v>
      </c>
      <c r="O15" s="34" t="s">
        <v>212</v>
      </c>
      <c r="P15" s="33" t="s">
        <v>294</v>
      </c>
      <c r="Q15" s="32"/>
      <c r="R15" s="32"/>
      <c r="S15" s="32"/>
    </row>
    <row r="16" customFormat="false" ht="39.75" hidden="false" customHeight="true" outlineLevel="0" collapsed="false">
      <c r="A16" s="43" t="str">
        <f aca="false">人員一覧・判定!C15</f>
        <v>Mizan Bisri</v>
      </c>
      <c r="B16" s="32"/>
      <c r="C16" s="32"/>
      <c r="D16" s="32"/>
      <c r="E16" s="32"/>
      <c r="F16" s="46" t="s">
        <v>301</v>
      </c>
      <c r="G16" s="46" t="s">
        <v>301</v>
      </c>
      <c r="H16" s="35" t="s">
        <v>302</v>
      </c>
      <c r="I16" s="36" t="s">
        <v>288</v>
      </c>
      <c r="J16" s="37" t="s">
        <v>297</v>
      </c>
      <c r="K16" s="38" t="s">
        <v>303</v>
      </c>
      <c r="L16" s="37" t="s">
        <v>304</v>
      </c>
      <c r="M16" s="38" t="s">
        <v>210</v>
      </c>
      <c r="N16" s="37" t="s">
        <v>211</v>
      </c>
      <c r="O16" s="34" t="s">
        <v>212</v>
      </c>
      <c r="P16" s="46" t="s">
        <v>301</v>
      </c>
      <c r="Q16" s="32"/>
      <c r="R16" s="32"/>
      <c r="S16" s="32"/>
    </row>
    <row r="17" customFormat="false" ht="21.75" hidden="false" customHeight="true" outlineLevel="0" collapsed="false">
      <c r="A17" s="47" t="str">
        <f aca="false">人員一覧・判定!B18</f>
        <v>森口　芳隆</v>
      </c>
      <c r="F17" s="48" t="s">
        <v>305</v>
      </c>
      <c r="G17" s="48" t="s">
        <v>305</v>
      </c>
      <c r="H17" s="35" t="s">
        <v>306</v>
      </c>
      <c r="I17" s="36" t="s">
        <v>307</v>
      </c>
      <c r="J17" s="40" t="s">
        <v>308</v>
      </c>
      <c r="K17" s="38" t="s">
        <v>309</v>
      </c>
      <c r="L17" s="37" t="s">
        <v>209</v>
      </c>
      <c r="M17" s="38" t="s">
        <v>210</v>
      </c>
      <c r="N17" s="37" t="s">
        <v>310</v>
      </c>
      <c r="O17" s="37" t="s">
        <v>212</v>
      </c>
      <c r="P17" s="48" t="s">
        <v>311</v>
      </c>
    </row>
    <row r="18" customFormat="false" ht="39.75" hidden="false" customHeight="true" outlineLevel="0" collapsed="false">
      <c r="A18" s="43" t="str">
        <f aca="false">人員一覧・判定!B16</f>
        <v>藤本 絢子</v>
      </c>
      <c r="B18" s="32"/>
      <c r="C18" s="32"/>
      <c r="D18" s="32"/>
      <c r="E18" s="32"/>
      <c r="F18" s="42" t="s">
        <v>312</v>
      </c>
      <c r="G18" s="41" t="s">
        <v>313</v>
      </c>
      <c r="H18" s="45" t="s">
        <v>314</v>
      </c>
      <c r="I18" s="45" t="s">
        <v>315</v>
      </c>
      <c r="J18" s="34" t="s">
        <v>316</v>
      </c>
      <c r="K18" s="45" t="s">
        <v>317</v>
      </c>
      <c r="L18" s="34" t="s">
        <v>316</v>
      </c>
      <c r="M18" s="34" t="s">
        <v>318</v>
      </c>
      <c r="N18" s="37" t="s">
        <v>319</v>
      </c>
      <c r="O18" s="34" t="s">
        <v>320</v>
      </c>
      <c r="P18" s="35" t="s">
        <v>321</v>
      </c>
      <c r="Q18" s="32"/>
      <c r="R18" s="32"/>
      <c r="S18" s="32"/>
    </row>
    <row r="19" customFormat="false" ht="39.75" hidden="false" customHeight="true" outlineLevel="0" collapsed="false">
      <c r="A19" s="43" t="str">
        <f aca="false">人員一覧・判定!B17</f>
        <v>塩見 有美</v>
      </c>
      <c r="B19" s="32"/>
      <c r="C19" s="32"/>
      <c r="D19" s="32"/>
      <c r="E19" s="32"/>
      <c r="F19" s="42" t="s">
        <v>312</v>
      </c>
      <c r="G19" s="41" t="s">
        <v>313</v>
      </c>
      <c r="H19" s="35" t="s">
        <v>322</v>
      </c>
      <c r="I19" s="45" t="s">
        <v>288</v>
      </c>
      <c r="J19" s="37" t="s">
        <v>254</v>
      </c>
      <c r="K19" s="38" t="s">
        <v>323</v>
      </c>
      <c r="L19" s="37" t="s">
        <v>324</v>
      </c>
      <c r="M19" s="38" t="s">
        <v>325</v>
      </c>
      <c r="N19" s="37" t="s">
        <v>326</v>
      </c>
      <c r="O19" s="34" t="s">
        <v>212</v>
      </c>
      <c r="P19" s="35" t="s">
        <v>327</v>
      </c>
      <c r="Q19" s="32"/>
      <c r="R19" s="32"/>
      <c r="S19" s="32"/>
    </row>
    <row r="20" customFormat="false" ht="14.25" hidden="false" customHeight="true" outlineLevel="0" collapsed="false">
      <c r="A20" s="49" t="s">
        <v>328</v>
      </c>
      <c r="B20" s="50" t="n">
        <f aca="false">COUNTA(B6:B19)-COUNTIF(B6:B19,"*未手配*")-COUNTIF(B6:B19,"*要確認*")-COUNTIF(B6:B19,"*NRT着*")-COUNTIF(B6:B19,"*HND着*")-COUNTIF(B6:B19,"*KIX着*")-COUNTIF(B6:B19,"*GVA着*")</f>
        <v>0</v>
      </c>
      <c r="C20" s="50" t="n">
        <f aca="false">COUNTA(C6:C19)-COUNTIF(C6:C19,"*未手配*")-COUNTIF(C6:C19,"*要確認*")-COUNTIF(C6:C19,"*NRT着*")-COUNTIF(C6:C19,"*HND着*")-COUNTIF(C6:C19,"*KIX着*")-COUNTIF(C6:C19,"*GVA着*")</f>
        <v>0</v>
      </c>
      <c r="D20" s="50" t="n">
        <f aca="false">COUNTA(D6:D19)-COUNTIF(D6:D19,"*未手配*")-COUNTIF(D6:D19,"*要確認*")-COUNTIF(D6:D19,"*NRT着*")-COUNTIF(D6:D19,"*HND着*")-COUNTIF(D6:D19,"*KIX着*")-COUNTIF(D6:D19,"*GVA着*")</f>
        <v>3</v>
      </c>
      <c r="E20" s="50" t="n">
        <f aca="false">COUNTA(E6:E19)-COUNTIF(E6:E19,"*未手配*")-COUNTIF(E6:E19,"*要確認*")-COUNTIF(E6:E19,"*NRT着*")-COUNTIF(E6:E19,"*HND着*")-COUNTIF(E6:E19,"*KIX着*")-COUNTIF(E6:E19,"*GVA着*")</f>
        <v>5</v>
      </c>
      <c r="F20" s="50" t="n">
        <f aca="false">COUNTA(F6:F19)-COUNTIF(F6:F19,"*未手配*")-COUNTIF(F6:F19,"*要確認*")-COUNTIF(F6:F19,"*NRT着*")-COUNTIF(F6:F19,"*HND着*")-COUNTIF(F6:F19,"*KIX着*")-COUNTIF(F6:F19,"*GVA着*")</f>
        <v>10</v>
      </c>
      <c r="G20" s="50" t="n">
        <f aca="false">COUNTA(G6:G19)-COUNTIF(G6:G19,"*未手配*")-COUNTIF(G6:G19,"*要確認*")-COUNTIF(G6:G19,"*NRT着*")-COUNTIF(G6:G19,"*HND着*")-COUNTIF(G6:G19,"*KIX着*")-COUNTIF(G6:G19,"*GVA着*")</f>
        <v>12</v>
      </c>
      <c r="H20" s="50" t="n">
        <f aca="false">COUNTA(H6:H19)-COUNTIF(H6:H19,"*未手配*")-COUNTIF(H6:H19,"*要確認*")-COUNTIF(H6:H19,"*NRT着*")-COUNTIF(H6:H19,"*HND着*")-COUNTIF(H6:H19,"*KIX着*")-COUNTIF(H6:H19,"*GVA着*")</f>
        <v>14</v>
      </c>
      <c r="I20" s="50" t="n">
        <f aca="false">COUNTA(I6:I19)-COUNTIF(I6:I19,"*未手配*")-COUNTIF(I6:I19,"*要確認*")-COUNTIF(I6:I19,"*NRT着*")-COUNTIF(I6:I19,"*HND着*")-COUNTIF(I6:I19,"*KIX着*")-COUNTIF(I6:I19,"*GVA着*")</f>
        <v>14</v>
      </c>
      <c r="J20" s="50" t="n">
        <f aca="false">COUNTA(J6:J19)-COUNTIF(J6:J19,"*未手配*")-COUNTIF(J6:J19,"*要確認*")-COUNTIF(J6:J19,"*NRT着*")-COUNTIF(J6:J19,"*HND着*")-COUNTIF(J6:J19,"*KIX着*")-COUNTIF(J6:J19,"*GVA着*")</f>
        <v>14</v>
      </c>
      <c r="K20" s="50" t="n">
        <f aca="false">COUNTA(K6:K19)-COUNTIF(K6:K19,"*未手配*")-COUNTIF(K6:K19,"*要確認*")-COUNTIF(K6:K19,"*NRT着*")-COUNTIF(K6:K19,"*HND着*")-COUNTIF(K6:K19,"*KIX着*")-COUNTIF(K6:K19,"*GVA着*")</f>
        <v>14</v>
      </c>
      <c r="L20" s="50" t="n">
        <f aca="false">COUNTA(L6:L19)-COUNTIF(L6:L19,"*未手配*")-COUNTIF(L6:L19,"*要確認*")-COUNTIF(L6:L19,"*NRT着*")-COUNTIF(L6:L19,"*HND着*")-COUNTIF(L6:L19,"*KIX着*")-COUNTIF(L6:L19,"*GVA着*")</f>
        <v>14</v>
      </c>
      <c r="M20" s="50" t="n">
        <f aca="false">COUNTA(M6:M19)-COUNTIF(M6:M19,"*未手配*")-COUNTIF(M6:M19,"*要確認*")-COUNTIF(M6:M19,"*NRT着*")-COUNTIF(M6:M19,"*HND着*")-COUNTIF(M6:M19,"*KIX着*")-COUNTIF(M6:M19,"*GVA着*")</f>
        <v>14</v>
      </c>
      <c r="N20" s="50" t="n">
        <f aca="false">COUNTA(N6:N19)-COUNTIF(N6:N19,"*未手配*")-COUNTIF(N6:N19,"*要確認*")-COUNTIF(N6:N19,"*NRT着*")-COUNTIF(N6:N19,"*HND着*")-COUNTIF(N6:N19,"*KIX着*")-COUNTIF(N6:N19,"*GVA着*")</f>
        <v>14</v>
      </c>
      <c r="O20" s="50" t="n">
        <f aca="false">COUNTA(O6:O19)-COUNTIF(O6:O19,"*未手配*")-COUNTIF(O6:O19,"*要確認*")-COUNTIF(O6:O19,"*NRT着*")-COUNTIF(O6:O19,"*HND着*")-COUNTIF(O6:O19,"*KIX着*")-COUNTIF(O6:O19,"*GVA着*")</f>
        <v>14</v>
      </c>
      <c r="P20" s="50" t="n">
        <f aca="false">COUNTA(P6:P19)-COUNTIF(P6:P19,"*未手配*")-COUNTIF(P6:P19,"*要確認*")-COUNTIF(P6:P19,"*NRT着*")-COUNTIF(P6:P19,"*HND着*")-COUNTIF(P6:P19,"*KIX着*")-COUNTIF(P6:P19,"*GVA着*")</f>
        <v>7</v>
      </c>
      <c r="Q20" s="50" t="n">
        <f aca="false">COUNTA(Q6:Q19)-COUNTIF(Q6:Q19,"*未手配*")-COUNTIF(Q6:Q19,"*要確認*")-COUNTIF(Q6:Q19,"*NRT着*")-COUNTIF(Q6:Q19,"*HND着*")-COUNTIF(Q6:Q19,"*KIX着*")-COUNTIF(Q6:Q19,"*GVA着*")</f>
        <v>2</v>
      </c>
      <c r="R20" s="50" t="n">
        <f aca="false">COUNTA(R6:R19)-COUNTIF(R6:R19,"*未手配*")-COUNTIF(R6:R19,"*要確認*")-COUNTIF(R6:R19,"*NRT着*")-COUNTIF(R6:R19,"*HND着*")-COUNTIF(R6:R19,"*KIX着*")-COUNTIF(R6:R19,"*GVA着*")</f>
        <v>2</v>
      </c>
      <c r="S20" s="50" t="n">
        <f aca="false">COUNTA(S6:S19)-COUNTIF(S6:S19,"*未手配*")-COUNTIF(S6:S19,"*要確認*")-COUNTIF(S6:S19,"*NRT着*")-COUNTIF(S6:S19,"*HND着*")-COUNTIF(S6:S19,"*KIX着*")-COUNTIF(S6:S19,"*GVA着*")</f>
        <v>0</v>
      </c>
    </row>
    <row r="21" customFormat="false" ht="14.25" hidden="false" customHeight="true" outlineLevel="0" collapsed="false">
      <c r="A21" s="49" t="s">
        <v>329</v>
      </c>
      <c r="B21" s="51" t="n">
        <f aca="false">COUNTA(B18:B19)-COUNTIF(B18:B19,"*未手配*")-COUNTIF(B18:B19,"*要確認*")-COUNTIF(B18:B19,"*NRT着*")-COUNTIF(B18:B19,"*HND着*")-COUNTIF(B18:B19,"*KIX着*")-COUNTIF(B18:B19,"*GVA着*")</f>
        <v>0</v>
      </c>
      <c r="C21" s="51" t="n">
        <f aca="false">COUNTA(C18:C19)-COUNTIF(C18:C19,"*未手配*")-COUNTIF(C18:C19,"*要確認*")-COUNTIF(C18:C19,"*NRT着*")-COUNTIF(C18:C19,"*HND着*")-COUNTIF(C18:C19,"*KIX着*")-COUNTIF(C18:C19,"*GVA着*")</f>
        <v>0</v>
      </c>
      <c r="D21" s="51" t="n">
        <f aca="false">COUNTA(D18:D19)-COUNTIF(D18:D19,"*未手配*")-COUNTIF(D18:D19,"*要確認*")-COUNTIF(D18:D19,"*NRT着*")-COUNTIF(D18:D19,"*HND着*")-COUNTIF(D18:D19,"*KIX着*")-COUNTIF(D18:D19,"*GVA着*")</f>
        <v>0</v>
      </c>
      <c r="E21" s="51" t="n">
        <f aca="false">COUNTA(E18:E19)-COUNTIF(E18:E19,"*未手配*")-COUNTIF(E18:E19,"*要確認*")-COUNTIF(E18:E19,"*NRT着*")-COUNTIF(E18:E19,"*HND着*")-COUNTIF(E18:E19,"*KIX着*")-COUNTIF(E18:E19,"*GVA着*")</f>
        <v>0</v>
      </c>
      <c r="F21" s="51" t="n">
        <f aca="false">COUNTA(F18:F19)-COUNTIF(F18:F19,"*未手配*")-COUNTIF(F18:F19,"*要確認*")-COUNTIF(F18:F19,"*NRT着*")-COUNTIF(F18:F19,"*HND着*")-COUNTIF(F18:F19,"*KIX着*")-COUNTIF(F18:F19,"*GVA着*")</f>
        <v>0</v>
      </c>
      <c r="G21" s="51" t="n">
        <f aca="false">COUNTA(G18:G19)-COUNTIF(G18:G19,"*未手配*")-COUNTIF(G18:G19,"*要確認*")-COUNTIF(G18:G19,"*NRT着*")-COUNTIF(G18:G19,"*HND着*")-COUNTIF(G18:G19,"*KIX着*")-COUNTIF(G18:G19,"*GVA着*")</f>
        <v>2</v>
      </c>
      <c r="H21" s="51" t="n">
        <f aca="false">COUNTA(H18:H19)-COUNTIF(H18:H19,"*未手配*")-COUNTIF(H18:H19,"*要確認*")-COUNTIF(H18:H19,"*NRT着*")-COUNTIF(H18:H19,"*HND着*")-COUNTIF(H18:H19,"*KIX着*")-COUNTIF(H18:H19,"*GVA着*")</f>
        <v>2</v>
      </c>
      <c r="I21" s="51" t="n">
        <f aca="false">COUNTA(I18:I19)-COUNTIF(I18:I19,"*未手配*")-COUNTIF(I18:I19,"*要確認*")-COUNTIF(I18:I19,"*NRT着*")-COUNTIF(I18:I19,"*HND着*")-COUNTIF(I18:I19,"*KIX着*")-COUNTIF(I18:I19,"*GVA着*")</f>
        <v>2</v>
      </c>
      <c r="J21" s="51" t="n">
        <f aca="false">COUNTA(J18:J19)-COUNTIF(J18:J19,"*未手配*")-COUNTIF(J18:J19,"*要確認*")-COUNTIF(J18:J19,"*NRT着*")-COUNTIF(J18:J19,"*HND着*")-COUNTIF(J18:J19,"*KIX着*")-COUNTIF(J18:J19,"*GVA着*")</f>
        <v>2</v>
      </c>
      <c r="K21" s="51" t="n">
        <f aca="false">COUNTA(K18:K19)-COUNTIF(K18:K19,"*未手配*")-COUNTIF(K18:K19,"*要確認*")-COUNTIF(K18:K19,"*NRT着*")-COUNTIF(K18:K19,"*HND着*")-COUNTIF(K18:K19,"*KIX着*")-COUNTIF(K18:K19,"*GVA着*")</f>
        <v>2</v>
      </c>
      <c r="L21" s="51" t="n">
        <f aca="false">COUNTA(L18:L19)-COUNTIF(L18:L19,"*未手配*")-COUNTIF(L18:L19,"*要確認*")-COUNTIF(L18:L19,"*NRT着*")-COUNTIF(L18:L19,"*HND着*")-COUNTIF(L18:L19,"*KIX着*")-COUNTIF(L18:L19,"*GVA着*")</f>
        <v>2</v>
      </c>
      <c r="M21" s="51" t="n">
        <f aca="false">COUNTA(M18:M19)-COUNTIF(M18:M19,"*未手配*")-COUNTIF(M18:M19,"*要確認*")-COUNTIF(M18:M19,"*NRT着*")-COUNTIF(M18:M19,"*HND着*")-COUNTIF(M18:M19,"*KIX着*")-COUNTIF(M18:M19,"*GVA着*")</f>
        <v>2</v>
      </c>
      <c r="N21" s="51" t="n">
        <f aca="false">COUNTA(N18:N19)-COUNTIF(N18:N19,"*未手配*")-COUNTIF(N18:N19,"*要確認*")-COUNTIF(N18:N19,"*NRT着*")-COUNTIF(N18:N19,"*HND着*")-COUNTIF(N18:N19,"*KIX着*")-COUNTIF(N18:N19,"*GVA着*")</f>
        <v>2</v>
      </c>
      <c r="O21" s="51" t="n">
        <f aca="false">COUNTA(O18:O19)-COUNTIF(O18:O19,"*未手配*")-COUNTIF(O18:O19,"*要確認*")-COUNTIF(O18:O19,"*NRT着*")-COUNTIF(O18:O19,"*HND着*")-COUNTIF(O18:O19,"*KIX着*")-COUNTIF(O18:O19,"*GVA着*")</f>
        <v>2</v>
      </c>
      <c r="P21" s="51" t="n">
        <f aca="false">COUNTA(P18:P19)-COUNTIF(P18:P19,"*未手配*")-COUNTIF(P18:P19,"*要確認*")-COUNTIF(P18:P19,"*NRT着*")-COUNTIF(P18:P19,"*HND着*")-COUNTIF(P18:P19,"*KIX着*")-COUNTIF(P18:P19,"*GVA着*")</f>
        <v>2</v>
      </c>
      <c r="Q21" s="51" t="n">
        <f aca="false">COUNTA(Q18:Q19)-COUNTIF(Q18:Q19,"*未手配*")-COUNTIF(Q18:Q19,"*要確認*")-COUNTIF(Q18:Q19,"*NRT着*")-COUNTIF(Q18:Q19,"*HND着*")-COUNTIF(Q18:Q19,"*KIX着*")-COUNTIF(Q18:Q19,"*GVA着*")</f>
        <v>0</v>
      </c>
      <c r="R21" s="51" t="n">
        <f aca="false">COUNTA(R18:R19)-COUNTIF(R18:R19,"*未手配*")-COUNTIF(R18:R19,"*要確認*")-COUNTIF(R18:R19,"*NRT着*")-COUNTIF(R18:R19,"*HND着*")-COUNTIF(R18:R19,"*KIX着*")-COUNTIF(R18:R19,"*GVA着*")</f>
        <v>0</v>
      </c>
      <c r="S21" s="51" t="n">
        <f aca="false">COUNTA(S18:S19)-COUNTIF(S18:S19,"*未手配*")-COUNTIF(S18:S19,"*要確認*")-COUNTIF(S18:S19,"*NRT着*")-COUNTIF(S18:S19,"*HND着*")-COUNTIF(S18:S19,"*KIX着*")-COUNTIF(S18:S19,"*GVA着*")</f>
        <v>0</v>
      </c>
    </row>
    <row r="22" customFormat="false" ht="14.25" hidden="false" customHeight="true" outlineLevel="0" collapsed="false">
      <c r="A22" s="52" t="s">
        <v>330</v>
      </c>
    </row>
    <row r="23" customFormat="false" ht="14.25" hidden="false" customHeight="true" outlineLevel="0" collapsed="false"/>
    <row r="24" customFormat="false" ht="14.25" hidden="false" customHeight="true" outlineLevel="0" collapsed="false">
      <c r="A24" s="53" t="s">
        <v>331</v>
      </c>
      <c r="B24" s="53"/>
      <c r="C24" s="53"/>
      <c r="D24" s="53"/>
      <c r="E24" s="53"/>
      <c r="F24" s="53"/>
      <c r="G24" s="53"/>
    </row>
    <row r="25" customFormat="false" ht="39.75" hidden="false" customHeight="true" outlineLevel="0" collapsed="false">
      <c r="A25" s="54" t="str">
        <f aca="false">人員一覧・判定!B19</f>
        <v>中村</v>
      </c>
      <c r="B25" s="32"/>
      <c r="C25" s="32"/>
      <c r="D25" s="32"/>
      <c r="E25" s="32"/>
      <c r="F25" s="55" t="s">
        <v>332</v>
      </c>
      <c r="G25" s="56" t="s">
        <v>333</v>
      </c>
      <c r="H25" s="55" t="s">
        <v>334</v>
      </c>
      <c r="I25" s="55" t="s">
        <v>335</v>
      </c>
      <c r="J25" s="55" t="s">
        <v>336</v>
      </c>
      <c r="K25" s="55" t="s">
        <v>337</v>
      </c>
      <c r="L25" s="55" t="s">
        <v>338</v>
      </c>
      <c r="M25" s="56" t="s">
        <v>339</v>
      </c>
      <c r="N25" s="56" t="s">
        <v>340</v>
      </c>
      <c r="O25" s="55" t="s">
        <v>341</v>
      </c>
      <c r="P25" s="32"/>
      <c r="Q25" s="32"/>
      <c r="R25" s="32"/>
      <c r="S25" s="32"/>
    </row>
    <row r="26" customFormat="false" ht="39.75" hidden="false" customHeight="true" outlineLevel="0" collapsed="false">
      <c r="A26" s="54" t="str">
        <f aca="false">人員一覧・判定!B20</f>
        <v>山口</v>
      </c>
      <c r="B26" s="32"/>
      <c r="C26" s="32"/>
      <c r="D26" s="32"/>
      <c r="E26" s="32"/>
      <c r="F26" s="56" t="s">
        <v>342</v>
      </c>
      <c r="G26" s="32"/>
      <c r="H26" s="56" t="s">
        <v>343</v>
      </c>
      <c r="I26" s="56" t="s">
        <v>344</v>
      </c>
      <c r="J26" s="55" t="s">
        <v>345</v>
      </c>
      <c r="K26" s="55" t="s">
        <v>346</v>
      </c>
      <c r="L26" s="55" t="s">
        <v>347</v>
      </c>
      <c r="M26" s="56" t="s">
        <v>348</v>
      </c>
      <c r="N26" s="32"/>
      <c r="O26" s="56" t="s">
        <v>348</v>
      </c>
      <c r="P26" s="32"/>
      <c r="Q26" s="32"/>
      <c r="R26" s="32"/>
      <c r="S26" s="32"/>
    </row>
    <row r="27" customFormat="false" ht="39.75" hidden="false" customHeight="true" outlineLevel="0" collapsed="false">
      <c r="A27" s="54" t="str">
        <f aca="false">人員一覧・判定!B22</f>
        <v>寺坂　佳津子</v>
      </c>
      <c r="B27" s="32"/>
      <c r="C27" s="32"/>
      <c r="D27" s="32"/>
      <c r="E27" s="32"/>
      <c r="F27" s="32"/>
      <c r="G27" s="32"/>
      <c r="H27" s="48" t="s">
        <v>349</v>
      </c>
      <c r="I27" s="32"/>
      <c r="J27" s="48" t="s">
        <v>350</v>
      </c>
      <c r="K27" s="48" t="s">
        <v>350</v>
      </c>
      <c r="L27" s="48" t="s">
        <v>350</v>
      </c>
      <c r="M27" s="32"/>
      <c r="N27" s="32"/>
      <c r="O27" s="32"/>
      <c r="P27" s="32"/>
      <c r="Q27" s="32"/>
      <c r="R27" s="32"/>
      <c r="S27" s="32"/>
    </row>
    <row r="28" customFormat="false" ht="39.75" hidden="false" customHeight="true" outlineLevel="0" collapsed="false">
      <c r="A28" s="54" t="str">
        <f aca="false">人員一覧・判定!B21</f>
        <v>伊達 孝</v>
      </c>
      <c r="B28" s="32"/>
      <c r="C28" s="32"/>
      <c r="D28" s="32"/>
      <c r="E28" s="32"/>
      <c r="F28" s="32"/>
      <c r="G28" s="32"/>
      <c r="H28" s="46" t="s">
        <v>351</v>
      </c>
      <c r="I28" s="32"/>
      <c r="J28" s="46" t="s">
        <v>352</v>
      </c>
      <c r="K28" s="46" t="s">
        <v>353</v>
      </c>
      <c r="L28" s="46" t="s">
        <v>352</v>
      </c>
      <c r="M28" s="32"/>
      <c r="N28" s="32"/>
      <c r="O28" s="32"/>
      <c r="P28" s="32"/>
      <c r="Q28" s="32"/>
      <c r="R28" s="32"/>
      <c r="S28" s="32"/>
    </row>
    <row r="29" customFormat="false" ht="14.25" hidden="false" customHeight="true" outlineLevel="0" collapsed="false">
      <c r="A29" s="16" t="s">
        <v>354</v>
      </c>
    </row>
  </sheetData>
  <mergeCells count="10"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R22" activeCellId="0" sqref="R22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33" min="2" style="1" width="4.22"/>
  </cols>
  <sheetData>
    <row r="1" customFormat="false" ht="15" hidden="false" customHeight="true" outlineLevel="0" collapsed="false">
      <c r="A1" s="57" t="s">
        <v>355</v>
      </c>
    </row>
    <row r="3" customFormat="false" ht="14.25" hidden="false" customHeight="true" outlineLevel="0" collapsed="false">
      <c r="B3" s="58" t="s">
        <v>356</v>
      </c>
      <c r="C3" s="58"/>
      <c r="D3" s="58" t="s">
        <v>357</v>
      </c>
      <c r="E3" s="58"/>
      <c r="F3" s="58" t="s">
        <v>358</v>
      </c>
      <c r="G3" s="58"/>
      <c r="H3" s="58" t="s">
        <v>359</v>
      </c>
      <c r="I3" s="58"/>
      <c r="J3" s="58" t="s">
        <v>360</v>
      </c>
      <c r="K3" s="58"/>
      <c r="L3" s="58" t="s">
        <v>361</v>
      </c>
      <c r="M3" s="58"/>
      <c r="N3" s="58" t="s">
        <v>362</v>
      </c>
      <c r="O3" s="58"/>
      <c r="P3" s="58" t="s">
        <v>363</v>
      </c>
      <c r="Q3" s="58"/>
      <c r="R3" s="58" t="s">
        <v>364</v>
      </c>
      <c r="S3" s="58"/>
      <c r="T3" s="58" t="s">
        <v>365</v>
      </c>
      <c r="U3" s="58"/>
      <c r="V3" s="58" t="s">
        <v>366</v>
      </c>
      <c r="W3" s="58"/>
      <c r="X3" s="58" t="s">
        <v>367</v>
      </c>
      <c r="Y3" s="58"/>
      <c r="Z3" s="58" t="s">
        <v>368</v>
      </c>
      <c r="AA3" s="58"/>
      <c r="AB3" s="58" t="s">
        <v>369</v>
      </c>
      <c r="AC3" s="58"/>
      <c r="AD3" s="58" t="s">
        <v>370</v>
      </c>
      <c r="AE3" s="58"/>
      <c r="AF3" s="58" t="s">
        <v>371</v>
      </c>
      <c r="AG3" s="58"/>
    </row>
    <row r="4" customFormat="false" ht="30" hidden="false" customHeight="true" outlineLevel="0" collapsed="false">
      <c r="A4" s="59" t="s">
        <v>190</v>
      </c>
      <c r="B4" s="60" t="s">
        <v>372</v>
      </c>
      <c r="C4" s="60"/>
      <c r="D4" s="60"/>
      <c r="E4" s="60"/>
      <c r="F4" s="60"/>
      <c r="G4" s="60"/>
      <c r="H4" s="60"/>
      <c r="I4" s="60"/>
      <c r="J4" s="60"/>
      <c r="K4" s="60"/>
      <c r="L4" s="60" t="s">
        <v>373</v>
      </c>
      <c r="M4" s="60"/>
      <c r="N4" s="60"/>
      <c r="O4" s="60"/>
      <c r="P4" s="60"/>
      <c r="Q4" s="60"/>
      <c r="R4" s="60"/>
      <c r="S4" s="60"/>
      <c r="T4" s="60" t="s">
        <v>374</v>
      </c>
      <c r="U4" s="60"/>
      <c r="V4" s="60"/>
      <c r="W4" s="60"/>
      <c r="X4" s="60"/>
      <c r="Y4" s="60" t="s">
        <v>375</v>
      </c>
      <c r="Z4" s="60"/>
      <c r="AA4" s="60"/>
      <c r="AB4" s="60"/>
      <c r="AC4" s="60" t="s">
        <v>376</v>
      </c>
    </row>
    <row r="5" customFormat="false" ht="1.5" hidden="false" customHeight="true" outlineLevel="0" collapsed="false">
      <c r="A5" s="59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0"/>
      <c r="Y5" s="60"/>
      <c r="Z5" s="60"/>
      <c r="AA5" s="60"/>
      <c r="AB5" s="60"/>
      <c r="AC5" s="60"/>
    </row>
    <row r="6" customFormat="false" ht="21.75" hidden="false" customHeight="true" outlineLevel="0" collapsed="false">
      <c r="A6" s="43" t="str">
        <f aca="false">人員一覧・判定!B5</f>
        <v>三浦 房紀</v>
      </c>
      <c r="X6" s="62" t="s">
        <v>377</v>
      </c>
      <c r="Y6" s="62"/>
      <c r="Z6" s="62"/>
      <c r="AA6" s="62"/>
      <c r="AB6" s="62"/>
      <c r="AC6" s="62"/>
    </row>
    <row r="7" customFormat="false" ht="21.75" hidden="false" customHeight="true" outlineLevel="0" collapsed="false">
      <c r="A7" s="43" t="str">
        <f aca="false">人員一覧・判定!B6</f>
        <v>北本 政行</v>
      </c>
      <c r="H7" s="63" t="s">
        <v>378</v>
      </c>
      <c r="I7" s="63"/>
      <c r="J7" s="63"/>
      <c r="X7" s="62" t="s">
        <v>377</v>
      </c>
      <c r="Y7" s="62"/>
      <c r="Z7" s="62"/>
      <c r="AA7" s="62"/>
      <c r="AB7" s="62"/>
      <c r="AC7" s="62"/>
    </row>
    <row r="8" customFormat="false" ht="21.75" hidden="false" customHeight="true" outlineLevel="0" collapsed="false">
      <c r="A8" s="43" t="str">
        <f aca="false">人員一覧・判定!B7</f>
        <v>宮木 一寛</v>
      </c>
      <c r="F8" s="62" t="s">
        <v>379</v>
      </c>
      <c r="G8" s="62"/>
      <c r="H8" s="62"/>
      <c r="I8" s="62"/>
      <c r="J8" s="62"/>
      <c r="K8" s="62"/>
      <c r="W8" s="62" t="s">
        <v>380</v>
      </c>
      <c r="X8" s="62"/>
      <c r="Y8" s="62"/>
      <c r="Z8" s="62"/>
      <c r="AA8" s="62"/>
      <c r="AB8" s="62"/>
      <c r="AC8" s="62"/>
    </row>
    <row r="9" customFormat="false" ht="21.75" hidden="false" customHeight="true" outlineLevel="0" collapsed="false">
      <c r="A9" s="43" t="str">
        <f aca="false">人員一覧・判定!B8</f>
        <v>児玉 美樹</v>
      </c>
      <c r="F9" s="63" t="s">
        <v>381</v>
      </c>
      <c r="G9" s="63"/>
      <c r="H9" s="63"/>
      <c r="I9" s="63"/>
      <c r="J9" s="63"/>
      <c r="K9" s="63"/>
      <c r="T9" s="64" t="s">
        <v>382</v>
      </c>
      <c r="U9" s="64"/>
      <c r="V9" s="64"/>
      <c r="W9" s="64"/>
      <c r="X9" s="64"/>
      <c r="Y9" s="65" t="s">
        <v>383</v>
      </c>
      <c r="Z9" s="65"/>
      <c r="AA9" s="65"/>
      <c r="AB9" s="65"/>
      <c r="AC9" s="65"/>
    </row>
    <row r="10" customFormat="false" ht="21.75" hidden="false" customHeight="true" outlineLevel="0" collapsed="false">
      <c r="A10" s="43" t="str">
        <f aca="false">人員一覧・判定!B9</f>
        <v>荒木田 勝</v>
      </c>
      <c r="F10" s="63" t="s">
        <v>384</v>
      </c>
      <c r="G10" s="63"/>
      <c r="H10" s="63" t="s">
        <v>385</v>
      </c>
      <c r="I10" s="63"/>
      <c r="J10" s="63"/>
      <c r="N10" s="64" t="s">
        <v>386</v>
      </c>
      <c r="O10" s="64"/>
      <c r="P10" s="64"/>
      <c r="Q10" s="64"/>
      <c r="R10" s="64"/>
      <c r="S10" s="64"/>
      <c r="T10" s="64" t="s">
        <v>387</v>
      </c>
      <c r="U10" s="64"/>
      <c r="V10" s="64"/>
      <c r="W10" s="64"/>
      <c r="X10" s="64"/>
      <c r="Y10" s="64"/>
      <c r="Z10" s="64"/>
      <c r="AA10" s="64"/>
      <c r="AB10" s="64"/>
      <c r="AC10" s="64"/>
    </row>
    <row r="11" customFormat="false" ht="21.75" hidden="false" customHeight="true" outlineLevel="0" collapsed="false">
      <c r="A11" s="43" t="str">
        <f aca="false">人員一覧・判定!B10</f>
        <v>吉田 真紀</v>
      </c>
      <c r="F11" s="63" t="s">
        <v>381</v>
      </c>
      <c r="G11" s="63"/>
      <c r="H11" s="63"/>
      <c r="I11" s="63"/>
      <c r="J11" s="63"/>
      <c r="K11" s="63"/>
      <c r="T11" s="66" t="s">
        <v>388</v>
      </c>
      <c r="U11" s="66"/>
      <c r="V11" s="66"/>
      <c r="W11" s="66"/>
      <c r="X11" s="66"/>
      <c r="Y11" s="66" t="s">
        <v>389</v>
      </c>
      <c r="Z11" s="66"/>
      <c r="AA11" s="66"/>
      <c r="AB11" s="66"/>
      <c r="AC11" s="66"/>
    </row>
    <row r="12" customFormat="false" ht="21.75" hidden="false" customHeight="true" outlineLevel="0" collapsed="false">
      <c r="A12" s="43" t="str">
        <f aca="false">人員一覧・判定!B11</f>
        <v>藤中 純子</v>
      </c>
      <c r="D12" s="67" t="s">
        <v>390</v>
      </c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T12" s="66" t="s">
        <v>391</v>
      </c>
      <c r="U12" s="66"/>
      <c r="V12" s="66"/>
      <c r="W12" s="66"/>
      <c r="X12" s="66"/>
      <c r="Y12" s="66" t="s">
        <v>392</v>
      </c>
      <c r="Z12" s="66"/>
      <c r="AA12" s="66"/>
      <c r="AB12" s="66"/>
      <c r="AC12" s="66"/>
    </row>
    <row r="13" customFormat="false" ht="21.75" hidden="false" customHeight="true" outlineLevel="0" collapsed="false">
      <c r="A13" s="43" t="str">
        <f aca="false">人員一覧・判定!B12</f>
        <v>田中 智美</v>
      </c>
      <c r="D13" s="67" t="s">
        <v>393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T13" s="66" t="s">
        <v>388</v>
      </c>
      <c r="U13" s="66"/>
      <c r="V13" s="66"/>
      <c r="W13" s="66"/>
      <c r="X13" s="66"/>
      <c r="Y13" s="66" t="s">
        <v>392</v>
      </c>
      <c r="Z13" s="66"/>
      <c r="AA13" s="66"/>
      <c r="AB13" s="66"/>
      <c r="AC13" s="66"/>
    </row>
    <row r="14" customFormat="false" ht="21.75" hidden="false" customHeight="true" outlineLevel="0" collapsed="false">
      <c r="A14" s="43" t="str">
        <f aca="false">人員一覧・判定!B13</f>
        <v>池田　誠</v>
      </c>
      <c r="F14" s="64" t="s">
        <v>394</v>
      </c>
      <c r="G14" s="64"/>
      <c r="H14" s="64"/>
      <c r="I14" s="64"/>
      <c r="J14" s="64"/>
      <c r="K14" s="64"/>
      <c r="N14" s="64" t="s">
        <v>395</v>
      </c>
      <c r="O14" s="64"/>
      <c r="P14" s="64"/>
      <c r="Q14" s="64"/>
      <c r="R14" s="64"/>
      <c r="S14" s="64"/>
      <c r="W14" s="60" t="s">
        <v>396</v>
      </c>
      <c r="X14" s="60"/>
      <c r="Y14" s="60"/>
      <c r="Z14" s="60"/>
      <c r="AA14" s="60"/>
      <c r="AB14" s="60"/>
      <c r="AC14" s="60"/>
    </row>
    <row r="15" customFormat="false" ht="24.75" hidden="false" customHeight="true" outlineLevel="0" collapsed="false">
      <c r="A15" s="68" t="str">
        <f aca="false">人員一覧・判定!C14</f>
        <v>Gerald Ejem Potutan</v>
      </c>
      <c r="F15" s="63" t="s">
        <v>397</v>
      </c>
      <c r="G15" s="63"/>
      <c r="H15" s="63"/>
      <c r="I15" s="63"/>
      <c r="J15" s="63"/>
      <c r="K15" s="63"/>
      <c r="T15" s="69" t="s">
        <v>398</v>
      </c>
      <c r="U15" s="69"/>
      <c r="V15" s="69"/>
      <c r="W15" s="60" t="s">
        <v>399</v>
      </c>
      <c r="X15" s="60"/>
      <c r="Y15" s="60"/>
      <c r="Z15" s="60"/>
      <c r="AA15" s="60"/>
      <c r="AB15" s="60"/>
      <c r="AC15" s="60"/>
    </row>
    <row r="16" customFormat="false" ht="21" hidden="false" customHeight="true" outlineLevel="0" collapsed="false">
      <c r="A16" s="43" t="str">
        <f aca="false">人員一覧・判定!C15</f>
        <v>Mizan Bisri</v>
      </c>
      <c r="F16" s="63" t="s">
        <v>400</v>
      </c>
      <c r="G16" s="63"/>
      <c r="H16" s="63"/>
      <c r="I16" s="63"/>
      <c r="J16" s="63"/>
      <c r="K16" s="63"/>
      <c r="T16" s="69" t="s">
        <v>398</v>
      </c>
      <c r="U16" s="69"/>
      <c r="V16" s="69"/>
      <c r="W16" s="60" t="s">
        <v>399</v>
      </c>
      <c r="X16" s="60"/>
      <c r="Y16" s="60"/>
      <c r="Z16" s="60"/>
      <c r="AA16" s="60"/>
      <c r="AB16" s="60"/>
      <c r="AC16" s="60"/>
    </row>
    <row r="17" customFormat="false" ht="21.75" hidden="false" customHeight="true" outlineLevel="0" collapsed="false">
      <c r="A17" s="47" t="str">
        <f aca="false">人員一覧・判定!B18</f>
        <v>森口　芳隆</v>
      </c>
      <c r="F17" s="70" t="s">
        <v>401</v>
      </c>
      <c r="G17" s="70"/>
      <c r="H17" s="70"/>
      <c r="I17" s="70"/>
      <c r="J17" s="71" t="s">
        <v>402</v>
      </c>
      <c r="K17" s="71"/>
      <c r="T17" s="69" t="s">
        <v>398</v>
      </c>
      <c r="U17" s="69"/>
      <c r="V17" s="69"/>
      <c r="W17" s="69"/>
      <c r="X17" s="69"/>
      <c r="Y17" s="72" t="s">
        <v>399</v>
      </c>
      <c r="Z17" s="72"/>
      <c r="AA17" s="72"/>
      <c r="AB17" s="72"/>
      <c r="AC17" s="72"/>
    </row>
    <row r="18" customFormat="false" ht="21.75" hidden="false" customHeight="true" outlineLevel="0" collapsed="false">
      <c r="A18" s="43" t="str">
        <f aca="false">人員一覧・判定!B16</f>
        <v>藤本 絢子</v>
      </c>
      <c r="F18" s="63" t="s">
        <v>403</v>
      </c>
      <c r="G18" s="63"/>
      <c r="H18" s="63"/>
      <c r="I18" s="63"/>
      <c r="J18" s="63"/>
      <c r="K18" s="63"/>
      <c r="T18" s="64" t="s">
        <v>382</v>
      </c>
      <c r="U18" s="64"/>
      <c r="V18" s="64"/>
      <c r="W18" s="64"/>
      <c r="X18" s="64"/>
      <c r="Y18" s="64" t="s">
        <v>404</v>
      </c>
      <c r="Z18" s="64"/>
      <c r="AA18" s="64"/>
      <c r="AB18" s="64"/>
      <c r="AC18" s="64"/>
    </row>
    <row r="19" customFormat="false" ht="21.75" hidden="false" customHeight="true" outlineLevel="0" collapsed="false">
      <c r="A19" s="43" t="str">
        <f aca="false">人員一覧・判定!B17</f>
        <v>塩見 有美</v>
      </c>
      <c r="F19" s="66" t="s">
        <v>405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T19" s="69" t="s">
        <v>398</v>
      </c>
      <c r="U19" s="69"/>
      <c r="V19" s="69"/>
      <c r="W19" s="66" t="s">
        <v>406</v>
      </c>
      <c r="X19" s="66"/>
      <c r="Y19" s="66"/>
      <c r="Z19" s="66"/>
      <c r="AA19" s="66"/>
      <c r="AB19" s="66"/>
      <c r="AC19" s="66"/>
    </row>
    <row r="20" customFormat="false" ht="14.25" hidden="false" customHeight="true" outlineLevel="0" collapsed="false">
      <c r="A20" s="12" t="s">
        <v>407</v>
      </c>
      <c r="B20" s="73" t="n">
        <f aca="false">COUNTA(B5:B19)</f>
        <v>0</v>
      </c>
      <c r="C20" s="73" t="n">
        <f aca="false">COUNTA(C5:C19)</f>
        <v>0</v>
      </c>
      <c r="D20" s="73" t="n">
        <f aca="false">COUNTA(D5:D19)</f>
        <v>2</v>
      </c>
      <c r="E20" s="73" t="n">
        <f aca="false">COUNTA(E5:E19)</f>
        <v>0</v>
      </c>
      <c r="F20" s="73" t="n">
        <f aca="false">COUNTA(F5:F19)</f>
        <v>10</v>
      </c>
      <c r="G20" s="73" t="n">
        <f aca="false">COUNTA(G5:G19)</f>
        <v>0</v>
      </c>
      <c r="H20" s="73" t="n">
        <f aca="false">COUNTA(H5:H19)</f>
        <v>2</v>
      </c>
      <c r="I20" s="73" t="n">
        <f aca="false">COUNTA(I5:I19)</f>
        <v>0</v>
      </c>
      <c r="J20" s="73" t="n">
        <f aca="false">COUNTA(J5:J19)</f>
        <v>1</v>
      </c>
      <c r="K20" s="73" t="n">
        <f aca="false">COUNTA(K5:K19)</f>
        <v>0</v>
      </c>
      <c r="L20" s="73" t="n">
        <f aca="false">COUNTA(L5:L19)</f>
        <v>0</v>
      </c>
      <c r="M20" s="73" t="n">
        <f aca="false">COUNTA(M5:M19)</f>
        <v>0</v>
      </c>
      <c r="N20" s="73" t="n">
        <f aca="false">COUNTA(N5:N19)</f>
        <v>2</v>
      </c>
      <c r="O20" s="73" t="n">
        <f aca="false">COUNTA(O5:O19)</f>
        <v>0</v>
      </c>
      <c r="P20" s="73" t="n">
        <f aca="false">COUNTA(P5:P19)</f>
        <v>0</v>
      </c>
      <c r="Q20" s="73" t="n">
        <f aca="false">COUNTA(Q5:Q19)</f>
        <v>0</v>
      </c>
      <c r="R20" s="73" t="n">
        <f aca="false">COUNTA(R5:R19)</f>
        <v>0</v>
      </c>
      <c r="S20" s="73" t="n">
        <f aca="false">COUNTA(S5:S19)</f>
        <v>0</v>
      </c>
      <c r="T20" s="73" t="n">
        <f aca="false">COUNTA(T5:T19)</f>
        <v>10</v>
      </c>
      <c r="U20" s="73" t="n">
        <f aca="false">COUNTA(U5:U19)</f>
        <v>0</v>
      </c>
      <c r="V20" s="73" t="n">
        <f aca="false">COUNTA(V5:V19)</f>
        <v>0</v>
      </c>
      <c r="W20" s="73" t="n">
        <f aca="false">COUNTA(W5:W19)</f>
        <v>5</v>
      </c>
      <c r="X20" s="73" t="n">
        <f aca="false">COUNTA(X5:X19)</f>
        <v>2</v>
      </c>
      <c r="Y20" s="73" t="n">
        <f aca="false">COUNTA(Y5:Y19)</f>
        <v>6</v>
      </c>
      <c r="Z20" s="73" t="n">
        <f aca="false">COUNTA(Z5:Z19)</f>
        <v>0</v>
      </c>
      <c r="AA20" s="73" t="n">
        <f aca="false">COUNTA(AA5:AA19)</f>
        <v>0</v>
      </c>
      <c r="AB20" s="73" t="n">
        <f aca="false">COUNTA(AB5:AB19)</f>
        <v>0</v>
      </c>
      <c r="AC20" s="73" t="n">
        <f aca="false">COUNTA(AC5:AC19)</f>
        <v>0</v>
      </c>
      <c r="AD20" s="73" t="n">
        <f aca="false">COUNTA(AD5:AD19)</f>
        <v>0</v>
      </c>
      <c r="AE20" s="73" t="n">
        <f aca="false">COUNTA(AE5:AE19)</f>
        <v>0</v>
      </c>
      <c r="AF20" s="73" t="n">
        <f aca="false">COUNTA(AF5:AF19)</f>
        <v>0</v>
      </c>
      <c r="AG20" s="73" t="n">
        <f aca="false">COUNTA(AG5:AG19)</f>
        <v>0</v>
      </c>
    </row>
    <row r="21" customFormat="false" ht="14.25" hidden="false" customHeight="true" outlineLevel="0" collapsed="false">
      <c r="A21" s="74" t="s">
        <v>408</v>
      </c>
    </row>
    <row r="22" customFormat="false" ht="60" hidden="false" customHeight="true" outlineLevel="0" collapsed="false">
      <c r="A22" s="75" t="s">
        <v>409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</row>
    <row r="23" customFormat="false" ht="14.25" hidden="false" customHeight="true" outlineLevel="0" collapsed="false"/>
    <row r="24" customFormat="false" ht="14.25" hidden="false" customHeight="true" outlineLevel="0" collapsed="false">
      <c r="A24" s="76" t="s">
        <v>410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</row>
    <row r="25" customFormat="false" ht="21.75" hidden="false" customHeight="true" outlineLevel="0" collapsed="false">
      <c r="A25" s="54" t="str">
        <f aca="false">人員一覧・判定!B19</f>
        <v>中村</v>
      </c>
      <c r="F25" s="77" t="s">
        <v>411</v>
      </c>
      <c r="G25" s="77"/>
      <c r="H25" s="77"/>
      <c r="I25" s="77"/>
      <c r="J25" s="77"/>
      <c r="K25" s="77"/>
      <c r="N25" s="69" t="s">
        <v>412</v>
      </c>
      <c r="O25" s="69"/>
      <c r="P25" s="69"/>
      <c r="Q25" s="69"/>
      <c r="R25" s="69"/>
      <c r="S25" s="69"/>
    </row>
    <row r="26" customFormat="false" ht="21.75" hidden="false" customHeight="true" outlineLevel="0" collapsed="false">
      <c r="A26" s="54" t="str">
        <f aca="false">人員一覧・判定!B20</f>
        <v>山口</v>
      </c>
      <c r="F26" s="69" t="s">
        <v>342</v>
      </c>
      <c r="G26" s="69"/>
      <c r="H26" s="69"/>
      <c r="I26" s="69"/>
      <c r="J26" s="69"/>
      <c r="K26" s="69"/>
      <c r="N26" s="69" t="s">
        <v>413</v>
      </c>
      <c r="O26" s="69"/>
      <c r="P26" s="69"/>
      <c r="Q26" s="69"/>
      <c r="R26" s="69"/>
      <c r="S26" s="69"/>
    </row>
    <row r="27" customFormat="false" ht="21.75" hidden="false" customHeight="true" outlineLevel="0" collapsed="false">
      <c r="A27" s="54" t="str">
        <f aca="false">人員一覧・判定!B22</f>
        <v>寺坂　佳津子</v>
      </c>
      <c r="N27" s="78" t="s">
        <v>349</v>
      </c>
      <c r="O27" s="78"/>
      <c r="P27" s="78"/>
      <c r="Q27" s="78"/>
      <c r="R27" s="78"/>
      <c r="S27" s="78"/>
    </row>
    <row r="28" customFormat="false" ht="21.75" hidden="false" customHeight="true" outlineLevel="0" collapsed="false">
      <c r="A28" s="54" t="str">
        <f aca="false">人員一覧・判定!B21</f>
        <v>伊達 孝</v>
      </c>
      <c r="N28" s="79" t="s">
        <v>414</v>
      </c>
      <c r="O28" s="79"/>
      <c r="P28" s="79"/>
      <c r="Q28" s="79"/>
      <c r="R28" s="79"/>
      <c r="S28" s="79"/>
    </row>
    <row r="29" customFormat="false" ht="14.25" hidden="false" customHeight="true" outlineLevel="0" collapsed="false">
      <c r="A29" s="74" t="s">
        <v>415</v>
      </c>
    </row>
  </sheetData>
  <mergeCells count="52">
    <mergeCell ref="B4:K4"/>
    <mergeCell ref="L4:S4"/>
    <mergeCell ref="T4:X4"/>
    <mergeCell ref="Y4:AB4"/>
    <mergeCell ref="X6:AC6"/>
    <mergeCell ref="H7:J7"/>
    <mergeCell ref="X7:AC7"/>
    <mergeCell ref="F8:K8"/>
    <mergeCell ref="W8:AC8"/>
    <mergeCell ref="F9:K9"/>
    <mergeCell ref="T9:X9"/>
    <mergeCell ref="Y9:AC9"/>
    <mergeCell ref="F10:G10"/>
    <mergeCell ref="H10:J10"/>
    <mergeCell ref="N10:S10"/>
    <mergeCell ref="T10:AC10"/>
    <mergeCell ref="F11:K11"/>
    <mergeCell ref="T11:X11"/>
    <mergeCell ref="Y11:AC11"/>
    <mergeCell ref="D12:Q12"/>
    <mergeCell ref="T12:X12"/>
    <mergeCell ref="Y12:AC12"/>
    <mergeCell ref="D13:Q13"/>
    <mergeCell ref="T13:X13"/>
    <mergeCell ref="Y13:AC13"/>
    <mergeCell ref="F14:K14"/>
    <mergeCell ref="N14:S14"/>
    <mergeCell ref="W14:AC14"/>
    <mergeCell ref="F15:K15"/>
    <mergeCell ref="T15:V15"/>
    <mergeCell ref="W15:AC15"/>
    <mergeCell ref="F16:K16"/>
    <mergeCell ref="T16:V16"/>
    <mergeCell ref="W16:AC16"/>
    <mergeCell ref="F17:I17"/>
    <mergeCell ref="J17:K17"/>
    <mergeCell ref="T17:X17"/>
    <mergeCell ref="Y17:AC17"/>
    <mergeCell ref="F18:K18"/>
    <mergeCell ref="T18:X18"/>
    <mergeCell ref="Y18:AC18"/>
    <mergeCell ref="F19:Q19"/>
    <mergeCell ref="T19:V19"/>
    <mergeCell ref="W19:AC19"/>
    <mergeCell ref="A22:T22"/>
    <mergeCell ref="A24:L24"/>
    <mergeCell ref="F25:K25"/>
    <mergeCell ref="N25:S25"/>
    <mergeCell ref="F26:K26"/>
    <mergeCell ref="N26:S26"/>
    <mergeCell ref="N27:S27"/>
    <mergeCell ref="N28:S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E18" activeCellId="0" sqref="AE18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33" min="2" style="1" width="4.22"/>
  </cols>
  <sheetData>
    <row r="1" customFormat="false" ht="15" hidden="false" customHeight="true" outlineLevel="0" collapsed="false">
      <c r="A1" s="57" t="s">
        <v>416</v>
      </c>
    </row>
    <row r="3" customFormat="false" ht="14.25" hidden="false" customHeight="true" outlineLevel="0" collapsed="false">
      <c r="B3" s="58" t="s">
        <v>356</v>
      </c>
      <c r="C3" s="58"/>
      <c r="D3" s="58" t="s">
        <v>357</v>
      </c>
      <c r="E3" s="58"/>
      <c r="F3" s="58" t="s">
        <v>358</v>
      </c>
      <c r="G3" s="58"/>
      <c r="H3" s="58" t="s">
        <v>359</v>
      </c>
      <c r="I3" s="58"/>
      <c r="J3" s="58" t="s">
        <v>360</v>
      </c>
      <c r="K3" s="58"/>
      <c r="L3" s="58" t="s">
        <v>361</v>
      </c>
      <c r="M3" s="58"/>
      <c r="N3" s="58" t="s">
        <v>362</v>
      </c>
      <c r="O3" s="58"/>
      <c r="P3" s="58" t="s">
        <v>363</v>
      </c>
      <c r="Q3" s="58"/>
      <c r="R3" s="58" t="s">
        <v>364</v>
      </c>
      <c r="S3" s="58"/>
      <c r="T3" s="58" t="s">
        <v>365</v>
      </c>
      <c r="U3" s="58"/>
      <c r="V3" s="58" t="s">
        <v>366</v>
      </c>
      <c r="W3" s="58"/>
      <c r="X3" s="58" t="s">
        <v>367</v>
      </c>
      <c r="Y3" s="58"/>
      <c r="Z3" s="58" t="s">
        <v>368</v>
      </c>
      <c r="AA3" s="58"/>
      <c r="AB3" s="58" t="s">
        <v>369</v>
      </c>
      <c r="AC3" s="58"/>
      <c r="AD3" s="58" t="s">
        <v>370</v>
      </c>
      <c r="AE3" s="58"/>
      <c r="AF3" s="58" t="s">
        <v>371</v>
      </c>
      <c r="AG3" s="58"/>
    </row>
    <row r="4" customFormat="false" ht="30" hidden="false" customHeight="true" outlineLevel="0" collapsed="false">
      <c r="A4" s="59" t="s">
        <v>190</v>
      </c>
      <c r="C4" s="60" t="s">
        <v>417</v>
      </c>
      <c r="D4" s="60"/>
      <c r="E4" s="60"/>
      <c r="F4" s="60"/>
      <c r="H4" s="80" t="s">
        <v>418</v>
      </c>
      <c r="I4" s="80" t="s">
        <v>419</v>
      </c>
      <c r="J4" s="80"/>
      <c r="K4" s="80" t="s">
        <v>420</v>
      </c>
      <c r="L4" s="80"/>
      <c r="M4" s="80" t="s">
        <v>421</v>
      </c>
      <c r="N4" s="80" t="s">
        <v>422</v>
      </c>
      <c r="O4" s="80"/>
      <c r="P4" s="80"/>
      <c r="Q4" s="80"/>
      <c r="R4" s="80"/>
      <c r="S4" s="80" t="s">
        <v>423</v>
      </c>
      <c r="T4" s="80"/>
      <c r="W4" s="80" t="s">
        <v>424</v>
      </c>
      <c r="X4" s="80"/>
      <c r="Y4" s="80" t="s">
        <v>425</v>
      </c>
      <c r="Z4" s="80"/>
      <c r="AA4" s="80"/>
      <c r="AB4" s="80"/>
      <c r="AC4" s="80"/>
    </row>
    <row r="5" customFormat="false" ht="3.75" hidden="false" customHeight="true" outlineLevel="0" collapsed="false">
      <c r="A5" s="59"/>
      <c r="C5" s="61"/>
      <c r="D5" s="61"/>
      <c r="E5" s="61"/>
      <c r="F5" s="61"/>
      <c r="H5" s="80"/>
      <c r="I5" s="80"/>
      <c r="J5" s="80"/>
      <c r="K5" s="81"/>
      <c r="L5" s="81"/>
      <c r="M5" s="80"/>
      <c r="N5" s="80"/>
      <c r="O5" s="80"/>
      <c r="P5" s="80"/>
      <c r="Q5" s="80"/>
      <c r="R5" s="80"/>
      <c r="S5" s="80"/>
      <c r="T5" s="80"/>
      <c r="W5" s="80"/>
      <c r="X5" s="80"/>
      <c r="Y5" s="80"/>
      <c r="Z5" s="80"/>
      <c r="AA5" s="80"/>
      <c r="AB5" s="80"/>
      <c r="AC5" s="80"/>
    </row>
    <row r="6" customFormat="false" ht="21.75" hidden="false" customHeight="true" outlineLevel="0" collapsed="false">
      <c r="A6" s="43" t="str">
        <f aca="false">人員一覧・判定!B5</f>
        <v>三浦 房紀</v>
      </c>
      <c r="G6" s="82" t="s">
        <v>207</v>
      </c>
      <c r="H6" s="82"/>
      <c r="I6" s="82"/>
      <c r="J6" s="82"/>
      <c r="M6" s="83" t="s">
        <v>426</v>
      </c>
      <c r="N6" s="83" t="s">
        <v>427</v>
      </c>
      <c r="O6" s="83"/>
      <c r="P6" s="83"/>
      <c r="Q6" s="83"/>
      <c r="R6" s="83"/>
      <c r="S6" s="83" t="s">
        <v>428</v>
      </c>
      <c r="T6" s="83"/>
      <c r="W6" s="80" t="s">
        <v>429</v>
      </c>
      <c r="X6" s="80"/>
      <c r="Y6" s="80"/>
      <c r="Z6" s="80"/>
      <c r="AA6" s="80"/>
      <c r="AB6" s="80"/>
      <c r="AC6" s="80"/>
    </row>
    <row r="7" customFormat="false" ht="21.75" hidden="false" customHeight="true" outlineLevel="0" collapsed="false">
      <c r="A7" s="43" t="str">
        <f aca="false">人員一覧・判定!B6</f>
        <v>北本 政行</v>
      </c>
      <c r="G7" s="82" t="s">
        <v>207</v>
      </c>
      <c r="H7" s="82"/>
      <c r="I7" s="82"/>
      <c r="J7" s="82"/>
      <c r="M7" s="83" t="s">
        <v>430</v>
      </c>
      <c r="N7" s="83"/>
      <c r="O7" s="83"/>
      <c r="P7" s="83"/>
      <c r="Q7" s="83"/>
      <c r="R7" s="83"/>
      <c r="S7" s="83" t="s">
        <v>428</v>
      </c>
      <c r="T7" s="83"/>
      <c r="W7" s="80" t="s">
        <v>429</v>
      </c>
      <c r="X7" s="80"/>
      <c r="Y7" s="80"/>
      <c r="Z7" s="80"/>
      <c r="AA7" s="80"/>
      <c r="AB7" s="80"/>
      <c r="AC7" s="80"/>
    </row>
    <row r="8" customFormat="false" ht="21.75" hidden="false" customHeight="true" outlineLevel="0" collapsed="false">
      <c r="A8" s="43" t="str">
        <f aca="false">人員一覧・判定!B7</f>
        <v>宮木 一寛</v>
      </c>
      <c r="F8" s="62" t="s">
        <v>431</v>
      </c>
      <c r="G8" s="62"/>
      <c r="H8" s="62"/>
      <c r="I8" s="62"/>
      <c r="J8" s="62"/>
      <c r="M8" s="83" t="s">
        <v>432</v>
      </c>
      <c r="N8" s="83"/>
      <c r="O8" s="83"/>
      <c r="P8" s="83"/>
      <c r="Q8" s="83"/>
      <c r="R8" s="83"/>
      <c r="S8" s="83" t="s">
        <v>433</v>
      </c>
      <c r="T8" s="83"/>
      <c r="W8" s="80" t="s">
        <v>434</v>
      </c>
      <c r="X8" s="80"/>
      <c r="Y8" s="80"/>
      <c r="Z8" s="80"/>
      <c r="AA8" s="80"/>
      <c r="AB8" s="80"/>
      <c r="AC8" s="80"/>
    </row>
    <row r="9" customFormat="false" ht="21.75" hidden="false" customHeight="true" outlineLevel="0" collapsed="false">
      <c r="A9" s="43" t="str">
        <f aca="false">人員一覧・判定!B8</f>
        <v>児玉 美樹</v>
      </c>
      <c r="C9" s="64" t="s">
        <v>435</v>
      </c>
      <c r="D9" s="64"/>
      <c r="E9" s="64"/>
      <c r="F9" s="64"/>
      <c r="G9" s="62" t="s">
        <v>436</v>
      </c>
      <c r="H9" s="62"/>
      <c r="I9" s="62"/>
      <c r="J9" s="62"/>
      <c r="M9" s="83" t="s">
        <v>437</v>
      </c>
      <c r="N9" s="83"/>
      <c r="O9" s="83"/>
      <c r="P9" s="83"/>
      <c r="Q9" s="83"/>
      <c r="R9" s="83"/>
      <c r="S9" s="83" t="s">
        <v>428</v>
      </c>
      <c r="T9" s="83"/>
      <c r="V9" s="80" t="s">
        <v>438</v>
      </c>
      <c r="W9" s="80"/>
      <c r="X9" s="80"/>
      <c r="Y9" s="80"/>
      <c r="Z9" s="80"/>
      <c r="AA9" s="80"/>
      <c r="AB9" s="80"/>
      <c r="AC9" s="80"/>
    </row>
    <row r="10" customFormat="false" ht="21.75" hidden="false" customHeight="true" outlineLevel="0" collapsed="false">
      <c r="A10" s="43" t="str">
        <f aca="false">人員一覧・判定!B9</f>
        <v>荒木田 勝</v>
      </c>
      <c r="C10" s="64" t="s">
        <v>439</v>
      </c>
      <c r="D10" s="64"/>
      <c r="E10" s="64"/>
      <c r="F10" s="64"/>
      <c r="G10" s="82" t="s">
        <v>440</v>
      </c>
      <c r="H10" s="82"/>
      <c r="I10" s="82"/>
      <c r="J10" s="82"/>
      <c r="M10" s="83" t="s">
        <v>441</v>
      </c>
      <c r="N10" s="65" t="s">
        <v>442</v>
      </c>
      <c r="O10" s="65"/>
      <c r="P10" s="65"/>
      <c r="Q10" s="65"/>
      <c r="R10" s="65"/>
      <c r="S10" s="83" t="s">
        <v>443</v>
      </c>
      <c r="T10" s="83"/>
      <c r="W10" s="80" t="s">
        <v>429</v>
      </c>
      <c r="X10" s="80"/>
      <c r="Y10" s="80"/>
      <c r="Z10" s="80"/>
      <c r="AA10" s="80"/>
      <c r="AB10" s="80"/>
      <c r="AC10" s="80"/>
    </row>
    <row r="11" customFormat="false" ht="21.75" hidden="false" customHeight="true" outlineLevel="0" collapsed="false">
      <c r="A11" s="43" t="str">
        <f aca="false">人員一覧・判定!B10</f>
        <v>吉田 真紀</v>
      </c>
      <c r="D11" s="84" t="s">
        <v>444</v>
      </c>
      <c r="E11" s="84"/>
      <c r="F11" s="84"/>
      <c r="G11" s="66" t="s">
        <v>445</v>
      </c>
      <c r="H11" s="66"/>
      <c r="I11" s="66"/>
      <c r="J11" s="66"/>
      <c r="M11" s="83" t="s">
        <v>446</v>
      </c>
      <c r="N11" s="83"/>
      <c r="O11" s="83"/>
      <c r="P11" s="83"/>
      <c r="Q11" s="83"/>
      <c r="R11" s="83"/>
      <c r="S11" s="83" t="s">
        <v>447</v>
      </c>
      <c r="T11" s="83"/>
      <c r="V11" s="80" t="s">
        <v>448</v>
      </c>
      <c r="W11" s="80"/>
      <c r="X11" s="80"/>
      <c r="Y11" s="80"/>
      <c r="Z11" s="80"/>
      <c r="AA11" s="80"/>
      <c r="AB11" s="80"/>
      <c r="AC11" s="80"/>
    </row>
    <row r="12" customFormat="false" ht="21.75" hidden="false" customHeight="true" outlineLevel="0" collapsed="false">
      <c r="A12" s="43" t="str">
        <f aca="false">人員一覧・判定!B11</f>
        <v>藤中 純子</v>
      </c>
      <c r="D12" s="85" t="s">
        <v>449</v>
      </c>
      <c r="E12" s="85"/>
      <c r="F12" s="85"/>
      <c r="G12" s="85"/>
      <c r="H12" s="85"/>
      <c r="I12" s="85"/>
      <c r="J12" s="85"/>
      <c r="K12" s="85"/>
      <c r="L12" s="85"/>
      <c r="M12" s="66" t="s">
        <v>450</v>
      </c>
      <c r="N12" s="66"/>
      <c r="O12" s="66"/>
      <c r="P12" s="66"/>
      <c r="Q12" s="66"/>
      <c r="R12" s="66"/>
      <c r="S12" s="83" t="s">
        <v>451</v>
      </c>
      <c r="T12" s="83"/>
      <c r="W12" s="80" t="s">
        <v>429</v>
      </c>
      <c r="X12" s="80"/>
      <c r="Y12" s="80"/>
      <c r="Z12" s="80"/>
      <c r="AA12" s="80"/>
      <c r="AB12" s="80"/>
      <c r="AC12" s="80"/>
    </row>
    <row r="13" customFormat="false" ht="21.75" hidden="false" customHeight="true" outlineLevel="0" collapsed="false">
      <c r="A13" s="43" t="str">
        <f aca="false">人員一覧・判定!B12</f>
        <v>田中 智美</v>
      </c>
      <c r="D13" s="85" t="s">
        <v>449</v>
      </c>
      <c r="E13" s="85"/>
      <c r="F13" s="85"/>
      <c r="G13" s="85"/>
      <c r="H13" s="85"/>
      <c r="I13" s="85"/>
      <c r="J13" s="85"/>
      <c r="K13" s="85"/>
      <c r="L13" s="85"/>
      <c r="M13" s="66" t="s">
        <v>450</v>
      </c>
      <c r="N13" s="66"/>
      <c r="O13" s="66"/>
      <c r="P13" s="66"/>
      <c r="Q13" s="66"/>
      <c r="R13" s="66"/>
      <c r="S13" s="66" t="s">
        <v>452</v>
      </c>
      <c r="T13" s="66"/>
      <c r="V13" s="80" t="s">
        <v>453</v>
      </c>
      <c r="W13" s="80"/>
      <c r="X13" s="80"/>
      <c r="Y13" s="80"/>
      <c r="Z13" s="80"/>
      <c r="AA13" s="80"/>
      <c r="AB13" s="80"/>
      <c r="AC13" s="80"/>
    </row>
    <row r="14" customFormat="false" ht="21.75" hidden="false" customHeight="true" outlineLevel="0" collapsed="false">
      <c r="A14" s="43" t="str">
        <f aca="false">人員一覧・判定!B13</f>
        <v>池田　誠</v>
      </c>
      <c r="C14" s="64" t="s">
        <v>454</v>
      </c>
      <c r="D14" s="64"/>
      <c r="E14" s="64"/>
      <c r="F14" s="64"/>
      <c r="G14" s="65" t="s">
        <v>455</v>
      </c>
      <c r="H14" s="65"/>
      <c r="I14" s="65"/>
      <c r="J14" s="65"/>
      <c r="M14" s="65" t="s">
        <v>456</v>
      </c>
      <c r="N14" s="65"/>
      <c r="O14" s="65"/>
      <c r="P14" s="65"/>
      <c r="Q14" s="65"/>
      <c r="R14" s="65"/>
      <c r="S14" s="65" t="s">
        <v>457</v>
      </c>
      <c r="T14" s="65"/>
      <c r="W14" s="80" t="s">
        <v>429</v>
      </c>
      <c r="X14" s="80"/>
      <c r="Y14" s="80"/>
      <c r="Z14" s="80"/>
      <c r="AA14" s="80"/>
      <c r="AB14" s="80"/>
      <c r="AC14" s="80"/>
    </row>
    <row r="15" customFormat="false" ht="21.75" hidden="false" customHeight="true" outlineLevel="0" collapsed="false">
      <c r="A15" s="68" t="str">
        <f aca="false">人員一覧・判定!C14</f>
        <v>Gerald Ejem Potutan</v>
      </c>
      <c r="C15" s="13" t="s">
        <v>458</v>
      </c>
      <c r="D15" s="63" t="s">
        <v>459</v>
      </c>
      <c r="E15" s="63"/>
      <c r="F15" s="63"/>
      <c r="G15" s="83" t="s">
        <v>297</v>
      </c>
      <c r="H15" s="83"/>
      <c r="I15" s="83"/>
      <c r="J15" s="83"/>
      <c r="M15" s="83" t="s">
        <v>460</v>
      </c>
      <c r="N15" s="83"/>
      <c r="O15" s="83"/>
      <c r="P15" s="83"/>
      <c r="Q15" s="83"/>
      <c r="R15" s="83"/>
      <c r="S15" s="83" t="s">
        <v>461</v>
      </c>
      <c r="T15" s="83"/>
      <c r="W15" s="80" t="s">
        <v>429</v>
      </c>
      <c r="X15" s="80"/>
      <c r="Y15" s="80"/>
      <c r="Z15" s="80"/>
      <c r="AA15" s="80"/>
      <c r="AB15" s="80"/>
      <c r="AC15" s="80"/>
      <c r="AD15" s="84" t="s">
        <v>462</v>
      </c>
      <c r="AE15" s="84"/>
      <c r="AF15" s="84"/>
    </row>
    <row r="16" customFormat="false" ht="21.75" hidden="false" customHeight="true" outlineLevel="0" collapsed="false">
      <c r="A16" s="43" t="str">
        <f aca="false">人員一覧・判定!C15</f>
        <v>Mizan Bisri</v>
      </c>
      <c r="C16" s="13" t="s">
        <v>458</v>
      </c>
      <c r="D16" s="63" t="s">
        <v>459</v>
      </c>
      <c r="E16" s="63"/>
      <c r="F16" s="63"/>
      <c r="G16" s="83" t="s">
        <v>297</v>
      </c>
      <c r="H16" s="83"/>
      <c r="I16" s="83"/>
      <c r="J16" s="83"/>
      <c r="M16" s="83" t="s">
        <v>463</v>
      </c>
      <c r="N16" s="83"/>
      <c r="O16" s="83"/>
      <c r="P16" s="83"/>
      <c r="Q16" s="83"/>
      <c r="R16" s="83"/>
      <c r="S16" s="63" t="s">
        <v>464</v>
      </c>
      <c r="T16" s="63"/>
      <c r="W16" s="80" t="s">
        <v>429</v>
      </c>
      <c r="X16" s="80"/>
      <c r="Y16" s="80"/>
      <c r="Z16" s="80"/>
      <c r="AA16" s="80"/>
      <c r="AB16" s="80"/>
      <c r="AC16" s="80"/>
    </row>
    <row r="17" customFormat="false" ht="21.75" hidden="false" customHeight="true" outlineLevel="0" collapsed="false">
      <c r="A17" s="47" t="str">
        <f aca="false">人員一覧・判定!B18</f>
        <v>森口　芳隆</v>
      </c>
      <c r="C17" s="69" t="s">
        <v>465</v>
      </c>
      <c r="D17" s="69"/>
      <c r="E17" s="69"/>
      <c r="F17" s="69"/>
      <c r="G17" s="86" t="s">
        <v>466</v>
      </c>
      <c r="H17" s="86"/>
      <c r="I17" s="86"/>
      <c r="J17" s="86"/>
      <c r="M17" s="86" t="s">
        <v>467</v>
      </c>
      <c r="N17" s="86"/>
      <c r="O17" s="86"/>
      <c r="P17" s="86"/>
      <c r="Q17" s="86"/>
      <c r="R17" s="86"/>
      <c r="S17" s="86" t="s">
        <v>468</v>
      </c>
      <c r="T17" s="86"/>
      <c r="W17" s="87" t="s">
        <v>429</v>
      </c>
      <c r="X17" s="87"/>
      <c r="Y17" s="87"/>
      <c r="Z17" s="87"/>
      <c r="AA17" s="87"/>
      <c r="AB17" s="87"/>
      <c r="AC17" s="87"/>
    </row>
    <row r="18" customFormat="false" ht="21.75" hidden="false" customHeight="true" outlineLevel="0" collapsed="false">
      <c r="A18" s="43" t="str">
        <f aca="false">人員一覧・判定!B16</f>
        <v>藤本 絢子</v>
      </c>
      <c r="C18" s="64" t="s">
        <v>469</v>
      </c>
      <c r="D18" s="64"/>
      <c r="E18" s="64"/>
      <c r="F18" s="64"/>
      <c r="G18" s="64" t="s">
        <v>470</v>
      </c>
      <c r="H18" s="64"/>
      <c r="I18" s="64"/>
      <c r="J18" s="64"/>
      <c r="M18" s="64" t="s">
        <v>471</v>
      </c>
      <c r="N18" s="64"/>
      <c r="O18" s="64"/>
      <c r="P18" s="64"/>
      <c r="Q18" s="64"/>
      <c r="R18" s="64"/>
      <c r="S18" s="64"/>
      <c r="T18" s="64"/>
      <c r="W18" s="60" t="s">
        <v>472</v>
      </c>
      <c r="X18" s="60"/>
      <c r="Y18" s="60"/>
      <c r="Z18" s="60"/>
      <c r="AA18" s="60"/>
      <c r="AB18" s="60"/>
      <c r="AC18" s="60"/>
    </row>
    <row r="19" customFormat="false" ht="21.75" hidden="false" customHeight="true" outlineLevel="0" collapsed="false">
      <c r="A19" s="43" t="str">
        <f aca="false">人員一覧・判定!B17</f>
        <v>塩見 有美</v>
      </c>
      <c r="C19" s="13" t="s">
        <v>458</v>
      </c>
      <c r="D19" s="63" t="s">
        <v>459</v>
      </c>
      <c r="E19" s="63"/>
      <c r="F19" s="63"/>
      <c r="G19" s="66" t="s">
        <v>473</v>
      </c>
      <c r="H19" s="66"/>
      <c r="I19" s="66"/>
      <c r="J19" s="66"/>
      <c r="M19" s="88" t="s">
        <v>474</v>
      </c>
      <c r="N19" s="88"/>
      <c r="O19" s="88"/>
      <c r="P19" s="88"/>
      <c r="Q19" s="88"/>
      <c r="R19" s="88"/>
      <c r="S19" s="88" t="s">
        <v>475</v>
      </c>
      <c r="T19" s="88"/>
      <c r="W19" s="60" t="s">
        <v>429</v>
      </c>
      <c r="X19" s="60"/>
      <c r="Y19" s="60"/>
      <c r="Z19" s="60"/>
      <c r="AA19" s="60"/>
      <c r="AB19" s="60"/>
      <c r="AC19" s="60"/>
    </row>
    <row r="20" customFormat="false" ht="14.25" hidden="false" customHeight="true" outlineLevel="0" collapsed="false">
      <c r="A20" s="12" t="s">
        <v>407</v>
      </c>
      <c r="B20" s="73" t="n">
        <f aca="false">COUNTA(B5:B19)</f>
        <v>0</v>
      </c>
      <c r="C20" s="73" t="n">
        <f aca="false">COUNTA(C5:C19)</f>
        <v>8</v>
      </c>
      <c r="D20" s="73" t="n">
        <f aca="false">COUNTA(D5:D19)</f>
        <v>6</v>
      </c>
      <c r="E20" s="73" t="n">
        <f aca="false">COUNTA(E5:E19)</f>
        <v>0</v>
      </c>
      <c r="F20" s="73" t="n">
        <f aca="false">COUNTA(F5:F19)</f>
        <v>1</v>
      </c>
      <c r="G20" s="73" t="n">
        <f aca="false">COUNTA(G5:G19)</f>
        <v>11</v>
      </c>
      <c r="H20" s="73" t="n">
        <f aca="false">COUNTA(H5:H19)</f>
        <v>0</v>
      </c>
      <c r="I20" s="73" t="n">
        <f aca="false">COUNTA(I5:I19)</f>
        <v>0</v>
      </c>
      <c r="J20" s="73" t="n">
        <f aca="false">COUNTA(J5:J19)</f>
        <v>0</v>
      </c>
      <c r="K20" s="73" t="n">
        <f aca="false">COUNTA(K5:K19)</f>
        <v>0</v>
      </c>
      <c r="L20" s="73" t="n">
        <f aca="false">COUNTA(L5:L19)</f>
        <v>0</v>
      </c>
      <c r="M20" s="73" t="n">
        <f aca="false">COUNTA(M5:M19)</f>
        <v>14</v>
      </c>
      <c r="N20" s="73" t="n">
        <f aca="false">COUNTA(N5:N19)</f>
        <v>2</v>
      </c>
      <c r="O20" s="73" t="n">
        <f aca="false">COUNTA(O5:O19)</f>
        <v>0</v>
      </c>
      <c r="P20" s="73" t="n">
        <f aca="false">COUNTA(P5:P19)</f>
        <v>0</v>
      </c>
      <c r="Q20" s="73" t="n">
        <f aca="false">COUNTA(Q5:Q19)</f>
        <v>0</v>
      </c>
      <c r="R20" s="73" t="n">
        <f aca="false">COUNTA(R5:R19)</f>
        <v>0</v>
      </c>
      <c r="S20" s="73" t="n">
        <f aca="false">COUNTA(S5:S19)</f>
        <v>13</v>
      </c>
      <c r="T20" s="73" t="n">
        <f aca="false">COUNTA(T5:T19)</f>
        <v>0</v>
      </c>
      <c r="U20" s="73" t="n">
        <f aca="false">COUNTA(U5:U19)</f>
        <v>0</v>
      </c>
      <c r="V20" s="73" t="n">
        <f aca="false">COUNTA(V5:V19)</f>
        <v>3</v>
      </c>
      <c r="W20" s="73" t="n">
        <f aca="false">COUNTA(W5:W19)</f>
        <v>11</v>
      </c>
      <c r="X20" s="73" t="n">
        <f aca="false">COUNTA(X5:X19)</f>
        <v>0</v>
      </c>
      <c r="Y20" s="73" t="n">
        <f aca="false">COUNTA(Y5:Y19)</f>
        <v>0</v>
      </c>
      <c r="Z20" s="73" t="n">
        <f aca="false">COUNTA(Z5:Z19)</f>
        <v>0</v>
      </c>
      <c r="AA20" s="73" t="n">
        <f aca="false">COUNTA(AA5:AA19)</f>
        <v>0</v>
      </c>
      <c r="AB20" s="73" t="n">
        <f aca="false">COUNTA(AB5:AB19)</f>
        <v>0</v>
      </c>
      <c r="AC20" s="73" t="n">
        <f aca="false">COUNTA(AC5:AC19)</f>
        <v>0</v>
      </c>
      <c r="AD20" s="73" t="n">
        <f aca="false">COUNTA(AD5:AD19)</f>
        <v>1</v>
      </c>
      <c r="AE20" s="73" t="n">
        <f aca="false">COUNTA(AE5:AE19)</f>
        <v>0</v>
      </c>
      <c r="AF20" s="73" t="n">
        <f aca="false">COUNTA(AF5:AF19)</f>
        <v>0</v>
      </c>
      <c r="AG20" s="73" t="n">
        <f aca="false">COUNTA(AG5:AG19)</f>
        <v>0</v>
      </c>
    </row>
    <row r="21" customFormat="false" ht="14.25" hidden="false" customHeight="true" outlineLevel="0" collapsed="false">
      <c r="A21" s="74" t="s">
        <v>408</v>
      </c>
    </row>
    <row r="22" customFormat="false" ht="60" hidden="false" customHeight="true" outlineLevel="0" collapsed="false">
      <c r="A22" s="75" t="s">
        <v>476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</row>
    <row r="23" customFormat="false" ht="14.25" hidden="false" customHeight="true" outlineLevel="0" collapsed="false"/>
    <row r="24" customFormat="false" ht="14.25" hidden="false" customHeight="true" outlineLevel="0" collapsed="false">
      <c r="A24" s="76" t="s">
        <v>410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</row>
    <row r="25" customFormat="false" ht="21.75" hidden="false" customHeight="true" outlineLevel="0" collapsed="false">
      <c r="A25" s="54" t="str">
        <f aca="false">人員一覧・判定!B19</f>
        <v>中村</v>
      </c>
      <c r="D25" s="77" t="s">
        <v>477</v>
      </c>
      <c r="E25" s="77"/>
      <c r="F25" s="77"/>
      <c r="M25" s="77" t="s">
        <v>478</v>
      </c>
      <c r="N25" s="77"/>
      <c r="O25" s="77"/>
      <c r="P25" s="77"/>
      <c r="Q25" s="77"/>
      <c r="R25" s="77"/>
      <c r="S25" s="77" t="s">
        <v>479</v>
      </c>
      <c r="T25" s="77"/>
    </row>
    <row r="26" customFormat="false" ht="21.75" hidden="false" customHeight="true" outlineLevel="0" collapsed="false">
      <c r="A26" s="54" t="str">
        <f aca="false">人員一覧・判定!B20</f>
        <v>山口</v>
      </c>
      <c r="D26" s="69" t="s">
        <v>480</v>
      </c>
      <c r="E26" s="69"/>
      <c r="F26" s="69"/>
      <c r="M26" s="77" t="s">
        <v>481</v>
      </c>
      <c r="N26" s="77"/>
      <c r="O26" s="77"/>
      <c r="P26" s="77"/>
      <c r="Q26" s="77"/>
      <c r="R26" s="77"/>
      <c r="S26" s="77" t="s">
        <v>482</v>
      </c>
      <c r="T26" s="77"/>
    </row>
    <row r="27" customFormat="false" ht="21.75" hidden="false" customHeight="true" outlineLevel="0" collapsed="false">
      <c r="A27" s="54" t="str">
        <f aca="false">人員一覧・判定!B22</f>
        <v>寺坂　佳津子</v>
      </c>
      <c r="M27" s="78" t="s">
        <v>483</v>
      </c>
      <c r="N27" s="78"/>
      <c r="O27" s="78"/>
      <c r="P27" s="78"/>
      <c r="Q27" s="78"/>
      <c r="R27" s="78"/>
      <c r="S27" s="78"/>
      <c r="T27" s="78"/>
    </row>
    <row r="28" customFormat="false" ht="21.75" hidden="false" customHeight="true" outlineLevel="0" collapsed="false">
      <c r="A28" s="54" t="str">
        <f aca="false">人員一覧・判定!B21</f>
        <v>伊達 孝</v>
      </c>
      <c r="D28" s="79" t="s">
        <v>484</v>
      </c>
      <c r="E28" s="79"/>
      <c r="F28" s="79"/>
      <c r="S28" s="79" t="s">
        <v>485</v>
      </c>
      <c r="T28" s="79"/>
    </row>
    <row r="29" customFormat="false" ht="14.25" hidden="false" customHeight="true" outlineLevel="0" collapsed="false">
      <c r="A29" s="74" t="s">
        <v>415</v>
      </c>
    </row>
  </sheetData>
  <mergeCells count="83">
    <mergeCell ref="C4:F4"/>
    <mergeCell ref="I4:J4"/>
    <mergeCell ref="K4:L4"/>
    <mergeCell ref="N4:R4"/>
    <mergeCell ref="S4:T4"/>
    <mergeCell ref="W4:X4"/>
    <mergeCell ref="Y4:AC4"/>
    <mergeCell ref="G6:J6"/>
    <mergeCell ref="N6:R6"/>
    <mergeCell ref="S6:T6"/>
    <mergeCell ref="W6:AC6"/>
    <mergeCell ref="G7:J7"/>
    <mergeCell ref="M7:R7"/>
    <mergeCell ref="S7:T7"/>
    <mergeCell ref="W7:AC7"/>
    <mergeCell ref="F8:J8"/>
    <mergeCell ref="M8:R8"/>
    <mergeCell ref="S8:T8"/>
    <mergeCell ref="W8:AC8"/>
    <mergeCell ref="C9:F9"/>
    <mergeCell ref="G9:J9"/>
    <mergeCell ref="M9:R9"/>
    <mergeCell ref="S9:T9"/>
    <mergeCell ref="V9:AC9"/>
    <mergeCell ref="C10:F10"/>
    <mergeCell ref="G10:J10"/>
    <mergeCell ref="N10:R10"/>
    <mergeCell ref="S10:T10"/>
    <mergeCell ref="W10:AC10"/>
    <mergeCell ref="D11:F11"/>
    <mergeCell ref="G11:J11"/>
    <mergeCell ref="M11:R11"/>
    <mergeCell ref="S11:T11"/>
    <mergeCell ref="V11:AC11"/>
    <mergeCell ref="D12:L12"/>
    <mergeCell ref="M12:R12"/>
    <mergeCell ref="S12:T12"/>
    <mergeCell ref="W12:AC12"/>
    <mergeCell ref="D13:L13"/>
    <mergeCell ref="M13:R13"/>
    <mergeCell ref="S13:T13"/>
    <mergeCell ref="V13:AC13"/>
    <mergeCell ref="C14:F14"/>
    <mergeCell ref="G14:J14"/>
    <mergeCell ref="M14:R14"/>
    <mergeCell ref="S14:T14"/>
    <mergeCell ref="W14:AC14"/>
    <mergeCell ref="D15:F15"/>
    <mergeCell ref="G15:J15"/>
    <mergeCell ref="M15:R15"/>
    <mergeCell ref="S15:T15"/>
    <mergeCell ref="W15:AC15"/>
    <mergeCell ref="AD15:AF15"/>
    <mergeCell ref="D16:F16"/>
    <mergeCell ref="G16:J16"/>
    <mergeCell ref="M16:R16"/>
    <mergeCell ref="S16:T16"/>
    <mergeCell ref="W16:AC16"/>
    <mergeCell ref="C17:F17"/>
    <mergeCell ref="G17:J17"/>
    <mergeCell ref="M17:R17"/>
    <mergeCell ref="S17:T17"/>
    <mergeCell ref="W17:AC17"/>
    <mergeCell ref="C18:F18"/>
    <mergeCell ref="G18:J18"/>
    <mergeCell ref="M18:T18"/>
    <mergeCell ref="W18:AC18"/>
    <mergeCell ref="D19:F19"/>
    <mergeCell ref="G19:J19"/>
    <mergeCell ref="M19:R19"/>
    <mergeCell ref="S19:T19"/>
    <mergeCell ref="W19:AC19"/>
    <mergeCell ref="A22:T22"/>
    <mergeCell ref="A24:L24"/>
    <mergeCell ref="D25:F25"/>
    <mergeCell ref="M25:R25"/>
    <mergeCell ref="S25:T25"/>
    <mergeCell ref="D26:F26"/>
    <mergeCell ref="M26:R26"/>
    <mergeCell ref="S26:T26"/>
    <mergeCell ref="M27:T27"/>
    <mergeCell ref="D28:F28"/>
    <mergeCell ref="S28:T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B24" activeCellId="0" sqref="AB24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33" min="2" style="1" width="4.22"/>
  </cols>
  <sheetData>
    <row r="1" customFormat="false" ht="15" hidden="false" customHeight="true" outlineLevel="0" collapsed="false">
      <c r="A1" s="57" t="s">
        <v>486</v>
      </c>
    </row>
    <row r="3" customFormat="false" ht="14.25" hidden="false" customHeight="true" outlineLevel="0" collapsed="false">
      <c r="B3" s="58" t="s">
        <v>356</v>
      </c>
      <c r="C3" s="58"/>
      <c r="D3" s="58" t="s">
        <v>357</v>
      </c>
      <c r="E3" s="58"/>
      <c r="F3" s="58" t="s">
        <v>358</v>
      </c>
      <c r="G3" s="58"/>
      <c r="H3" s="58" t="s">
        <v>359</v>
      </c>
      <c r="I3" s="58"/>
      <c r="J3" s="58" t="s">
        <v>360</v>
      </c>
      <c r="K3" s="58"/>
      <c r="L3" s="58" t="s">
        <v>361</v>
      </c>
      <c r="M3" s="58"/>
      <c r="N3" s="58" t="s">
        <v>362</v>
      </c>
      <c r="O3" s="58"/>
      <c r="P3" s="58" t="s">
        <v>363</v>
      </c>
      <c r="Q3" s="58"/>
      <c r="R3" s="58" t="s">
        <v>364</v>
      </c>
      <c r="S3" s="58"/>
      <c r="T3" s="58" t="s">
        <v>365</v>
      </c>
      <c r="U3" s="58"/>
      <c r="V3" s="58" t="s">
        <v>366</v>
      </c>
      <c r="W3" s="58"/>
      <c r="X3" s="58" t="s">
        <v>367</v>
      </c>
      <c r="Y3" s="58"/>
      <c r="Z3" s="58" t="s">
        <v>368</v>
      </c>
      <c r="AA3" s="58"/>
      <c r="AB3" s="58" t="s">
        <v>369</v>
      </c>
      <c r="AC3" s="58"/>
      <c r="AD3" s="58" t="s">
        <v>370</v>
      </c>
      <c r="AE3" s="58"/>
      <c r="AF3" s="58" t="s">
        <v>371</v>
      </c>
      <c r="AG3" s="58"/>
    </row>
    <row r="4" customFormat="false" ht="30" hidden="false" customHeight="true" outlineLevel="0" collapsed="false">
      <c r="A4" s="59" t="s">
        <v>190</v>
      </c>
      <c r="D4" s="60" t="s">
        <v>487</v>
      </c>
      <c r="E4" s="60"/>
      <c r="F4" s="60"/>
      <c r="G4" s="80" t="s">
        <v>488</v>
      </c>
      <c r="H4" s="80"/>
      <c r="I4" s="80"/>
      <c r="J4" s="80"/>
      <c r="K4" s="80" t="s">
        <v>489</v>
      </c>
      <c r="L4" s="80" t="s">
        <v>490</v>
      </c>
      <c r="M4" s="80"/>
      <c r="N4" s="80" t="s">
        <v>491</v>
      </c>
      <c r="O4" s="80"/>
      <c r="P4" s="80"/>
      <c r="Q4" s="80"/>
      <c r="R4" s="80"/>
      <c r="S4" s="80"/>
      <c r="T4" s="80"/>
      <c r="U4" s="80"/>
      <c r="Y4" s="80" t="s">
        <v>492</v>
      </c>
      <c r="Z4" s="80"/>
      <c r="AA4" s="80"/>
      <c r="AB4" s="80" t="s">
        <v>493</v>
      </c>
      <c r="AC4" s="80"/>
      <c r="AD4" s="80"/>
    </row>
    <row r="5" customFormat="false" ht="3.75" hidden="false" customHeight="true" outlineLevel="0" collapsed="false">
      <c r="A5" s="59"/>
      <c r="D5" s="61"/>
      <c r="E5" s="61"/>
      <c r="F5" s="61"/>
      <c r="G5" s="80"/>
      <c r="H5" s="80"/>
      <c r="I5" s="80"/>
      <c r="J5" s="80"/>
      <c r="K5" s="80"/>
      <c r="L5" s="81"/>
      <c r="M5" s="81"/>
      <c r="N5" s="80"/>
      <c r="O5" s="80"/>
      <c r="P5" s="80"/>
      <c r="Q5" s="80"/>
      <c r="R5" s="80"/>
      <c r="S5" s="80"/>
      <c r="T5" s="80"/>
      <c r="U5" s="80"/>
      <c r="Y5" s="80"/>
      <c r="Z5" s="80"/>
      <c r="AA5" s="80"/>
      <c r="AB5" s="80"/>
      <c r="AC5" s="80"/>
      <c r="AD5" s="80"/>
    </row>
    <row r="6" customFormat="false" ht="21.75" hidden="false" customHeight="true" outlineLevel="0" collapsed="false">
      <c r="A6" s="43" t="str">
        <f aca="false">人員一覧・判定!B5</f>
        <v>三浦 房紀</v>
      </c>
      <c r="G6" s="83" t="s">
        <v>209</v>
      </c>
      <c r="H6" s="83"/>
      <c r="I6" s="83"/>
      <c r="J6" s="83"/>
      <c r="K6" s="83"/>
      <c r="N6" s="89" t="s">
        <v>494</v>
      </c>
      <c r="O6" s="89"/>
      <c r="P6" s="89"/>
      <c r="Q6" s="89"/>
      <c r="R6" s="89"/>
      <c r="S6" s="89"/>
      <c r="T6" s="89"/>
      <c r="U6" s="89"/>
      <c r="X6" s="90"/>
      <c r="Y6" s="80" t="s">
        <v>495</v>
      </c>
      <c r="Z6" s="80"/>
      <c r="AA6" s="80"/>
      <c r="AB6" s="80"/>
      <c r="AC6" s="80"/>
      <c r="AD6" s="80"/>
    </row>
    <row r="7" customFormat="false" ht="21.75" hidden="false" customHeight="true" outlineLevel="0" collapsed="false">
      <c r="A7" s="43" t="str">
        <f aca="false">人員一覧・判定!B6</f>
        <v>北本 政行</v>
      </c>
      <c r="G7" s="83" t="s">
        <v>209</v>
      </c>
      <c r="H7" s="83"/>
      <c r="I7" s="83"/>
      <c r="J7" s="83"/>
      <c r="K7" s="83"/>
      <c r="N7" s="89" t="s">
        <v>494</v>
      </c>
      <c r="O7" s="89"/>
      <c r="P7" s="89"/>
      <c r="Q7" s="89"/>
      <c r="R7" s="89"/>
      <c r="S7" s="89"/>
      <c r="T7" s="89"/>
      <c r="U7" s="89"/>
      <c r="X7" s="90"/>
      <c r="Y7" s="80" t="s">
        <v>495</v>
      </c>
      <c r="Z7" s="80"/>
      <c r="AA7" s="80"/>
      <c r="AB7" s="80"/>
      <c r="AC7" s="80"/>
      <c r="AD7" s="80"/>
    </row>
    <row r="8" customFormat="false" ht="21.75" hidden="false" customHeight="true" outlineLevel="0" collapsed="false">
      <c r="A8" s="43" t="str">
        <f aca="false">人員一覧・判定!B7</f>
        <v>宮木 一寛</v>
      </c>
      <c r="G8" s="83" t="s">
        <v>496</v>
      </c>
      <c r="H8" s="83"/>
      <c r="I8" s="83"/>
      <c r="J8" s="83"/>
      <c r="K8" s="83"/>
      <c r="N8" s="89" t="s">
        <v>494</v>
      </c>
      <c r="O8" s="89"/>
      <c r="P8" s="89"/>
      <c r="Q8" s="89"/>
      <c r="R8" s="89"/>
      <c r="S8" s="89"/>
      <c r="T8" s="89"/>
      <c r="U8" s="89"/>
      <c r="X8" s="90"/>
      <c r="Y8" s="80" t="s">
        <v>495</v>
      </c>
      <c r="Z8" s="80"/>
      <c r="AA8" s="80"/>
      <c r="AB8" s="80"/>
      <c r="AC8" s="80"/>
      <c r="AD8" s="80"/>
    </row>
    <row r="9" customFormat="false" ht="21.75" hidden="false" customHeight="true" outlineLevel="0" collapsed="false">
      <c r="A9" s="43" t="str">
        <f aca="false">人員一覧・判定!B8</f>
        <v>児玉 美樹</v>
      </c>
      <c r="D9" s="64" t="s">
        <v>497</v>
      </c>
      <c r="E9" s="64"/>
      <c r="F9" s="64"/>
      <c r="G9" s="83" t="s">
        <v>498</v>
      </c>
      <c r="H9" s="83"/>
      <c r="I9" s="83"/>
      <c r="J9" s="83"/>
      <c r="K9" s="83"/>
      <c r="N9" s="91" t="s">
        <v>499</v>
      </c>
      <c r="O9" s="91"/>
      <c r="P9" s="91"/>
      <c r="Q9" s="91"/>
      <c r="R9" s="91"/>
      <c r="S9" s="91"/>
      <c r="T9" s="91"/>
      <c r="U9" s="91"/>
      <c r="X9" s="90"/>
      <c r="Y9" s="80" t="s">
        <v>495</v>
      </c>
      <c r="Z9" s="80"/>
      <c r="AA9" s="80"/>
      <c r="AB9" s="80"/>
      <c r="AC9" s="80"/>
      <c r="AD9" s="80"/>
    </row>
    <row r="10" customFormat="false" ht="21.75" hidden="false" customHeight="true" outlineLevel="0" collapsed="false">
      <c r="A10" s="43" t="str">
        <f aca="false">人員一覧・判定!B9</f>
        <v>荒木田 勝</v>
      </c>
      <c r="D10" s="65" t="s">
        <v>500</v>
      </c>
      <c r="E10" s="65"/>
      <c r="F10" s="65"/>
      <c r="G10" s="65" t="s">
        <v>501</v>
      </c>
      <c r="H10" s="65"/>
      <c r="I10" s="65"/>
      <c r="J10" s="65"/>
      <c r="K10" s="83" t="s">
        <v>502</v>
      </c>
      <c r="M10" s="89" t="s">
        <v>503</v>
      </c>
      <c r="N10" s="89"/>
      <c r="O10" s="89"/>
      <c r="P10" s="89"/>
      <c r="Q10" s="89"/>
      <c r="R10" s="89"/>
      <c r="S10" s="89"/>
      <c r="T10" s="89"/>
      <c r="U10" s="89"/>
      <c r="X10" s="90"/>
      <c r="Y10" s="80" t="s">
        <v>495</v>
      </c>
      <c r="Z10" s="80"/>
      <c r="AA10" s="80"/>
      <c r="AB10" s="80"/>
      <c r="AC10" s="80"/>
      <c r="AD10" s="80"/>
    </row>
    <row r="11" customFormat="false" ht="21.75" hidden="false" customHeight="true" outlineLevel="0" collapsed="false">
      <c r="A11" s="43" t="str">
        <f aca="false">人員一覧・判定!B10</f>
        <v>吉田 真紀</v>
      </c>
      <c r="D11" s="63" t="s">
        <v>504</v>
      </c>
      <c r="E11" s="63"/>
      <c r="F11" s="63"/>
      <c r="G11" s="83" t="s">
        <v>505</v>
      </c>
      <c r="H11" s="83"/>
      <c r="I11" s="83"/>
      <c r="J11" s="83"/>
      <c r="K11" s="83"/>
      <c r="M11" s="89" t="s">
        <v>503</v>
      </c>
      <c r="N11" s="89"/>
      <c r="O11" s="89"/>
      <c r="P11" s="89"/>
      <c r="Q11" s="89"/>
      <c r="R11" s="89"/>
      <c r="S11" s="89"/>
      <c r="T11" s="89"/>
      <c r="U11" s="89"/>
      <c r="V11" s="92" t="s">
        <v>506</v>
      </c>
      <c r="W11" s="92"/>
      <c r="X11" s="92"/>
      <c r="Y11" s="80" t="s">
        <v>495</v>
      </c>
      <c r="Z11" s="80"/>
      <c r="AA11" s="80"/>
      <c r="AB11" s="80"/>
      <c r="AC11" s="80"/>
      <c r="AD11" s="80"/>
    </row>
    <row r="12" customFormat="false" ht="21.75" hidden="false" customHeight="true" outlineLevel="0" collapsed="false">
      <c r="A12" s="43" t="str">
        <f aca="false">人員一覧・判定!B11</f>
        <v>藤中 純子</v>
      </c>
      <c r="D12" s="66" t="s">
        <v>507</v>
      </c>
      <c r="E12" s="66"/>
      <c r="F12" s="66"/>
      <c r="G12" s="66"/>
      <c r="H12" s="66"/>
      <c r="I12" s="66"/>
      <c r="J12" s="66"/>
      <c r="K12" s="66"/>
      <c r="N12" s="63" t="s">
        <v>508</v>
      </c>
      <c r="O12" s="63"/>
      <c r="P12" s="63"/>
      <c r="Q12" s="63"/>
      <c r="R12" s="63"/>
      <c r="S12" s="63"/>
      <c r="T12" s="63"/>
      <c r="U12" s="63"/>
      <c r="X12" s="90"/>
      <c r="Y12" s="80" t="s">
        <v>495</v>
      </c>
      <c r="Z12" s="80"/>
      <c r="AA12" s="80"/>
      <c r="AB12" s="80"/>
      <c r="AC12" s="80"/>
      <c r="AD12" s="80"/>
    </row>
    <row r="13" customFormat="false" ht="21.75" hidden="false" customHeight="true" outlineLevel="0" collapsed="false">
      <c r="A13" s="43" t="str">
        <f aca="false">人員一覧・判定!B12</f>
        <v>田中 智美</v>
      </c>
      <c r="D13" s="66" t="s">
        <v>509</v>
      </c>
      <c r="E13" s="66"/>
      <c r="F13" s="66"/>
      <c r="G13" s="66"/>
      <c r="H13" s="66"/>
      <c r="I13" s="66"/>
      <c r="J13" s="66"/>
      <c r="K13" s="66"/>
      <c r="M13" s="89" t="s">
        <v>510</v>
      </c>
      <c r="N13" s="89"/>
      <c r="O13" s="89"/>
      <c r="P13" s="89"/>
      <c r="Q13" s="89"/>
      <c r="R13" s="89"/>
      <c r="S13" s="89"/>
      <c r="T13" s="89"/>
      <c r="U13" s="89"/>
      <c r="V13" s="92" t="s">
        <v>506</v>
      </c>
      <c r="W13" s="92"/>
      <c r="X13" s="92"/>
      <c r="Y13" s="80" t="s">
        <v>495</v>
      </c>
      <c r="Z13" s="80"/>
      <c r="AA13" s="80"/>
      <c r="AB13" s="80"/>
      <c r="AC13" s="80"/>
      <c r="AD13" s="80"/>
    </row>
    <row r="14" customFormat="false" ht="21.75" hidden="false" customHeight="true" outlineLevel="0" collapsed="false">
      <c r="A14" s="43" t="str">
        <f aca="false">人員一覧・判定!B13</f>
        <v>池田　誠</v>
      </c>
      <c r="D14" s="64" t="s">
        <v>511</v>
      </c>
      <c r="E14" s="64"/>
      <c r="F14" s="64"/>
      <c r="G14" s="83" t="s">
        <v>291</v>
      </c>
      <c r="H14" s="83"/>
      <c r="I14" s="83"/>
      <c r="J14" s="83"/>
      <c r="N14" s="65" t="s">
        <v>512</v>
      </c>
      <c r="O14" s="65"/>
      <c r="P14" s="65"/>
      <c r="Q14" s="65"/>
      <c r="R14" s="65"/>
      <c r="S14" s="65"/>
      <c r="T14" s="65"/>
      <c r="U14" s="65"/>
      <c r="X14" s="90"/>
      <c r="Y14" s="80" t="s">
        <v>495</v>
      </c>
      <c r="Z14" s="80"/>
      <c r="AA14" s="80"/>
      <c r="AB14" s="80"/>
      <c r="AC14" s="80"/>
      <c r="AD14" s="80"/>
    </row>
    <row r="15" customFormat="false" ht="21.75" hidden="false" customHeight="true" outlineLevel="0" collapsed="false">
      <c r="A15" s="68" t="str">
        <f aca="false">人員一覧・判定!C14</f>
        <v>Gerald Ejem Potutan</v>
      </c>
      <c r="D15" s="84" t="s">
        <v>513</v>
      </c>
      <c r="E15" s="84"/>
      <c r="F15" s="84"/>
      <c r="G15" s="83" t="s">
        <v>514</v>
      </c>
      <c r="H15" s="83"/>
      <c r="I15" s="83"/>
      <c r="J15" s="83"/>
      <c r="K15" s="83" t="s">
        <v>515</v>
      </c>
      <c r="N15" s="89" t="s">
        <v>494</v>
      </c>
      <c r="O15" s="89"/>
      <c r="P15" s="89"/>
      <c r="Q15" s="89"/>
      <c r="R15" s="89"/>
      <c r="S15" s="89"/>
      <c r="T15" s="89"/>
      <c r="U15" s="89"/>
      <c r="X15" s="90"/>
      <c r="Y15" s="80" t="s">
        <v>495</v>
      </c>
      <c r="Z15" s="80"/>
      <c r="AA15" s="80"/>
      <c r="AB15" s="80"/>
      <c r="AC15" s="80"/>
      <c r="AD15" s="80"/>
    </row>
    <row r="16" customFormat="false" ht="21.75" hidden="false" customHeight="true" outlineLevel="0" collapsed="false">
      <c r="A16" s="43" t="str">
        <f aca="false">人員一覧・判定!C15</f>
        <v>Mizan Bisri</v>
      </c>
      <c r="D16" s="64" t="s">
        <v>516</v>
      </c>
      <c r="E16" s="64"/>
      <c r="F16" s="64"/>
      <c r="G16" s="83" t="s">
        <v>517</v>
      </c>
      <c r="H16" s="83"/>
      <c r="I16" s="83"/>
      <c r="J16" s="83"/>
      <c r="N16" s="89" t="s">
        <v>494</v>
      </c>
      <c r="O16" s="89"/>
      <c r="P16" s="89"/>
      <c r="Q16" s="89"/>
      <c r="R16" s="89"/>
      <c r="S16" s="89"/>
      <c r="T16" s="89"/>
      <c r="U16" s="89"/>
      <c r="X16" s="90"/>
      <c r="Y16" s="80" t="s">
        <v>495</v>
      </c>
      <c r="Z16" s="80"/>
      <c r="AA16" s="80"/>
      <c r="AB16" s="80"/>
      <c r="AC16" s="80"/>
      <c r="AD16" s="80"/>
    </row>
    <row r="17" customFormat="false" ht="21.75" hidden="false" customHeight="true" outlineLevel="0" collapsed="false">
      <c r="A17" s="47" t="str">
        <f aca="false">人員一覧・判定!B18</f>
        <v>森口　芳隆</v>
      </c>
      <c r="G17" s="86" t="s">
        <v>209</v>
      </c>
      <c r="H17" s="86"/>
      <c r="I17" s="86"/>
      <c r="J17" s="86"/>
      <c r="K17" s="86"/>
      <c r="N17" s="93" t="s">
        <v>494</v>
      </c>
      <c r="O17" s="93"/>
      <c r="P17" s="93"/>
      <c r="Q17" s="93"/>
      <c r="R17" s="93"/>
      <c r="S17" s="93"/>
      <c r="T17" s="93"/>
      <c r="U17" s="93"/>
      <c r="Y17" s="87" t="s">
        <v>495</v>
      </c>
      <c r="Z17" s="87"/>
      <c r="AA17" s="87"/>
      <c r="AB17" s="87"/>
      <c r="AC17" s="87"/>
      <c r="AD17" s="87"/>
    </row>
    <row r="18" customFormat="false" ht="21.75" hidden="false" customHeight="true" outlineLevel="0" collapsed="false">
      <c r="A18" s="43" t="str">
        <f aca="false">人員一覧・判定!B16</f>
        <v>藤本 絢子</v>
      </c>
      <c r="D18" s="64" t="s">
        <v>518</v>
      </c>
      <c r="E18" s="64"/>
      <c r="F18" s="64"/>
      <c r="G18" s="64" t="s">
        <v>471</v>
      </c>
      <c r="H18" s="64"/>
      <c r="I18" s="64"/>
      <c r="J18" s="64"/>
      <c r="K18" s="64"/>
      <c r="N18" s="94" t="s">
        <v>519</v>
      </c>
      <c r="O18" s="94"/>
      <c r="P18" s="94"/>
      <c r="Q18" s="94"/>
      <c r="R18" s="94"/>
      <c r="S18" s="94"/>
      <c r="T18" s="94"/>
      <c r="U18" s="94"/>
      <c r="X18" s="90"/>
      <c r="Y18" s="60" t="s">
        <v>520</v>
      </c>
      <c r="Z18" s="60"/>
      <c r="AA18" s="60"/>
      <c r="AB18" s="60"/>
      <c r="AC18" s="60"/>
      <c r="AD18" s="60"/>
    </row>
    <row r="19" customFormat="false" ht="21.75" hidden="false" customHeight="true" outlineLevel="0" collapsed="false">
      <c r="A19" s="43" t="str">
        <f aca="false">人員一覧・判定!B17</f>
        <v>塩見 有美</v>
      </c>
      <c r="D19" s="63" t="s">
        <v>521</v>
      </c>
      <c r="E19" s="63"/>
      <c r="F19" s="63"/>
      <c r="G19" s="88" t="s">
        <v>522</v>
      </c>
      <c r="H19" s="88"/>
      <c r="I19" s="88"/>
      <c r="J19" s="88"/>
      <c r="K19" s="88"/>
      <c r="N19" s="94" t="s">
        <v>494</v>
      </c>
      <c r="O19" s="94"/>
      <c r="P19" s="94"/>
      <c r="Q19" s="94"/>
      <c r="R19" s="94"/>
      <c r="S19" s="94"/>
      <c r="T19" s="94"/>
      <c r="U19" s="94"/>
      <c r="V19" s="92" t="s">
        <v>506</v>
      </c>
      <c r="W19" s="92"/>
      <c r="X19" s="92"/>
      <c r="Y19" s="60" t="s">
        <v>495</v>
      </c>
      <c r="Z19" s="60"/>
      <c r="AA19" s="60"/>
      <c r="AB19" s="60"/>
      <c r="AC19" s="60"/>
      <c r="AD19" s="60"/>
    </row>
    <row r="20" customFormat="false" ht="14.25" hidden="false" customHeight="true" outlineLevel="0" collapsed="false">
      <c r="A20" s="12" t="s">
        <v>407</v>
      </c>
      <c r="B20" s="73" t="n">
        <f aca="false">COUNTA(B5:B19)</f>
        <v>0</v>
      </c>
      <c r="C20" s="73" t="n">
        <f aca="false">COUNTA(C5:C19)</f>
        <v>0</v>
      </c>
      <c r="D20" s="73" t="n">
        <f aca="false">COUNTA(D5:D19)</f>
        <v>10</v>
      </c>
      <c r="E20" s="73" t="n">
        <f aca="false">COUNTA(E5:E19)</f>
        <v>0</v>
      </c>
      <c r="F20" s="73" t="n">
        <f aca="false">COUNTA(F5:F19)</f>
        <v>0</v>
      </c>
      <c r="G20" s="73" t="n">
        <f aca="false">COUNTA(G5:G19)</f>
        <v>12</v>
      </c>
      <c r="H20" s="73" t="n">
        <f aca="false">COUNTA(H5:H19)</f>
        <v>0</v>
      </c>
      <c r="I20" s="73" t="n">
        <f aca="false">COUNTA(I5:I19)</f>
        <v>0</v>
      </c>
      <c r="J20" s="73" t="n">
        <f aca="false">COUNTA(J5:J19)</f>
        <v>0</v>
      </c>
      <c r="K20" s="73" t="n">
        <f aca="false">COUNTA(K5:K19)</f>
        <v>2</v>
      </c>
      <c r="L20" s="73" t="n">
        <f aca="false">COUNTA(L5:L19)</f>
        <v>0</v>
      </c>
      <c r="M20" s="73" t="n">
        <f aca="false">COUNTA(M5:M19)</f>
        <v>3</v>
      </c>
      <c r="N20" s="73" t="n">
        <f aca="false">COUNTA(N5:N19)</f>
        <v>11</v>
      </c>
      <c r="O20" s="73" t="n">
        <f aca="false">COUNTA(O5:O19)</f>
        <v>0</v>
      </c>
      <c r="P20" s="73" t="n">
        <f aca="false">COUNTA(P5:P19)</f>
        <v>0</v>
      </c>
      <c r="Q20" s="73" t="n">
        <f aca="false">COUNTA(Q5:Q19)</f>
        <v>0</v>
      </c>
      <c r="R20" s="73" t="n">
        <f aca="false">COUNTA(R5:R19)</f>
        <v>0</v>
      </c>
      <c r="S20" s="73" t="n">
        <f aca="false">COUNTA(S5:S19)</f>
        <v>0</v>
      </c>
      <c r="T20" s="73" t="n">
        <f aca="false">COUNTA(T5:T19)</f>
        <v>0</v>
      </c>
      <c r="U20" s="73" t="n">
        <f aca="false">COUNTA(U5:U19)</f>
        <v>0</v>
      </c>
      <c r="V20" s="73" t="n">
        <f aca="false">COUNTA(V5:V19)</f>
        <v>3</v>
      </c>
      <c r="W20" s="73" t="n">
        <f aca="false">COUNTA(W5:W19)</f>
        <v>0</v>
      </c>
      <c r="X20" s="73" t="n">
        <f aca="false">COUNTA(X5:X19)</f>
        <v>0</v>
      </c>
      <c r="Y20" s="73" t="n">
        <f aca="false">COUNTA(Y5:Y19)</f>
        <v>14</v>
      </c>
      <c r="Z20" s="73" t="n">
        <f aca="false">COUNTA(Z5:Z19)</f>
        <v>0</v>
      </c>
      <c r="AA20" s="73" t="n">
        <f aca="false">COUNTA(AA5:AA19)</f>
        <v>0</v>
      </c>
      <c r="AB20" s="73" t="n">
        <f aca="false">COUNTA(AB5:AB19)</f>
        <v>0</v>
      </c>
      <c r="AC20" s="73" t="n">
        <f aca="false">COUNTA(AC5:AC19)</f>
        <v>0</v>
      </c>
      <c r="AD20" s="73" t="n">
        <f aca="false">COUNTA(AD5:AD19)</f>
        <v>0</v>
      </c>
      <c r="AE20" s="73" t="n">
        <f aca="false">COUNTA(AE5:AE19)</f>
        <v>0</v>
      </c>
      <c r="AF20" s="73" t="n">
        <f aca="false">COUNTA(AF5:AF19)</f>
        <v>0</v>
      </c>
      <c r="AG20" s="73" t="n">
        <f aca="false">COUNTA(AG5:AG19)</f>
        <v>0</v>
      </c>
    </row>
    <row r="21" customFormat="false" ht="14.25" hidden="false" customHeight="true" outlineLevel="0" collapsed="false">
      <c r="A21" s="74" t="s">
        <v>408</v>
      </c>
    </row>
    <row r="22" customFormat="false" ht="60" hidden="false" customHeight="true" outlineLevel="0" collapsed="false">
      <c r="A22" s="75" t="s">
        <v>523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</row>
    <row r="23" customFormat="false" ht="14.25" hidden="false" customHeight="true" outlineLevel="0" collapsed="false"/>
    <row r="24" customFormat="false" ht="14.25" hidden="false" customHeight="true" outlineLevel="0" collapsed="false">
      <c r="A24" s="76" t="s">
        <v>410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</row>
    <row r="25" customFormat="false" ht="21.75" hidden="false" customHeight="true" outlineLevel="0" collapsed="false">
      <c r="A25" s="54" t="str">
        <f aca="false">人員一覧・判定!B19</f>
        <v>中村</v>
      </c>
      <c r="D25" s="77" t="s">
        <v>477</v>
      </c>
      <c r="E25" s="77"/>
      <c r="F25" s="77"/>
      <c r="G25" s="77" t="s">
        <v>524</v>
      </c>
      <c r="H25" s="77"/>
      <c r="I25" s="77"/>
      <c r="J25" s="77"/>
      <c r="K25" s="77"/>
      <c r="N25" s="77" t="s">
        <v>525</v>
      </c>
      <c r="O25" s="77"/>
    </row>
    <row r="26" customFormat="false" ht="21.75" hidden="false" customHeight="true" outlineLevel="0" collapsed="false">
      <c r="A26" s="54" t="str">
        <f aca="false">人員一覧・判定!B20</f>
        <v>山口</v>
      </c>
      <c r="D26" s="69" t="s">
        <v>480</v>
      </c>
      <c r="E26" s="69"/>
      <c r="F26" s="69"/>
      <c r="G26" s="77" t="s">
        <v>526</v>
      </c>
      <c r="H26" s="77"/>
      <c r="I26" s="77"/>
      <c r="J26" s="77"/>
      <c r="K26" s="77"/>
      <c r="N26" s="69" t="s">
        <v>348</v>
      </c>
      <c r="O26" s="69"/>
      <c r="P26" s="69"/>
      <c r="Q26" s="69"/>
      <c r="R26" s="69"/>
      <c r="S26" s="69"/>
    </row>
    <row r="27" customFormat="false" ht="21.75" hidden="false" customHeight="true" outlineLevel="0" collapsed="false">
      <c r="A27" s="54" t="str">
        <f aca="false">人員一覧・判定!B22</f>
        <v>寺坂　佳津子</v>
      </c>
      <c r="G27" s="78" t="s">
        <v>350</v>
      </c>
      <c r="H27" s="78"/>
      <c r="I27" s="78"/>
      <c r="J27" s="78"/>
      <c r="K27" s="78"/>
    </row>
    <row r="28" customFormat="false" ht="21.75" hidden="false" customHeight="true" outlineLevel="0" collapsed="false">
      <c r="A28" s="54" t="str">
        <f aca="false">人員一覧・判定!B21</f>
        <v>伊達 孝</v>
      </c>
      <c r="D28" s="79" t="s">
        <v>484</v>
      </c>
      <c r="E28" s="79"/>
      <c r="F28" s="79"/>
    </row>
    <row r="29" customFormat="false" ht="14.25" hidden="false" customHeight="true" outlineLevel="0" collapsed="false">
      <c r="A29" s="74" t="s">
        <v>415</v>
      </c>
    </row>
  </sheetData>
  <mergeCells count="69">
    <mergeCell ref="D4:F4"/>
    <mergeCell ref="G4:J4"/>
    <mergeCell ref="L4:M4"/>
    <mergeCell ref="N4:U4"/>
    <mergeCell ref="Y4:AA4"/>
    <mergeCell ref="AB4:AD4"/>
    <mergeCell ref="G6:K6"/>
    <mergeCell ref="N6:U6"/>
    <mergeCell ref="Y6:AD6"/>
    <mergeCell ref="G7:K7"/>
    <mergeCell ref="N7:U7"/>
    <mergeCell ref="Y7:AD7"/>
    <mergeCell ref="G8:K8"/>
    <mergeCell ref="N8:U8"/>
    <mergeCell ref="Y8:AD8"/>
    <mergeCell ref="D9:F9"/>
    <mergeCell ref="G9:K9"/>
    <mergeCell ref="N9:U9"/>
    <mergeCell ref="Y9:AD9"/>
    <mergeCell ref="D10:F10"/>
    <mergeCell ref="G10:J10"/>
    <mergeCell ref="M10:U10"/>
    <mergeCell ref="Y10:AD10"/>
    <mergeCell ref="D11:F11"/>
    <mergeCell ref="G11:K11"/>
    <mergeCell ref="M11:U11"/>
    <mergeCell ref="V11:X11"/>
    <mergeCell ref="Y11:AD11"/>
    <mergeCell ref="D12:K12"/>
    <mergeCell ref="N12:U12"/>
    <mergeCell ref="Y12:AD12"/>
    <mergeCell ref="D13:K13"/>
    <mergeCell ref="M13:U13"/>
    <mergeCell ref="V13:X13"/>
    <mergeCell ref="Y13:AD13"/>
    <mergeCell ref="D14:F14"/>
    <mergeCell ref="G14:J14"/>
    <mergeCell ref="N14:U14"/>
    <mergeCell ref="Y14:AD14"/>
    <mergeCell ref="D15:F15"/>
    <mergeCell ref="G15:J15"/>
    <mergeCell ref="N15:U15"/>
    <mergeCell ref="Y15:AD15"/>
    <mergeCell ref="D16:F16"/>
    <mergeCell ref="G16:J16"/>
    <mergeCell ref="N16:U16"/>
    <mergeCell ref="Y16:AD16"/>
    <mergeCell ref="G17:K17"/>
    <mergeCell ref="N17:U17"/>
    <mergeCell ref="Y17:AD17"/>
    <mergeCell ref="D18:F18"/>
    <mergeCell ref="G18:K18"/>
    <mergeCell ref="N18:U18"/>
    <mergeCell ref="Y18:AD18"/>
    <mergeCell ref="D19:F19"/>
    <mergeCell ref="G19:K19"/>
    <mergeCell ref="N19:U19"/>
    <mergeCell ref="V19:X19"/>
    <mergeCell ref="Y19:AD19"/>
    <mergeCell ref="A22:T22"/>
    <mergeCell ref="A24:L24"/>
    <mergeCell ref="D25:F25"/>
    <mergeCell ref="G25:K25"/>
    <mergeCell ref="N25:O25"/>
    <mergeCell ref="D26:F26"/>
    <mergeCell ref="G26:K26"/>
    <mergeCell ref="N26:S26"/>
    <mergeCell ref="G27:K27"/>
    <mergeCell ref="D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V22" activeCellId="0" sqref="V22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33" min="2" style="1" width="4.22"/>
  </cols>
  <sheetData>
    <row r="1" customFormat="false" ht="15" hidden="false" customHeight="true" outlineLevel="0" collapsed="false">
      <c r="A1" s="57" t="s">
        <v>527</v>
      </c>
    </row>
    <row r="3" customFormat="false" ht="14.25" hidden="false" customHeight="true" outlineLevel="0" collapsed="false">
      <c r="B3" s="58" t="s">
        <v>356</v>
      </c>
      <c r="C3" s="58"/>
      <c r="D3" s="58" t="s">
        <v>357</v>
      </c>
      <c r="E3" s="58"/>
      <c r="F3" s="58" t="s">
        <v>358</v>
      </c>
      <c r="G3" s="58"/>
      <c r="H3" s="58" t="s">
        <v>359</v>
      </c>
      <c r="I3" s="58"/>
      <c r="J3" s="58" t="s">
        <v>360</v>
      </c>
      <c r="K3" s="58"/>
      <c r="L3" s="58" t="s">
        <v>361</v>
      </c>
      <c r="M3" s="58"/>
      <c r="N3" s="58" t="s">
        <v>362</v>
      </c>
      <c r="O3" s="58"/>
      <c r="P3" s="58" t="s">
        <v>363</v>
      </c>
      <c r="Q3" s="58"/>
      <c r="R3" s="58" t="s">
        <v>364</v>
      </c>
      <c r="S3" s="58"/>
      <c r="T3" s="58" t="s">
        <v>365</v>
      </c>
      <c r="U3" s="58"/>
      <c r="V3" s="58" t="s">
        <v>366</v>
      </c>
      <c r="W3" s="58"/>
      <c r="X3" s="58" t="s">
        <v>367</v>
      </c>
      <c r="Y3" s="58"/>
      <c r="Z3" s="58" t="s">
        <v>368</v>
      </c>
      <c r="AA3" s="58"/>
      <c r="AB3" s="58" t="s">
        <v>369</v>
      </c>
      <c r="AC3" s="58"/>
      <c r="AD3" s="58" t="s">
        <v>370</v>
      </c>
      <c r="AE3" s="58"/>
      <c r="AF3" s="58" t="s">
        <v>371</v>
      </c>
      <c r="AG3" s="58"/>
    </row>
    <row r="4" customFormat="false" ht="30" hidden="false" customHeight="true" outlineLevel="0" collapsed="false">
      <c r="A4" s="59" t="s">
        <v>190</v>
      </c>
      <c r="F4" s="80" t="s">
        <v>528</v>
      </c>
      <c r="G4" s="80"/>
      <c r="H4" s="80"/>
      <c r="I4" s="80"/>
      <c r="J4" s="80"/>
      <c r="K4" s="80"/>
      <c r="L4" s="80" t="s">
        <v>490</v>
      </c>
      <c r="M4" s="80"/>
      <c r="N4" s="80"/>
      <c r="O4" s="80" t="s">
        <v>529</v>
      </c>
      <c r="P4" s="80"/>
      <c r="R4" s="80" t="s">
        <v>530</v>
      </c>
      <c r="S4" s="80"/>
      <c r="T4" s="80"/>
      <c r="U4" s="80" t="s">
        <v>531</v>
      </c>
      <c r="V4" s="60" t="s">
        <v>532</v>
      </c>
      <c r="W4" s="60"/>
      <c r="X4" s="60"/>
      <c r="Y4" s="60"/>
      <c r="Z4" s="60"/>
      <c r="AA4" s="60"/>
      <c r="AB4" s="60"/>
      <c r="AC4" s="60"/>
      <c r="AD4" s="60"/>
      <c r="AE4" s="60"/>
      <c r="AF4" s="60"/>
    </row>
    <row r="5" customFormat="false" ht="3" hidden="false" customHeight="true" outlineLevel="0" collapsed="false">
      <c r="A5" s="59"/>
      <c r="F5" s="80"/>
      <c r="G5" s="80"/>
      <c r="H5" s="80"/>
      <c r="I5" s="80"/>
      <c r="J5" s="80"/>
      <c r="K5" s="80"/>
      <c r="L5" s="81"/>
      <c r="M5" s="81"/>
      <c r="N5" s="81"/>
      <c r="O5" s="80"/>
      <c r="P5" s="80"/>
      <c r="R5" s="80"/>
      <c r="S5" s="80"/>
      <c r="T5" s="80"/>
      <c r="U5" s="81"/>
      <c r="V5" s="61"/>
      <c r="W5" s="61"/>
      <c r="X5" s="61"/>
      <c r="Y5" s="61"/>
      <c r="Z5" s="61"/>
      <c r="AA5" s="61"/>
      <c r="AB5" s="61"/>
      <c r="AC5" s="61"/>
      <c r="AD5" s="60"/>
      <c r="AE5" s="60"/>
      <c r="AF5" s="60"/>
    </row>
    <row r="6" customFormat="false" ht="21.75" hidden="false" customHeight="true" outlineLevel="0" collapsed="false">
      <c r="A6" s="43" t="str">
        <f aca="false">人員一覧・判定!B5</f>
        <v>三浦 房紀</v>
      </c>
      <c r="F6" s="83" t="s">
        <v>533</v>
      </c>
      <c r="G6" s="83"/>
      <c r="H6" s="83"/>
      <c r="I6" s="83"/>
      <c r="J6" s="83"/>
      <c r="K6" s="83"/>
      <c r="O6" s="83" t="s">
        <v>534</v>
      </c>
      <c r="P6" s="83"/>
      <c r="Q6" s="83"/>
      <c r="R6" s="83"/>
      <c r="S6" s="83"/>
      <c r="T6" s="83"/>
      <c r="AD6" s="95" t="s">
        <v>535</v>
      </c>
      <c r="AE6" s="95"/>
      <c r="AF6" s="95"/>
    </row>
    <row r="7" customFormat="false" ht="21.75" hidden="false" customHeight="true" outlineLevel="0" collapsed="false">
      <c r="A7" s="43" t="str">
        <f aca="false">人員一覧・判定!B6</f>
        <v>北本 政行</v>
      </c>
      <c r="F7" s="83" t="s">
        <v>533</v>
      </c>
      <c r="G7" s="83"/>
      <c r="H7" s="83"/>
      <c r="I7" s="83"/>
      <c r="J7" s="83"/>
      <c r="K7" s="83"/>
      <c r="O7" s="83" t="s">
        <v>534</v>
      </c>
      <c r="P7" s="83"/>
      <c r="Q7" s="83"/>
      <c r="R7" s="83"/>
      <c r="S7" s="83"/>
      <c r="T7" s="83"/>
      <c r="AC7" s="95" t="s">
        <v>536</v>
      </c>
      <c r="AD7" s="95"/>
      <c r="AE7" s="95"/>
      <c r="AF7" s="95"/>
    </row>
    <row r="8" customFormat="false" ht="21.75" hidden="false" customHeight="true" outlineLevel="0" collapsed="false">
      <c r="A8" s="43" t="str">
        <f aca="false">人員一覧・判定!B7</f>
        <v>宮木 一寛</v>
      </c>
      <c r="F8" s="83" t="s">
        <v>533</v>
      </c>
      <c r="G8" s="83"/>
      <c r="H8" s="83"/>
      <c r="I8" s="83"/>
      <c r="J8" s="83"/>
      <c r="K8" s="83"/>
      <c r="O8" s="83" t="s">
        <v>534</v>
      </c>
      <c r="P8" s="83"/>
      <c r="Q8" s="83"/>
      <c r="R8" s="83"/>
      <c r="S8" s="83"/>
      <c r="T8" s="83"/>
      <c r="V8" s="63" t="s">
        <v>537</v>
      </c>
      <c r="W8" s="63"/>
      <c r="X8" s="63"/>
      <c r="Y8" s="63"/>
    </row>
    <row r="9" customFormat="false" ht="21.75" hidden="false" customHeight="true" outlineLevel="0" collapsed="false">
      <c r="A9" s="43" t="str">
        <f aca="false">人員一覧・判定!B8</f>
        <v>児玉 美樹</v>
      </c>
      <c r="F9" s="83" t="s">
        <v>533</v>
      </c>
      <c r="G9" s="83"/>
      <c r="H9" s="83"/>
      <c r="I9" s="83"/>
      <c r="J9" s="83"/>
      <c r="K9" s="83"/>
      <c r="O9" s="83" t="s">
        <v>293</v>
      </c>
      <c r="P9" s="83"/>
      <c r="Q9" s="83"/>
      <c r="R9" s="83"/>
      <c r="S9" s="83"/>
      <c r="T9" s="83"/>
      <c r="V9" s="66" t="s">
        <v>538</v>
      </c>
      <c r="W9" s="66"/>
      <c r="X9" s="66"/>
      <c r="Y9" s="66"/>
      <c r="Z9" s="66"/>
      <c r="AA9" s="66"/>
    </row>
    <row r="10" customFormat="false" ht="21.75" hidden="false" customHeight="true" outlineLevel="0" collapsed="false">
      <c r="A10" s="43" t="str">
        <f aca="false">人員一覧・判定!B9</f>
        <v>荒木田 勝</v>
      </c>
      <c r="F10" s="83" t="s">
        <v>539</v>
      </c>
      <c r="G10" s="83"/>
      <c r="H10" s="83"/>
      <c r="I10" s="83"/>
      <c r="J10" s="83"/>
      <c r="K10" s="83"/>
      <c r="O10" s="83" t="s">
        <v>534</v>
      </c>
      <c r="P10" s="83"/>
      <c r="Q10" s="83"/>
      <c r="R10" s="83"/>
      <c r="S10" s="83"/>
      <c r="T10" s="83"/>
      <c r="V10" s="63" t="s">
        <v>540</v>
      </c>
      <c r="W10" s="63"/>
      <c r="X10" s="63"/>
      <c r="Y10" s="63"/>
      <c r="AA10" s="95" t="s">
        <v>541</v>
      </c>
      <c r="AB10" s="95"/>
      <c r="AC10" s="95"/>
      <c r="AD10" s="95"/>
      <c r="AE10" s="95"/>
      <c r="AF10" s="95"/>
    </row>
    <row r="11" customFormat="false" ht="21.75" hidden="false" customHeight="true" outlineLevel="0" collapsed="false">
      <c r="A11" s="43" t="str">
        <f aca="false">人員一覧・判定!B10</f>
        <v>吉田 真紀</v>
      </c>
      <c r="D11" s="96" t="s">
        <v>542</v>
      </c>
      <c r="E11" s="96"/>
      <c r="F11" s="83" t="s">
        <v>533</v>
      </c>
      <c r="G11" s="83"/>
      <c r="H11" s="83"/>
      <c r="I11" s="83"/>
      <c r="J11" s="83"/>
      <c r="K11" s="83"/>
      <c r="O11" s="83" t="s">
        <v>543</v>
      </c>
      <c r="P11" s="83"/>
      <c r="Q11" s="83"/>
      <c r="R11" s="83"/>
      <c r="S11" s="83"/>
      <c r="T11" s="83"/>
      <c r="V11" s="66" t="s">
        <v>544</v>
      </c>
      <c r="W11" s="66"/>
      <c r="X11" s="66"/>
      <c r="Y11" s="66"/>
      <c r="AB11" s="95" t="s">
        <v>545</v>
      </c>
      <c r="AC11" s="95"/>
      <c r="AD11" s="95"/>
      <c r="AE11" s="95"/>
      <c r="AF11" s="95"/>
    </row>
    <row r="12" customFormat="false" ht="21.75" hidden="false" customHeight="true" outlineLevel="0" collapsed="false">
      <c r="A12" s="43" t="str">
        <f aca="false">人員一覧・判定!B11</f>
        <v>藤中 純子</v>
      </c>
      <c r="F12" s="66" t="s">
        <v>546</v>
      </c>
      <c r="G12" s="66"/>
      <c r="H12" s="66"/>
      <c r="I12" s="66"/>
      <c r="J12" s="66"/>
      <c r="K12" s="66"/>
      <c r="O12" s="66" t="s">
        <v>547</v>
      </c>
      <c r="P12" s="66"/>
      <c r="Q12" s="66"/>
      <c r="R12" s="66"/>
      <c r="S12" s="66"/>
      <c r="T12" s="66"/>
      <c r="V12" s="67" t="s">
        <v>548</v>
      </c>
      <c r="W12" s="67"/>
      <c r="X12" s="67"/>
      <c r="Y12" s="67"/>
      <c r="Z12" s="67"/>
      <c r="AA12" s="67"/>
      <c r="AB12" s="67"/>
      <c r="AC12" s="67"/>
    </row>
    <row r="13" customFormat="false" ht="21.75" hidden="false" customHeight="true" outlineLevel="0" collapsed="false">
      <c r="A13" s="43" t="str">
        <f aca="false">人員一覧・判定!B12</f>
        <v>田中 智美</v>
      </c>
      <c r="D13" s="96" t="s">
        <v>542</v>
      </c>
      <c r="E13" s="96"/>
      <c r="F13" s="66" t="s">
        <v>452</v>
      </c>
      <c r="G13" s="66"/>
      <c r="H13" s="66"/>
      <c r="I13" s="66"/>
      <c r="J13" s="66"/>
      <c r="K13" s="66"/>
      <c r="O13" s="66" t="s">
        <v>547</v>
      </c>
      <c r="P13" s="66"/>
      <c r="Q13" s="66"/>
      <c r="R13" s="66"/>
      <c r="S13" s="66"/>
      <c r="T13" s="66"/>
      <c r="V13" s="67" t="s">
        <v>549</v>
      </c>
      <c r="W13" s="67"/>
      <c r="X13" s="67"/>
      <c r="Y13" s="67"/>
      <c r="Z13" s="67"/>
      <c r="AA13" s="67"/>
      <c r="AB13" s="67"/>
      <c r="AC13" s="67"/>
    </row>
    <row r="14" customFormat="false" ht="21.75" hidden="false" customHeight="true" outlineLevel="0" collapsed="false">
      <c r="A14" s="43" t="str">
        <f aca="false">人員一覧・判定!B13</f>
        <v>池田　誠</v>
      </c>
      <c r="F14" s="83" t="s">
        <v>533</v>
      </c>
      <c r="G14" s="83"/>
      <c r="H14" s="83"/>
      <c r="I14" s="83"/>
      <c r="J14" s="83"/>
      <c r="K14" s="83"/>
      <c r="O14" s="65" t="s">
        <v>550</v>
      </c>
      <c r="P14" s="65"/>
      <c r="R14" s="83" t="s">
        <v>551</v>
      </c>
      <c r="S14" s="83"/>
      <c r="T14" s="83"/>
      <c r="V14" s="64" t="s">
        <v>552</v>
      </c>
      <c r="W14" s="64"/>
      <c r="X14" s="64"/>
      <c r="Y14" s="64"/>
      <c r="AE14" s="97" t="s">
        <v>553</v>
      </c>
      <c r="AF14" s="97"/>
    </row>
    <row r="15" customFormat="false" ht="21.75" hidden="false" customHeight="true" outlineLevel="0" collapsed="false">
      <c r="A15" s="68" t="str">
        <f aca="false">人員一覧・判定!C14</f>
        <v>Gerald Ejem Potutan</v>
      </c>
      <c r="F15" s="83" t="s">
        <v>554</v>
      </c>
      <c r="G15" s="83"/>
      <c r="H15" s="83"/>
      <c r="I15" s="83"/>
      <c r="J15" s="83"/>
      <c r="K15" s="83"/>
      <c r="O15" s="83" t="s">
        <v>543</v>
      </c>
      <c r="P15" s="83"/>
      <c r="Q15" s="83"/>
      <c r="R15" s="83"/>
      <c r="S15" s="83"/>
      <c r="T15" s="83"/>
      <c r="AE15" s="97" t="s">
        <v>553</v>
      </c>
      <c r="AF15" s="97"/>
    </row>
    <row r="16" customFormat="false" ht="21.75" hidden="false" customHeight="true" outlineLevel="0" collapsed="false">
      <c r="A16" s="43" t="str">
        <f aca="false">人員一覧・判定!C15</f>
        <v>Mizan Bisri</v>
      </c>
      <c r="F16" s="83" t="s">
        <v>533</v>
      </c>
      <c r="G16" s="83"/>
      <c r="H16" s="83"/>
      <c r="I16" s="83"/>
      <c r="J16" s="83"/>
      <c r="K16" s="83"/>
      <c r="O16" s="83" t="s">
        <v>543</v>
      </c>
      <c r="P16" s="83"/>
      <c r="Q16" s="83"/>
      <c r="R16" s="83"/>
      <c r="S16" s="83"/>
      <c r="T16" s="83"/>
    </row>
    <row r="17" customFormat="false" ht="21.75" hidden="false" customHeight="true" outlineLevel="0" collapsed="false">
      <c r="A17" s="47" t="str">
        <f aca="false">人員一覧・判定!B18</f>
        <v>森口　芳隆</v>
      </c>
      <c r="F17" s="86" t="s">
        <v>555</v>
      </c>
      <c r="G17" s="86"/>
      <c r="H17" s="86"/>
      <c r="I17" s="86"/>
      <c r="J17" s="86"/>
      <c r="K17" s="86"/>
      <c r="O17" s="86" t="s">
        <v>534</v>
      </c>
      <c r="P17" s="86"/>
      <c r="Q17" s="86"/>
      <c r="R17" s="86"/>
      <c r="S17" s="86"/>
      <c r="T17" s="86"/>
      <c r="V17" s="78" t="s">
        <v>556</v>
      </c>
      <c r="W17" s="78"/>
      <c r="X17" s="78"/>
      <c r="Y17" s="78"/>
    </row>
    <row r="18" customFormat="false" ht="21.75" hidden="false" customHeight="true" outlineLevel="0" collapsed="false">
      <c r="A18" s="43" t="str">
        <f aca="false">人員一覧・判定!B16</f>
        <v>藤本 絢子</v>
      </c>
      <c r="F18" s="64" t="s">
        <v>470</v>
      </c>
      <c r="G18" s="64"/>
      <c r="H18" s="64"/>
      <c r="I18" s="64"/>
      <c r="J18" s="64"/>
      <c r="K18" s="64"/>
      <c r="O18" s="64" t="s">
        <v>557</v>
      </c>
      <c r="P18" s="64"/>
      <c r="Q18" s="64"/>
      <c r="R18" s="64"/>
      <c r="S18" s="64"/>
      <c r="T18" s="64"/>
      <c r="V18" s="66" t="s">
        <v>558</v>
      </c>
      <c r="W18" s="66"/>
      <c r="X18" s="66"/>
      <c r="Y18" s="66"/>
      <c r="Z18" s="66"/>
      <c r="AA18" s="66"/>
    </row>
    <row r="19" customFormat="false" ht="21.75" hidden="false" customHeight="true" outlineLevel="0" collapsed="false">
      <c r="A19" s="43" t="str">
        <f aca="false">人員一覧・判定!B17</f>
        <v>塩見 有美</v>
      </c>
      <c r="F19" s="88" t="s">
        <v>559</v>
      </c>
      <c r="G19" s="88"/>
      <c r="H19" s="88"/>
      <c r="I19" s="88"/>
      <c r="J19" s="88"/>
      <c r="K19" s="88"/>
      <c r="O19" s="66" t="s">
        <v>473</v>
      </c>
      <c r="P19" s="66"/>
      <c r="Q19" s="66"/>
      <c r="R19" s="66"/>
      <c r="S19" s="66"/>
      <c r="T19" s="66"/>
      <c r="V19" s="66" t="s">
        <v>558</v>
      </c>
      <c r="W19" s="66"/>
      <c r="X19" s="66"/>
      <c r="Y19" s="66"/>
      <c r="Z19" s="66"/>
      <c r="AA19" s="66"/>
    </row>
    <row r="20" customFormat="false" ht="14.25" hidden="false" customHeight="true" outlineLevel="0" collapsed="false">
      <c r="A20" s="12" t="s">
        <v>407</v>
      </c>
      <c r="B20" s="73" t="n">
        <f aca="false">COUNTA(B5:B19)</f>
        <v>0</v>
      </c>
      <c r="C20" s="73" t="n">
        <f aca="false">COUNTA(C5:C19)</f>
        <v>0</v>
      </c>
      <c r="D20" s="73" t="n">
        <f aca="false">COUNTA(D5:D19)</f>
        <v>2</v>
      </c>
      <c r="E20" s="73" t="n">
        <f aca="false">COUNTA(E5:E19)</f>
        <v>0</v>
      </c>
      <c r="F20" s="73" t="n">
        <f aca="false">COUNTA(F5:F19)</f>
        <v>14</v>
      </c>
      <c r="G20" s="73" t="n">
        <f aca="false">COUNTA(G5:G19)</f>
        <v>0</v>
      </c>
      <c r="H20" s="73" t="n">
        <f aca="false">COUNTA(H5:H19)</f>
        <v>0</v>
      </c>
      <c r="I20" s="73" t="n">
        <f aca="false">COUNTA(I5:I19)</f>
        <v>0</v>
      </c>
      <c r="J20" s="73" t="n">
        <f aca="false">COUNTA(J5:J19)</f>
        <v>0</v>
      </c>
      <c r="K20" s="73" t="n">
        <f aca="false">COUNTA(K5:K19)</f>
        <v>0</v>
      </c>
      <c r="L20" s="73" t="n">
        <f aca="false">COUNTA(L5:L19)</f>
        <v>0</v>
      </c>
      <c r="M20" s="73" t="n">
        <f aca="false">COUNTA(M5:M19)</f>
        <v>0</v>
      </c>
      <c r="N20" s="73" t="n">
        <f aca="false">COUNTA(N5:N19)</f>
        <v>0</v>
      </c>
      <c r="O20" s="73" t="n">
        <f aca="false">COUNTA(O5:O19)</f>
        <v>14</v>
      </c>
      <c r="P20" s="73" t="n">
        <f aca="false">COUNTA(P5:P19)</f>
        <v>0</v>
      </c>
      <c r="Q20" s="73" t="n">
        <f aca="false">COUNTA(Q5:Q19)</f>
        <v>0</v>
      </c>
      <c r="R20" s="73" t="n">
        <f aca="false">COUNTA(R5:R19)</f>
        <v>1</v>
      </c>
      <c r="S20" s="73" t="n">
        <f aca="false">COUNTA(S5:S19)</f>
        <v>0</v>
      </c>
      <c r="T20" s="73" t="n">
        <f aca="false">COUNTA(T5:T19)</f>
        <v>0</v>
      </c>
      <c r="U20" s="73" t="n">
        <f aca="false">COUNTA(U5:U19)</f>
        <v>0</v>
      </c>
      <c r="V20" s="73" t="n">
        <f aca="false">COUNTA(V5:V19)</f>
        <v>10</v>
      </c>
      <c r="W20" s="73" t="n">
        <f aca="false">COUNTA(W5:W19)</f>
        <v>0</v>
      </c>
      <c r="X20" s="73" t="n">
        <f aca="false">COUNTA(X5:X19)</f>
        <v>0</v>
      </c>
      <c r="Y20" s="73" t="n">
        <f aca="false">COUNTA(Y5:Y19)</f>
        <v>0</v>
      </c>
      <c r="Z20" s="73" t="n">
        <f aca="false">COUNTA(Z5:Z19)</f>
        <v>0</v>
      </c>
      <c r="AA20" s="73" t="n">
        <f aca="false">COUNTA(AA5:AA19)</f>
        <v>1</v>
      </c>
      <c r="AB20" s="73" t="n">
        <f aca="false">COUNTA(AB5:AB19)</f>
        <v>1</v>
      </c>
      <c r="AC20" s="73" t="n">
        <f aca="false">COUNTA(AC5:AC19)</f>
        <v>1</v>
      </c>
      <c r="AD20" s="73" t="n">
        <f aca="false">COUNTA(AD5:AD19)</f>
        <v>1</v>
      </c>
      <c r="AE20" s="73" t="n">
        <f aca="false">COUNTA(AE5:AE19)</f>
        <v>2</v>
      </c>
      <c r="AF20" s="73" t="n">
        <f aca="false">COUNTA(AF5:AF19)</f>
        <v>0</v>
      </c>
      <c r="AG20" s="73" t="n">
        <f aca="false">COUNTA(AG5:AG19)</f>
        <v>0</v>
      </c>
    </row>
    <row r="21" customFormat="false" ht="14.25" hidden="false" customHeight="true" outlineLevel="0" collapsed="false">
      <c r="A21" s="74" t="s">
        <v>408</v>
      </c>
    </row>
    <row r="22" customFormat="false" ht="60" hidden="false" customHeight="true" outlineLevel="0" collapsed="false">
      <c r="A22" s="75" t="s">
        <v>560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</row>
    <row r="23" customFormat="false" ht="14.25" hidden="false" customHeight="true" outlineLevel="0" collapsed="false"/>
    <row r="24" customFormat="false" ht="14.25" hidden="false" customHeight="true" outlineLevel="0" collapsed="false">
      <c r="A24" s="76" t="s">
        <v>410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</row>
    <row r="25" customFormat="false" ht="21.75" hidden="false" customHeight="true" outlineLevel="0" collapsed="false">
      <c r="A25" s="54" t="str">
        <f aca="false">人員一覧・判定!B19</f>
        <v>中村</v>
      </c>
      <c r="F25" s="69" t="s">
        <v>561</v>
      </c>
      <c r="G25" s="69"/>
      <c r="H25" s="69"/>
      <c r="I25" s="69"/>
      <c r="J25" s="69"/>
      <c r="K25" s="69"/>
    </row>
    <row r="26" customFormat="false" ht="21.75" hidden="false" customHeight="true" outlineLevel="0" collapsed="false">
      <c r="A26" s="54" t="str">
        <f aca="false">人員一覧・判定!B20</f>
        <v>山口</v>
      </c>
      <c r="F26" s="69" t="s">
        <v>562</v>
      </c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</row>
    <row r="27" customFormat="false" ht="14.25" hidden="false" customHeight="true" outlineLevel="0" collapsed="false">
      <c r="A27" s="74" t="s">
        <v>415</v>
      </c>
    </row>
  </sheetData>
  <mergeCells count="56">
    <mergeCell ref="F4:K4"/>
    <mergeCell ref="L4:N4"/>
    <mergeCell ref="O4:P4"/>
    <mergeCell ref="R4:T4"/>
    <mergeCell ref="V4:AF4"/>
    <mergeCell ref="F6:K6"/>
    <mergeCell ref="O6:T6"/>
    <mergeCell ref="AD6:AF6"/>
    <mergeCell ref="F7:K7"/>
    <mergeCell ref="O7:T7"/>
    <mergeCell ref="AC7:AF7"/>
    <mergeCell ref="F8:K8"/>
    <mergeCell ref="O8:T8"/>
    <mergeCell ref="V8:Y8"/>
    <mergeCell ref="F9:K9"/>
    <mergeCell ref="O9:T9"/>
    <mergeCell ref="V9:AA9"/>
    <mergeCell ref="F10:K10"/>
    <mergeCell ref="O10:T10"/>
    <mergeCell ref="V10:Y10"/>
    <mergeCell ref="AA10:AF10"/>
    <mergeCell ref="D11:E11"/>
    <mergeCell ref="F11:K11"/>
    <mergeCell ref="O11:T11"/>
    <mergeCell ref="V11:Y11"/>
    <mergeCell ref="AB11:AF11"/>
    <mergeCell ref="F12:K12"/>
    <mergeCell ref="O12:T12"/>
    <mergeCell ref="V12:AC12"/>
    <mergeCell ref="D13:E13"/>
    <mergeCell ref="F13:K13"/>
    <mergeCell ref="O13:T13"/>
    <mergeCell ref="V13:AC13"/>
    <mergeCell ref="F14:K14"/>
    <mergeCell ref="O14:P14"/>
    <mergeCell ref="R14:T14"/>
    <mergeCell ref="V14:Y14"/>
    <mergeCell ref="AE14:AF14"/>
    <mergeCell ref="F15:K15"/>
    <mergeCell ref="O15:T15"/>
    <mergeCell ref="AE15:AF15"/>
    <mergeCell ref="F16:K16"/>
    <mergeCell ref="O16:T16"/>
    <mergeCell ref="F17:K17"/>
    <mergeCell ref="O17:T17"/>
    <mergeCell ref="V17:Y17"/>
    <mergeCell ref="F18:K18"/>
    <mergeCell ref="O18:T18"/>
    <mergeCell ref="V18:AA18"/>
    <mergeCell ref="F19:K19"/>
    <mergeCell ref="O19:T19"/>
    <mergeCell ref="V19:AA19"/>
    <mergeCell ref="A22:T22"/>
    <mergeCell ref="A24:L24"/>
    <mergeCell ref="F25:K25"/>
    <mergeCell ref="F26:S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5859375" defaultRowHeight="14.2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5" min="5" style="1" width="8"/>
    <col collapsed="false" customWidth="true" hidden="false" outlineLevel="0" max="7" min="6" style="1" width="44"/>
  </cols>
  <sheetData>
    <row r="1" customFormat="false" ht="15" hidden="false" customHeight="true" outlineLevel="0" collapsed="false">
      <c r="A1" s="98" t="s">
        <v>563</v>
      </c>
    </row>
    <row r="2" customFormat="false" ht="31.5" hidden="false" customHeight="true" outlineLevel="0" collapsed="false">
      <c r="A2" s="3" t="s">
        <v>564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5" t="s">
        <v>565</v>
      </c>
      <c r="B4" s="5" t="s">
        <v>566</v>
      </c>
      <c r="C4" s="5" t="s">
        <v>567</v>
      </c>
      <c r="D4" s="5" t="s">
        <v>568</v>
      </c>
      <c r="E4" s="5" t="s">
        <v>569</v>
      </c>
      <c r="F4" s="5" t="s">
        <v>570</v>
      </c>
      <c r="G4" s="5" t="s">
        <v>571</v>
      </c>
    </row>
    <row r="5" customFormat="false" ht="90" hidden="false" customHeight="true" outlineLevel="0" collapsed="false">
      <c r="A5" s="7" t="s">
        <v>572</v>
      </c>
      <c r="B5" s="6" t="s">
        <v>573</v>
      </c>
      <c r="C5" s="6" t="s">
        <v>574</v>
      </c>
      <c r="D5" s="7" t="s">
        <v>575</v>
      </c>
      <c r="E5" s="99" t="s">
        <v>576</v>
      </c>
      <c r="F5" s="6" t="s">
        <v>577</v>
      </c>
      <c r="G5" s="7" t="s">
        <v>578</v>
      </c>
    </row>
    <row r="6" customFormat="false" ht="90" hidden="false" customHeight="true" outlineLevel="0" collapsed="false">
      <c r="A6" s="6" t="s">
        <v>579</v>
      </c>
      <c r="B6" s="6" t="s">
        <v>580</v>
      </c>
      <c r="C6" s="6" t="s">
        <v>581</v>
      </c>
      <c r="D6" s="7" t="s">
        <v>582</v>
      </c>
      <c r="E6" s="99" t="s">
        <v>576</v>
      </c>
      <c r="F6" s="7" t="s">
        <v>583</v>
      </c>
      <c r="G6" s="7" t="s">
        <v>584</v>
      </c>
    </row>
    <row r="7" customFormat="false" ht="90" hidden="false" customHeight="true" outlineLevel="0" collapsed="false">
      <c r="A7" s="7" t="s">
        <v>585</v>
      </c>
      <c r="B7" s="6" t="s">
        <v>586</v>
      </c>
      <c r="C7" s="6" t="s">
        <v>587</v>
      </c>
      <c r="D7" s="6" t="s">
        <v>588</v>
      </c>
      <c r="E7" s="99" t="s">
        <v>576</v>
      </c>
      <c r="F7" s="6" t="s">
        <v>589</v>
      </c>
      <c r="G7" s="9" t="s">
        <v>590</v>
      </c>
    </row>
    <row r="8" customFormat="false" ht="90" hidden="false" customHeight="true" outlineLevel="0" collapsed="false">
      <c r="A8" s="7" t="s">
        <v>591</v>
      </c>
      <c r="B8" s="6" t="s">
        <v>592</v>
      </c>
      <c r="C8" s="6" t="s">
        <v>593</v>
      </c>
      <c r="D8" s="6" t="s">
        <v>594</v>
      </c>
      <c r="E8" s="100" t="s">
        <v>595</v>
      </c>
      <c r="F8" s="6" t="s">
        <v>596</v>
      </c>
      <c r="G8" s="7" t="s">
        <v>597</v>
      </c>
    </row>
    <row r="9" customFormat="false" ht="90" hidden="false" customHeight="true" outlineLevel="0" collapsed="false">
      <c r="A9" s="6" t="s">
        <v>598</v>
      </c>
      <c r="B9" s="6" t="s">
        <v>599</v>
      </c>
      <c r="C9" s="6" t="s">
        <v>600</v>
      </c>
      <c r="D9" s="7" t="s">
        <v>601</v>
      </c>
      <c r="E9" s="101" t="s">
        <v>602</v>
      </c>
      <c r="F9" s="9" t="s">
        <v>603</v>
      </c>
      <c r="G9" s="9" t="s">
        <v>604</v>
      </c>
    </row>
    <row r="10" customFormat="false" ht="90" hidden="false" customHeight="true" outlineLevel="0" collapsed="false">
      <c r="A10" s="7" t="s">
        <v>605</v>
      </c>
      <c r="B10" s="7" t="s">
        <v>606</v>
      </c>
      <c r="C10" s="6" t="s">
        <v>607</v>
      </c>
      <c r="D10" s="7" t="s">
        <v>608</v>
      </c>
      <c r="E10" s="101" t="s">
        <v>602</v>
      </c>
      <c r="F10" s="7" t="s">
        <v>609</v>
      </c>
      <c r="G10" s="7" t="s">
        <v>610</v>
      </c>
    </row>
    <row r="11" customFormat="false" ht="90" hidden="false" customHeight="true" outlineLevel="0" collapsed="false">
      <c r="A11" s="6" t="s">
        <v>611</v>
      </c>
      <c r="B11" s="6" t="s">
        <v>612</v>
      </c>
      <c r="C11" s="6" t="s">
        <v>593</v>
      </c>
      <c r="D11" s="7" t="s">
        <v>613</v>
      </c>
      <c r="E11" s="99" t="s">
        <v>576</v>
      </c>
      <c r="F11" s="7" t="s">
        <v>614</v>
      </c>
      <c r="G11" s="7" t="s">
        <v>615</v>
      </c>
    </row>
    <row r="12" customFormat="false" ht="90" hidden="false" customHeight="true" outlineLevel="0" collapsed="false">
      <c r="A12" s="6" t="s">
        <v>616</v>
      </c>
      <c r="B12" s="6" t="s">
        <v>617</v>
      </c>
      <c r="C12" s="6" t="s">
        <v>618</v>
      </c>
      <c r="D12" s="7" t="s">
        <v>619</v>
      </c>
      <c r="E12" s="101" t="s">
        <v>602</v>
      </c>
      <c r="F12" s="7" t="s">
        <v>620</v>
      </c>
      <c r="G12" s="9" t="s">
        <v>621</v>
      </c>
    </row>
    <row r="13" customFormat="false" ht="90" hidden="false" customHeight="true" outlineLevel="0" collapsed="false">
      <c r="A13" s="7" t="s">
        <v>622</v>
      </c>
      <c r="B13" s="6" t="s">
        <v>623</v>
      </c>
      <c r="C13" s="6" t="s">
        <v>593</v>
      </c>
      <c r="D13" s="7" t="s">
        <v>624</v>
      </c>
      <c r="E13" s="99" t="s">
        <v>576</v>
      </c>
      <c r="F13" s="6" t="s">
        <v>625</v>
      </c>
      <c r="G13" s="6" t="s">
        <v>626</v>
      </c>
    </row>
    <row r="14" customFormat="false" ht="90" hidden="false" customHeight="true" outlineLevel="0" collapsed="false">
      <c r="A14" s="7" t="s">
        <v>627</v>
      </c>
      <c r="B14" s="6" t="s">
        <v>628</v>
      </c>
      <c r="C14" s="6" t="s">
        <v>629</v>
      </c>
      <c r="D14" s="7" t="s">
        <v>630</v>
      </c>
      <c r="E14" s="101" t="s">
        <v>602</v>
      </c>
      <c r="F14" s="6" t="s">
        <v>631</v>
      </c>
      <c r="G14" s="6" t="s">
        <v>632</v>
      </c>
    </row>
    <row r="15" customFormat="false" ht="90" hidden="false" customHeight="true" outlineLevel="0" collapsed="false">
      <c r="A15" s="7" t="s">
        <v>633</v>
      </c>
      <c r="B15" s="6" t="s">
        <v>634</v>
      </c>
      <c r="C15" s="6" t="s">
        <v>593</v>
      </c>
      <c r="D15" s="7" t="s">
        <v>635</v>
      </c>
      <c r="E15" s="99" t="s">
        <v>576</v>
      </c>
      <c r="F15" s="6" t="s">
        <v>636</v>
      </c>
      <c r="G15" s="6" t="s">
        <v>637</v>
      </c>
    </row>
    <row r="16" customFormat="false" ht="14.25" hidden="false" customHeight="true" outlineLevel="0" collapsed="false">
      <c r="A16" s="102" t="s">
        <v>638</v>
      </c>
    </row>
    <row r="17" customFormat="false" ht="43.5" hidden="false" customHeight="true" outlineLevel="0" collapsed="false">
      <c r="A17" s="103" t="s">
        <v>639</v>
      </c>
      <c r="B17" s="103"/>
      <c r="C17" s="103"/>
      <c r="D17" s="103"/>
      <c r="E17" s="103"/>
      <c r="F17" s="103"/>
      <c r="G17" s="103"/>
    </row>
    <row r="18" customFormat="false" ht="43.5" hidden="false" customHeight="true" outlineLevel="0" collapsed="false">
      <c r="A18" s="103" t="s">
        <v>640</v>
      </c>
      <c r="B18" s="103"/>
      <c r="C18" s="103"/>
      <c r="D18" s="103"/>
      <c r="E18" s="103"/>
      <c r="F18" s="103"/>
      <c r="G18" s="103"/>
    </row>
    <row r="19" customFormat="false" ht="43.5" hidden="false" customHeight="true" outlineLevel="0" collapsed="false">
      <c r="A19" s="103" t="s">
        <v>641</v>
      </c>
      <c r="B19" s="103"/>
      <c r="C19" s="103"/>
      <c r="D19" s="103"/>
      <c r="E19" s="103"/>
      <c r="F19" s="103"/>
      <c r="G19" s="103"/>
    </row>
    <row r="20" customFormat="false" ht="43.5" hidden="false" customHeight="true" outlineLevel="0" collapsed="false">
      <c r="A20" s="103" t="s">
        <v>642</v>
      </c>
      <c r="B20" s="103"/>
      <c r="C20" s="103"/>
      <c r="D20" s="103"/>
      <c r="E20" s="103"/>
      <c r="F20" s="103"/>
      <c r="G20" s="103"/>
    </row>
    <row r="21" customFormat="false" ht="43.5" hidden="false" customHeight="true" outlineLevel="0" collapsed="false">
      <c r="A21" s="103" t="s">
        <v>643</v>
      </c>
      <c r="B21" s="103"/>
      <c r="C21" s="103"/>
      <c r="D21" s="103"/>
      <c r="E21" s="103"/>
      <c r="F21" s="103"/>
      <c r="G21" s="103"/>
    </row>
    <row r="23" customFormat="false" ht="14.25" hidden="false" customHeight="true" outlineLevel="0" collapsed="false">
      <c r="A23" s="102" t="s">
        <v>644</v>
      </c>
    </row>
    <row r="24" customFormat="false" ht="30" hidden="false" customHeight="true" outlineLevel="0" collapsed="false">
      <c r="A24" s="104" t="s">
        <v>645</v>
      </c>
      <c r="B24" s="104"/>
      <c r="C24" s="104"/>
      <c r="D24" s="104"/>
      <c r="E24" s="104"/>
      <c r="F24" s="104"/>
      <c r="G24" s="104"/>
    </row>
    <row r="25" customFormat="false" ht="30" hidden="false" customHeight="true" outlineLevel="0" collapsed="false">
      <c r="A25" s="104" t="s">
        <v>646</v>
      </c>
      <c r="B25" s="104"/>
      <c r="C25" s="104"/>
      <c r="D25" s="104"/>
      <c r="E25" s="104"/>
      <c r="F25" s="104"/>
      <c r="G25" s="104"/>
    </row>
    <row r="26" customFormat="false" ht="30" hidden="false" customHeight="true" outlineLevel="0" collapsed="false">
      <c r="A26" s="104" t="s">
        <v>647</v>
      </c>
      <c r="B26" s="104"/>
      <c r="C26" s="104"/>
      <c r="D26" s="104"/>
      <c r="E26" s="104"/>
      <c r="F26" s="104"/>
      <c r="G26" s="104"/>
    </row>
    <row r="27" customFormat="false" ht="30" hidden="false" customHeight="true" outlineLevel="0" collapsed="false">
      <c r="A27" s="104" t="s">
        <v>648</v>
      </c>
      <c r="B27" s="104"/>
      <c r="C27" s="104"/>
      <c r="D27" s="104"/>
      <c r="E27" s="104"/>
      <c r="F27" s="104"/>
      <c r="G27" s="104"/>
    </row>
    <row r="28" customFormat="false" ht="30" hidden="false" customHeight="true" outlineLevel="0" collapsed="false">
      <c r="A28" s="104" t="s">
        <v>649</v>
      </c>
      <c r="B28" s="104"/>
      <c r="C28" s="104"/>
      <c r="D28" s="104"/>
      <c r="E28" s="104"/>
      <c r="F28" s="104"/>
      <c r="G28" s="104"/>
    </row>
    <row r="29" customFormat="false" ht="30" hidden="false" customHeight="true" outlineLevel="0" collapsed="false">
      <c r="A29" s="104" t="s">
        <v>650</v>
      </c>
      <c r="B29" s="104"/>
      <c r="C29" s="104"/>
      <c r="D29" s="104"/>
      <c r="E29" s="104"/>
      <c r="F29" s="104"/>
      <c r="G29" s="104"/>
    </row>
  </sheetData>
  <mergeCells count="12">
    <mergeCell ref="A2:G2"/>
    <mergeCell ref="A17:G17"/>
    <mergeCell ref="A18:G18"/>
    <mergeCell ref="A19:G19"/>
    <mergeCell ref="A20:G20"/>
    <mergeCell ref="A21:G21"/>
    <mergeCell ref="A24:G24"/>
    <mergeCell ref="A25:G25"/>
    <mergeCell ref="A26:G26"/>
    <mergeCell ref="A27:G27"/>
    <mergeCell ref="A28:G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44"/>
    <col collapsed="false" customWidth="true" hidden="false" outlineLevel="0" max="5" min="5" style="1" width="48"/>
    <col collapsed="false" customWidth="true" hidden="false" outlineLevel="0" max="6" min="6" style="1" width="30"/>
    <col collapsed="false" customWidth="true" hidden="false" outlineLevel="0" max="8" min="7" style="1" width="14"/>
    <col collapsed="false" customWidth="true" hidden="false" outlineLevel="0" max="9" min="9" style="1" width="9"/>
  </cols>
  <sheetData>
    <row r="1" customFormat="false" ht="16.5" hidden="false" customHeight="true" outlineLevel="0" collapsed="false">
      <c r="A1" s="105" t="s">
        <v>651</v>
      </c>
    </row>
    <row r="2" customFormat="false" ht="39.75" hidden="false" customHeight="true" outlineLevel="0" collapsed="false">
      <c r="A2" s="3" t="s">
        <v>652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106" t="s">
        <v>2</v>
      </c>
      <c r="B4" s="5" t="s">
        <v>653</v>
      </c>
      <c r="C4" s="5" t="s">
        <v>654</v>
      </c>
      <c r="D4" s="106" t="s">
        <v>655</v>
      </c>
      <c r="E4" s="106" t="s">
        <v>656</v>
      </c>
      <c r="F4" s="5" t="s">
        <v>657</v>
      </c>
      <c r="G4" s="5" t="s">
        <v>658</v>
      </c>
      <c r="H4" s="106" t="s">
        <v>659</v>
      </c>
      <c r="I4" s="5" t="s">
        <v>660</v>
      </c>
    </row>
    <row r="5" customFormat="false" ht="78" hidden="false" customHeight="true" outlineLevel="0" collapsed="false">
      <c r="A5" s="107" t="s">
        <v>661</v>
      </c>
      <c r="B5" s="108" t="s">
        <v>662</v>
      </c>
      <c r="C5" s="107" t="s">
        <v>663</v>
      </c>
      <c r="D5" s="108" t="s">
        <v>664</v>
      </c>
      <c r="E5" s="108" t="s">
        <v>665</v>
      </c>
      <c r="F5" s="107" t="s">
        <v>666</v>
      </c>
      <c r="G5" s="108" t="s">
        <v>667</v>
      </c>
      <c r="H5" s="108" t="s">
        <v>668</v>
      </c>
      <c r="I5" s="109" t="s">
        <v>669</v>
      </c>
    </row>
    <row r="6" customFormat="false" ht="78" hidden="false" customHeight="true" outlineLevel="0" collapsed="false">
      <c r="A6" s="110" t="s">
        <v>670</v>
      </c>
      <c r="B6" s="111" t="s">
        <v>662</v>
      </c>
      <c r="C6" s="110" t="s">
        <v>671</v>
      </c>
      <c r="D6" s="111" t="s">
        <v>672</v>
      </c>
      <c r="E6" s="111" t="s">
        <v>673</v>
      </c>
      <c r="F6" s="110" t="s">
        <v>674</v>
      </c>
      <c r="G6" s="111" t="s">
        <v>667</v>
      </c>
      <c r="H6" s="111" t="s">
        <v>675</v>
      </c>
      <c r="I6" s="112" t="s">
        <v>676</v>
      </c>
    </row>
    <row r="7" customFormat="false" ht="78" hidden="false" customHeight="true" outlineLevel="0" collapsed="false">
      <c r="A7" s="110" t="s">
        <v>677</v>
      </c>
      <c r="B7" s="111" t="s">
        <v>662</v>
      </c>
      <c r="C7" s="111" t="s">
        <v>678</v>
      </c>
      <c r="D7" s="110" t="s">
        <v>679</v>
      </c>
      <c r="E7" s="110" t="s">
        <v>680</v>
      </c>
      <c r="F7" s="110" t="s">
        <v>681</v>
      </c>
      <c r="G7" s="110" t="s">
        <v>682</v>
      </c>
      <c r="H7" s="111" t="s">
        <v>683</v>
      </c>
      <c r="I7" s="109" t="s">
        <v>669</v>
      </c>
    </row>
    <row r="8" customFormat="false" ht="78" hidden="false" customHeight="true" outlineLevel="0" collapsed="false">
      <c r="A8" s="110" t="s">
        <v>684</v>
      </c>
      <c r="B8" s="111" t="s">
        <v>662</v>
      </c>
      <c r="C8" s="111" t="s">
        <v>685</v>
      </c>
      <c r="D8" s="110" t="s">
        <v>686</v>
      </c>
      <c r="E8" s="111" t="s">
        <v>687</v>
      </c>
      <c r="F8" s="110" t="s">
        <v>688</v>
      </c>
      <c r="G8" s="111" t="s">
        <v>667</v>
      </c>
      <c r="H8" s="111" t="s">
        <v>689</v>
      </c>
      <c r="I8" s="112" t="s">
        <v>676</v>
      </c>
    </row>
    <row r="9" customFormat="false" ht="78" hidden="false" customHeight="true" outlineLevel="0" collapsed="false">
      <c r="A9" s="110" t="s">
        <v>690</v>
      </c>
      <c r="B9" s="111" t="s">
        <v>662</v>
      </c>
      <c r="C9" s="111" t="s">
        <v>691</v>
      </c>
      <c r="D9" s="110" t="s">
        <v>692</v>
      </c>
      <c r="E9" s="111" t="s">
        <v>693</v>
      </c>
      <c r="F9" s="110" t="s">
        <v>694</v>
      </c>
      <c r="G9" s="111" t="s">
        <v>667</v>
      </c>
      <c r="H9" s="111" t="s">
        <v>695</v>
      </c>
      <c r="I9" s="112" t="s">
        <v>676</v>
      </c>
    </row>
    <row r="10" customFormat="false" ht="78" hidden="false" customHeight="true" outlineLevel="0" collapsed="false">
      <c r="A10" s="110" t="s">
        <v>696</v>
      </c>
      <c r="B10" s="111" t="s">
        <v>662</v>
      </c>
      <c r="C10" s="111" t="s">
        <v>697</v>
      </c>
      <c r="D10" s="110" t="s">
        <v>698</v>
      </c>
      <c r="E10" s="110" t="s">
        <v>699</v>
      </c>
      <c r="F10" s="110" t="s">
        <v>700</v>
      </c>
      <c r="G10" s="111" t="s">
        <v>667</v>
      </c>
      <c r="H10" s="111" t="s">
        <v>701</v>
      </c>
      <c r="I10" s="109" t="s">
        <v>669</v>
      </c>
    </row>
    <row r="11" customFormat="false" ht="78" hidden="false" customHeight="true" outlineLevel="0" collapsed="false">
      <c r="A11" s="110" t="s">
        <v>702</v>
      </c>
      <c r="B11" s="111" t="s">
        <v>662</v>
      </c>
      <c r="C11" s="110" t="s">
        <v>703</v>
      </c>
      <c r="D11" s="111" t="s">
        <v>704</v>
      </c>
      <c r="E11" s="111" t="s">
        <v>705</v>
      </c>
      <c r="F11" s="110" t="s">
        <v>706</v>
      </c>
      <c r="G11" s="111" t="s">
        <v>667</v>
      </c>
      <c r="H11" s="111" t="s">
        <v>707</v>
      </c>
      <c r="I11" s="112" t="s">
        <v>676</v>
      </c>
    </row>
    <row r="12" customFormat="false" ht="78" hidden="false" customHeight="true" outlineLevel="0" collapsed="false">
      <c r="A12" s="110" t="s">
        <v>708</v>
      </c>
      <c r="B12" s="111" t="s">
        <v>662</v>
      </c>
      <c r="C12" s="111" t="s">
        <v>709</v>
      </c>
      <c r="D12" s="111" t="s">
        <v>710</v>
      </c>
      <c r="E12" s="110" t="s">
        <v>711</v>
      </c>
      <c r="F12" s="110" t="s">
        <v>712</v>
      </c>
      <c r="G12" s="111" t="s">
        <v>667</v>
      </c>
      <c r="H12" s="111" t="s">
        <v>713</v>
      </c>
      <c r="I12" s="112" t="s">
        <v>676</v>
      </c>
    </row>
    <row r="13" customFormat="false" ht="78" hidden="false" customHeight="true" outlineLevel="0" collapsed="false">
      <c r="A13" s="110" t="s">
        <v>714</v>
      </c>
      <c r="B13" s="111" t="s">
        <v>662</v>
      </c>
      <c r="C13" s="111" t="s">
        <v>715</v>
      </c>
      <c r="D13" s="111" t="s">
        <v>716</v>
      </c>
      <c r="E13" s="111" t="s">
        <v>717</v>
      </c>
      <c r="F13" s="110" t="s">
        <v>718</v>
      </c>
      <c r="G13" s="110" t="s">
        <v>719</v>
      </c>
      <c r="H13" s="111" t="s">
        <v>720</v>
      </c>
      <c r="I13" s="109" t="s">
        <v>669</v>
      </c>
    </row>
    <row r="14" customFormat="false" ht="78" hidden="false" customHeight="true" outlineLevel="0" collapsed="false">
      <c r="A14" s="110" t="s">
        <v>721</v>
      </c>
      <c r="B14" s="111" t="s">
        <v>662</v>
      </c>
      <c r="C14" s="111" t="s">
        <v>722</v>
      </c>
      <c r="D14" s="111" t="s">
        <v>723</v>
      </c>
      <c r="E14" s="110" t="s">
        <v>724</v>
      </c>
      <c r="F14" s="110" t="s">
        <v>725</v>
      </c>
      <c r="G14" s="110" t="s">
        <v>726</v>
      </c>
      <c r="H14" s="111" t="s">
        <v>668</v>
      </c>
      <c r="I14" s="109" t="s">
        <v>669</v>
      </c>
    </row>
    <row r="15" customFormat="false" ht="78" hidden="false" customHeight="true" outlineLevel="0" collapsed="false">
      <c r="A15" s="110" t="s">
        <v>727</v>
      </c>
      <c r="B15" s="111" t="s">
        <v>662</v>
      </c>
      <c r="C15" s="111" t="s">
        <v>728</v>
      </c>
      <c r="D15" s="111" t="s">
        <v>729</v>
      </c>
      <c r="E15" s="111" t="s">
        <v>730</v>
      </c>
      <c r="F15" s="110" t="s">
        <v>731</v>
      </c>
      <c r="G15" s="111" t="s">
        <v>667</v>
      </c>
      <c r="H15" s="111" t="s">
        <v>732</v>
      </c>
      <c r="I15" s="112" t="s">
        <v>676</v>
      </c>
    </row>
    <row r="16" customFormat="false" ht="78" hidden="false" customHeight="true" outlineLevel="0" collapsed="false">
      <c r="A16" s="110" t="s">
        <v>733</v>
      </c>
      <c r="B16" s="111" t="s">
        <v>662</v>
      </c>
      <c r="C16" s="111" t="s">
        <v>734</v>
      </c>
      <c r="D16" s="110" t="s">
        <v>735</v>
      </c>
      <c r="E16" s="110" t="s">
        <v>736</v>
      </c>
      <c r="F16" s="110" t="s">
        <v>737</v>
      </c>
      <c r="G16" s="111" t="s">
        <v>738</v>
      </c>
      <c r="H16" s="111" t="s">
        <v>739</v>
      </c>
      <c r="I16" s="112" t="s">
        <v>676</v>
      </c>
    </row>
    <row r="17" customFormat="false" ht="78" hidden="false" customHeight="true" outlineLevel="0" collapsed="false">
      <c r="A17" s="107" t="s">
        <v>740</v>
      </c>
      <c r="B17" s="108" t="s">
        <v>741</v>
      </c>
      <c r="C17" s="107" t="s">
        <v>742</v>
      </c>
      <c r="D17" s="108" t="s">
        <v>743</v>
      </c>
      <c r="E17" s="108" t="s">
        <v>744</v>
      </c>
      <c r="F17" s="107" t="s">
        <v>745</v>
      </c>
      <c r="G17" s="107" t="s">
        <v>746</v>
      </c>
      <c r="H17" s="108" t="s">
        <v>695</v>
      </c>
      <c r="I17" s="112" t="s">
        <v>676</v>
      </c>
    </row>
    <row r="18" customFormat="false" ht="78" hidden="false" customHeight="true" outlineLevel="0" collapsed="false">
      <c r="A18" s="110" t="s">
        <v>747</v>
      </c>
      <c r="B18" s="111" t="s">
        <v>741</v>
      </c>
      <c r="C18" s="110" t="s">
        <v>748</v>
      </c>
      <c r="D18" s="111" t="s">
        <v>749</v>
      </c>
      <c r="E18" s="111" t="s">
        <v>750</v>
      </c>
      <c r="F18" s="110" t="s">
        <v>751</v>
      </c>
      <c r="G18" s="110" t="s">
        <v>746</v>
      </c>
      <c r="H18" s="111" t="s">
        <v>695</v>
      </c>
      <c r="I18" s="112" t="s">
        <v>676</v>
      </c>
    </row>
    <row r="19" customFormat="false" ht="78" hidden="false" customHeight="true" outlineLevel="0" collapsed="false">
      <c r="A19" s="110" t="s">
        <v>752</v>
      </c>
      <c r="B19" s="111" t="s">
        <v>741</v>
      </c>
      <c r="C19" s="111" t="s">
        <v>753</v>
      </c>
      <c r="D19" s="111" t="s">
        <v>754</v>
      </c>
      <c r="E19" s="111" t="s">
        <v>755</v>
      </c>
      <c r="F19" s="110" t="s">
        <v>756</v>
      </c>
      <c r="G19" s="111" t="s">
        <v>757</v>
      </c>
      <c r="H19" s="111" t="s">
        <v>758</v>
      </c>
      <c r="I19" s="112" t="s">
        <v>676</v>
      </c>
    </row>
    <row r="20" customFormat="false" ht="78" hidden="false" customHeight="true" outlineLevel="0" collapsed="false">
      <c r="A20" s="110" t="s">
        <v>759</v>
      </c>
      <c r="B20" s="111" t="s">
        <v>741</v>
      </c>
      <c r="C20" s="110" t="s">
        <v>760</v>
      </c>
      <c r="D20" s="111" t="s">
        <v>761</v>
      </c>
      <c r="E20" s="110" t="s">
        <v>762</v>
      </c>
      <c r="F20" s="110" t="s">
        <v>763</v>
      </c>
      <c r="G20" s="110" t="s">
        <v>764</v>
      </c>
      <c r="H20" s="111" t="s">
        <v>695</v>
      </c>
      <c r="I20" s="112" t="s">
        <v>676</v>
      </c>
    </row>
    <row r="21" customFormat="false" ht="78" hidden="false" customHeight="true" outlineLevel="0" collapsed="false">
      <c r="A21" s="110" t="s">
        <v>765</v>
      </c>
      <c r="B21" s="111" t="s">
        <v>741</v>
      </c>
      <c r="C21" s="111" t="s">
        <v>766</v>
      </c>
      <c r="D21" s="111" t="s">
        <v>767</v>
      </c>
      <c r="E21" s="110" t="s">
        <v>768</v>
      </c>
      <c r="F21" s="110" t="s">
        <v>769</v>
      </c>
      <c r="G21" s="110" t="s">
        <v>764</v>
      </c>
      <c r="H21" s="111" t="s">
        <v>695</v>
      </c>
      <c r="I21" s="112" t="s">
        <v>676</v>
      </c>
    </row>
    <row r="22" customFormat="false" ht="78" hidden="false" customHeight="true" outlineLevel="0" collapsed="false">
      <c r="A22" s="107" t="s">
        <v>770</v>
      </c>
      <c r="B22" s="108" t="s">
        <v>771</v>
      </c>
      <c r="C22" s="108" t="s">
        <v>772</v>
      </c>
      <c r="D22" s="108" t="s">
        <v>101</v>
      </c>
      <c r="E22" s="108" t="s">
        <v>773</v>
      </c>
      <c r="F22" s="107" t="s">
        <v>774</v>
      </c>
      <c r="G22" s="108" t="s">
        <v>667</v>
      </c>
      <c r="H22" s="108" t="s">
        <v>775</v>
      </c>
      <c r="I22" s="112" t="s">
        <v>676</v>
      </c>
    </row>
    <row r="23" customFormat="false" ht="78" hidden="false" customHeight="true" outlineLevel="0" collapsed="false">
      <c r="A23" s="110" t="s">
        <v>776</v>
      </c>
      <c r="B23" s="111" t="s">
        <v>771</v>
      </c>
      <c r="C23" s="111" t="s">
        <v>777</v>
      </c>
      <c r="D23" s="110" t="s">
        <v>778</v>
      </c>
      <c r="E23" s="111" t="s">
        <v>779</v>
      </c>
      <c r="F23" s="110" t="s">
        <v>780</v>
      </c>
      <c r="G23" s="111" t="s">
        <v>667</v>
      </c>
      <c r="H23" s="111" t="s">
        <v>781</v>
      </c>
      <c r="I23" s="112" t="s">
        <v>676</v>
      </c>
    </row>
    <row r="24" customFormat="false" ht="78" hidden="false" customHeight="true" outlineLevel="0" collapsed="false">
      <c r="A24" s="110" t="s">
        <v>782</v>
      </c>
      <c r="B24" s="111" t="s">
        <v>771</v>
      </c>
      <c r="C24" s="111" t="s">
        <v>783</v>
      </c>
      <c r="D24" s="110" t="s">
        <v>784</v>
      </c>
      <c r="E24" s="110" t="s">
        <v>785</v>
      </c>
      <c r="F24" s="110" t="s">
        <v>786</v>
      </c>
      <c r="G24" s="111" t="s">
        <v>667</v>
      </c>
      <c r="H24" s="111" t="s">
        <v>787</v>
      </c>
      <c r="I24" s="112" t="s">
        <v>676</v>
      </c>
    </row>
    <row r="25" customFormat="false" ht="78" hidden="false" customHeight="true" outlineLevel="0" collapsed="false">
      <c r="A25" s="110" t="s">
        <v>788</v>
      </c>
      <c r="B25" s="111" t="s">
        <v>771</v>
      </c>
      <c r="C25" s="111" t="s">
        <v>789</v>
      </c>
      <c r="D25" s="111" t="s">
        <v>101</v>
      </c>
      <c r="E25" s="111" t="s">
        <v>790</v>
      </c>
      <c r="F25" s="110" t="s">
        <v>791</v>
      </c>
      <c r="G25" s="111" t="s">
        <v>667</v>
      </c>
      <c r="H25" s="111" t="s">
        <v>695</v>
      </c>
      <c r="I25" s="112" t="s">
        <v>676</v>
      </c>
    </row>
    <row r="26" customFormat="false" ht="78" hidden="false" customHeight="true" outlineLevel="0" collapsed="false">
      <c r="A26" s="107" t="s">
        <v>792</v>
      </c>
      <c r="B26" s="108" t="s">
        <v>793</v>
      </c>
      <c r="C26" s="108" t="s">
        <v>794</v>
      </c>
      <c r="D26" s="108" t="s">
        <v>795</v>
      </c>
      <c r="E26" s="108" t="s">
        <v>796</v>
      </c>
      <c r="F26" s="107" t="s">
        <v>797</v>
      </c>
      <c r="G26" s="108" t="s">
        <v>798</v>
      </c>
      <c r="H26" s="108" t="s">
        <v>701</v>
      </c>
      <c r="I26" s="109" t="s">
        <v>669</v>
      </c>
    </row>
    <row r="27" customFormat="false" ht="78" hidden="false" customHeight="true" outlineLevel="0" collapsed="false">
      <c r="A27" s="110" t="s">
        <v>799</v>
      </c>
      <c r="B27" s="111" t="s">
        <v>793</v>
      </c>
      <c r="C27" s="111" t="s">
        <v>800</v>
      </c>
      <c r="D27" s="110" t="s">
        <v>801</v>
      </c>
      <c r="E27" s="111" t="s">
        <v>802</v>
      </c>
      <c r="F27" s="110" t="s">
        <v>803</v>
      </c>
      <c r="G27" s="110" t="s">
        <v>804</v>
      </c>
      <c r="H27" s="111" t="s">
        <v>805</v>
      </c>
      <c r="I27" s="109" t="s">
        <v>669</v>
      </c>
    </row>
    <row r="28" customFormat="false" ht="78" hidden="false" customHeight="true" outlineLevel="0" collapsed="false">
      <c r="A28" s="110" t="s">
        <v>806</v>
      </c>
      <c r="B28" s="111" t="s">
        <v>793</v>
      </c>
      <c r="C28" s="111" t="s">
        <v>807</v>
      </c>
      <c r="D28" s="111" t="s">
        <v>808</v>
      </c>
      <c r="E28" s="110" t="s">
        <v>809</v>
      </c>
      <c r="F28" s="110" t="s">
        <v>810</v>
      </c>
      <c r="G28" s="111" t="s">
        <v>667</v>
      </c>
      <c r="H28" s="111" t="s">
        <v>701</v>
      </c>
      <c r="I28" s="112" t="s">
        <v>676</v>
      </c>
    </row>
    <row r="29" customFormat="false" ht="78" hidden="false" customHeight="true" outlineLevel="0" collapsed="false">
      <c r="A29" s="110" t="s">
        <v>811</v>
      </c>
      <c r="B29" s="111" t="s">
        <v>812</v>
      </c>
      <c r="C29" s="111" t="s">
        <v>813</v>
      </c>
      <c r="D29" s="111" t="s">
        <v>814</v>
      </c>
      <c r="E29" s="111" t="s">
        <v>815</v>
      </c>
      <c r="F29" s="110" t="s">
        <v>816</v>
      </c>
      <c r="G29" s="111" t="s">
        <v>667</v>
      </c>
      <c r="H29" s="111" t="s">
        <v>689</v>
      </c>
      <c r="I29" s="112" t="s">
        <v>676</v>
      </c>
    </row>
    <row r="30" customFormat="false" ht="78" hidden="false" customHeight="true" outlineLevel="0" collapsed="false">
      <c r="A30" s="110" t="s">
        <v>817</v>
      </c>
      <c r="B30" s="111" t="s">
        <v>812</v>
      </c>
      <c r="C30" s="111" t="s">
        <v>818</v>
      </c>
      <c r="D30" s="110" t="s">
        <v>819</v>
      </c>
      <c r="E30" s="111" t="s">
        <v>820</v>
      </c>
      <c r="F30" s="111" t="s">
        <v>821</v>
      </c>
      <c r="G30" s="110" t="s">
        <v>822</v>
      </c>
      <c r="H30" s="111" t="s">
        <v>695</v>
      </c>
      <c r="I30" s="109" t="s">
        <v>669</v>
      </c>
    </row>
    <row r="31" customFormat="false" ht="78" hidden="false" customHeight="true" outlineLevel="0" collapsed="false">
      <c r="A31" s="107" t="s">
        <v>823</v>
      </c>
      <c r="B31" s="108" t="s">
        <v>824</v>
      </c>
      <c r="C31" s="108" t="s">
        <v>825</v>
      </c>
      <c r="D31" s="107" t="s">
        <v>826</v>
      </c>
      <c r="E31" s="107" t="s">
        <v>827</v>
      </c>
      <c r="F31" s="107" t="s">
        <v>828</v>
      </c>
      <c r="G31" s="108" t="s">
        <v>667</v>
      </c>
      <c r="H31" s="107" t="s">
        <v>829</v>
      </c>
      <c r="I31" s="112" t="s">
        <v>676</v>
      </c>
    </row>
    <row r="32" customFormat="false" ht="78" hidden="false" customHeight="true" outlineLevel="0" collapsed="false">
      <c r="A32" s="110" t="s">
        <v>830</v>
      </c>
      <c r="B32" s="111" t="s">
        <v>824</v>
      </c>
      <c r="C32" s="111" t="s">
        <v>831</v>
      </c>
      <c r="D32" s="111" t="s">
        <v>832</v>
      </c>
      <c r="E32" s="110" t="s">
        <v>833</v>
      </c>
      <c r="F32" s="110" t="s">
        <v>834</v>
      </c>
      <c r="G32" s="110" t="s">
        <v>835</v>
      </c>
      <c r="H32" s="111" t="s">
        <v>836</v>
      </c>
      <c r="I32" s="112" t="s">
        <v>676</v>
      </c>
    </row>
    <row r="33" customFormat="false" ht="78" hidden="false" customHeight="true" outlineLevel="0" collapsed="false">
      <c r="A33" s="107" t="s">
        <v>837</v>
      </c>
      <c r="B33" s="108" t="s">
        <v>838</v>
      </c>
      <c r="C33" s="108" t="s">
        <v>839</v>
      </c>
      <c r="D33" s="108" t="s">
        <v>840</v>
      </c>
      <c r="E33" s="108" t="s">
        <v>841</v>
      </c>
      <c r="F33" s="107" t="s">
        <v>842</v>
      </c>
      <c r="G33" s="107" t="s">
        <v>719</v>
      </c>
      <c r="H33" s="108" t="s">
        <v>695</v>
      </c>
      <c r="I33" s="112" t="s">
        <v>676</v>
      </c>
    </row>
    <row r="34" customFormat="false" ht="78" hidden="false" customHeight="true" outlineLevel="0" collapsed="false">
      <c r="A34" s="110" t="s">
        <v>843</v>
      </c>
      <c r="B34" s="111" t="s">
        <v>838</v>
      </c>
      <c r="C34" s="111" t="s">
        <v>844</v>
      </c>
      <c r="D34" s="110" t="s">
        <v>845</v>
      </c>
      <c r="E34" s="110" t="s">
        <v>846</v>
      </c>
      <c r="F34" s="110" t="s">
        <v>847</v>
      </c>
      <c r="G34" s="110" t="s">
        <v>848</v>
      </c>
      <c r="H34" s="111" t="s">
        <v>849</v>
      </c>
      <c r="I34" s="112" t="s">
        <v>676</v>
      </c>
    </row>
    <row r="35" customFormat="false" ht="78" hidden="false" customHeight="true" outlineLevel="0" collapsed="false">
      <c r="A35" s="110" t="s">
        <v>850</v>
      </c>
      <c r="B35" s="111" t="s">
        <v>838</v>
      </c>
      <c r="C35" s="111" t="s">
        <v>851</v>
      </c>
      <c r="D35" s="111" t="s">
        <v>852</v>
      </c>
      <c r="E35" s="111" t="s">
        <v>853</v>
      </c>
      <c r="F35" s="110" t="s">
        <v>854</v>
      </c>
      <c r="G35" s="110" t="s">
        <v>835</v>
      </c>
      <c r="H35" s="111" t="s">
        <v>701</v>
      </c>
      <c r="I35" s="112" t="s">
        <v>676</v>
      </c>
    </row>
    <row r="36" customFormat="false" ht="78" hidden="false" customHeight="true" outlineLevel="0" collapsed="false">
      <c r="A36" s="110" t="s">
        <v>855</v>
      </c>
      <c r="B36" s="111" t="s">
        <v>838</v>
      </c>
      <c r="C36" s="111" t="s">
        <v>856</v>
      </c>
      <c r="D36" s="110" t="s">
        <v>857</v>
      </c>
      <c r="E36" s="111" t="s">
        <v>858</v>
      </c>
      <c r="F36" s="110" t="s">
        <v>859</v>
      </c>
      <c r="G36" s="110" t="s">
        <v>719</v>
      </c>
      <c r="H36" s="111" t="s">
        <v>758</v>
      </c>
      <c r="I36" s="109" t="s">
        <v>669</v>
      </c>
    </row>
    <row r="37" customFormat="false" ht="78" hidden="false" customHeight="true" outlineLevel="0" collapsed="false">
      <c r="A37" s="110" t="s">
        <v>860</v>
      </c>
      <c r="B37" s="111" t="s">
        <v>838</v>
      </c>
      <c r="C37" s="111" t="s">
        <v>861</v>
      </c>
      <c r="D37" s="110" t="s">
        <v>862</v>
      </c>
      <c r="E37" s="111" t="s">
        <v>863</v>
      </c>
      <c r="F37" s="110" t="s">
        <v>864</v>
      </c>
      <c r="G37" s="110" t="s">
        <v>719</v>
      </c>
      <c r="H37" s="111" t="s">
        <v>689</v>
      </c>
      <c r="I37" s="109" t="s">
        <v>669</v>
      </c>
    </row>
    <row r="38" customFormat="false" ht="78" hidden="false" customHeight="true" outlineLevel="0" collapsed="false">
      <c r="A38" s="110" t="s">
        <v>865</v>
      </c>
      <c r="B38" s="111" t="s">
        <v>866</v>
      </c>
      <c r="C38" s="111" t="s">
        <v>867</v>
      </c>
      <c r="D38" s="110" t="s">
        <v>868</v>
      </c>
      <c r="E38" s="111" t="s">
        <v>869</v>
      </c>
      <c r="F38" s="110" t="s">
        <v>870</v>
      </c>
      <c r="G38" s="110" t="s">
        <v>871</v>
      </c>
      <c r="H38" s="111" t="s">
        <v>758</v>
      </c>
      <c r="I38" s="109" t="s">
        <v>669</v>
      </c>
    </row>
    <row r="39" customFormat="false" ht="78" hidden="false" customHeight="true" outlineLevel="0" collapsed="false">
      <c r="A39" s="110" t="s">
        <v>872</v>
      </c>
      <c r="B39" s="111" t="s">
        <v>866</v>
      </c>
      <c r="C39" s="111" t="s">
        <v>873</v>
      </c>
      <c r="D39" s="111" t="s">
        <v>874</v>
      </c>
      <c r="E39" s="111" t="s">
        <v>875</v>
      </c>
      <c r="F39" s="111" t="s">
        <v>876</v>
      </c>
      <c r="G39" s="110" t="s">
        <v>871</v>
      </c>
      <c r="H39" s="111" t="s">
        <v>758</v>
      </c>
      <c r="I39" s="109" t="s">
        <v>669</v>
      </c>
    </row>
    <row r="40" customFormat="false" ht="78" hidden="false" customHeight="true" outlineLevel="0" collapsed="false">
      <c r="A40" s="110" t="s">
        <v>877</v>
      </c>
      <c r="B40" s="111" t="s">
        <v>866</v>
      </c>
      <c r="C40" s="111" t="s">
        <v>878</v>
      </c>
      <c r="D40" s="110" t="s">
        <v>879</v>
      </c>
      <c r="E40" s="111" t="s">
        <v>880</v>
      </c>
      <c r="F40" s="110" t="s">
        <v>881</v>
      </c>
      <c r="G40" s="110" t="s">
        <v>719</v>
      </c>
      <c r="H40" s="111" t="s">
        <v>758</v>
      </c>
      <c r="I40" s="109" t="s">
        <v>669</v>
      </c>
    </row>
    <row r="41" customFormat="false" ht="78" hidden="false" customHeight="true" outlineLevel="0" collapsed="false">
      <c r="A41" s="110" t="s">
        <v>882</v>
      </c>
      <c r="B41" s="111" t="s">
        <v>866</v>
      </c>
      <c r="C41" s="111" t="s">
        <v>883</v>
      </c>
      <c r="D41" s="110" t="s">
        <v>884</v>
      </c>
      <c r="E41" s="111" t="s">
        <v>885</v>
      </c>
      <c r="F41" s="110" t="s">
        <v>886</v>
      </c>
      <c r="G41" s="110" t="s">
        <v>719</v>
      </c>
      <c r="H41" s="111" t="s">
        <v>758</v>
      </c>
      <c r="I41" s="109" t="s">
        <v>669</v>
      </c>
    </row>
    <row r="42" customFormat="false" ht="78" hidden="false" customHeight="true" outlineLevel="0" collapsed="false">
      <c r="A42" s="110" t="s">
        <v>887</v>
      </c>
      <c r="B42" s="111" t="s">
        <v>888</v>
      </c>
      <c r="C42" s="111" t="s">
        <v>889</v>
      </c>
      <c r="D42" s="111" t="s">
        <v>890</v>
      </c>
      <c r="E42" s="111" t="s">
        <v>891</v>
      </c>
      <c r="F42" s="110" t="s">
        <v>892</v>
      </c>
      <c r="G42" s="110" t="s">
        <v>871</v>
      </c>
      <c r="H42" s="111" t="s">
        <v>787</v>
      </c>
      <c r="I42" s="109" t="s">
        <v>676</v>
      </c>
    </row>
    <row r="43" customFormat="false" ht="15" hidden="false" customHeight="true" outlineLevel="0" collapsed="false"/>
    <row r="44" customFormat="false" ht="15" hidden="false" customHeight="true" outlineLevel="0" collapsed="false">
      <c r="B44" s="113" t="s">
        <v>171</v>
      </c>
    </row>
    <row r="45" customFormat="false" ht="15" hidden="false" customHeight="true" outlineLevel="0" collapsed="false">
      <c r="B45" s="20"/>
      <c r="C45" s="114" t="s">
        <v>893</v>
      </c>
    </row>
    <row r="46" customFormat="false" ht="15" hidden="false" customHeight="true" outlineLevel="0" collapsed="false">
      <c r="B46" s="19"/>
      <c r="C46" s="114" t="s">
        <v>894</v>
      </c>
    </row>
    <row r="47" customFormat="false" ht="15" hidden="false" customHeight="true" outlineLevel="0" collapsed="false">
      <c r="B47" s="17"/>
      <c r="C47" s="114" t="s">
        <v>895</v>
      </c>
    </row>
    <row r="49" customFormat="false" ht="15" hidden="false" customHeight="true" outlineLevel="0" collapsed="false">
      <c r="B49" s="113" t="s">
        <v>896</v>
      </c>
    </row>
    <row r="50" customFormat="false" ht="15" hidden="false" customHeight="true" outlineLevel="0" collapsed="false">
      <c r="B50" s="114" t="s">
        <v>676</v>
      </c>
      <c r="C50" s="115" t="n">
        <f aca="false">COUNTIF(I5:I42,"未協議")</f>
        <v>24</v>
      </c>
    </row>
    <row r="51" customFormat="false" ht="15" hidden="false" customHeight="true" outlineLevel="0" collapsed="false">
      <c r="B51" s="114" t="s">
        <v>669</v>
      </c>
      <c r="C51" s="115" t="n">
        <f aca="false">COUNTIF(I5:I42,"協議中")</f>
        <v>14</v>
      </c>
    </row>
    <row r="52" customFormat="false" ht="15" hidden="false" customHeight="true" outlineLevel="0" collapsed="false">
      <c r="B52" s="114" t="s">
        <v>895</v>
      </c>
      <c r="C52" s="115" t="n">
        <f aca="false">COUNTIF(I5:I42,"合意")</f>
        <v>0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6" min="3" style="1" width="10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30"/>
  </cols>
  <sheetData>
    <row r="1" customFormat="false" ht="15" hidden="false" customHeight="true" outlineLevel="0" collapsed="false">
      <c r="A1" s="98" t="s">
        <v>897</v>
      </c>
    </row>
    <row r="2" customFormat="false" ht="14.25" hidden="false" customHeight="true" outlineLevel="0" collapsed="false">
      <c r="A2" s="15" t="s">
        <v>898</v>
      </c>
    </row>
    <row r="3" customFormat="false" ht="63.75" hidden="false" customHeight="true" outlineLevel="0" collapsed="false">
      <c r="A3" s="75" t="s">
        <v>899</v>
      </c>
      <c r="B3" s="75"/>
      <c r="C3" s="75"/>
      <c r="D3" s="75"/>
      <c r="E3" s="75"/>
      <c r="F3" s="75"/>
      <c r="G3" s="75"/>
      <c r="H3" s="75"/>
      <c r="I3" s="75"/>
      <c r="J3" s="75"/>
    </row>
    <row r="4" customFormat="false" ht="14.25" hidden="false" customHeight="true" outlineLevel="0" collapsed="false">
      <c r="A4" s="5" t="s">
        <v>900</v>
      </c>
      <c r="B4" s="5" t="s">
        <v>3</v>
      </c>
      <c r="C4" s="5" t="s">
        <v>901</v>
      </c>
      <c r="D4" s="5" t="s">
        <v>902</v>
      </c>
      <c r="E4" s="5" t="s">
        <v>903</v>
      </c>
      <c r="F4" s="5" t="s">
        <v>904</v>
      </c>
      <c r="G4" s="5" t="s">
        <v>905</v>
      </c>
      <c r="H4" s="5" t="s">
        <v>9</v>
      </c>
      <c r="I4" s="4" t="s">
        <v>494</v>
      </c>
      <c r="J4" s="5" t="s">
        <v>906</v>
      </c>
    </row>
    <row r="5" customFormat="false" ht="26.25" hidden="false" customHeight="true" outlineLevel="0" collapsed="false">
      <c r="A5" s="116" t="s">
        <v>907</v>
      </c>
      <c r="B5" s="117" t="s">
        <v>908</v>
      </c>
      <c r="C5" s="117" t="s">
        <v>909</v>
      </c>
      <c r="D5" s="117" t="s">
        <v>910</v>
      </c>
      <c r="E5" s="117" t="s">
        <v>911</v>
      </c>
      <c r="F5" s="117" t="s">
        <v>912</v>
      </c>
      <c r="G5" s="117" t="s">
        <v>131</v>
      </c>
      <c r="H5" s="117" t="s">
        <v>913</v>
      </c>
      <c r="I5" s="117" t="s">
        <v>914</v>
      </c>
      <c r="J5" s="117" t="s">
        <v>915</v>
      </c>
    </row>
    <row r="6" customFormat="false" ht="14.25" hidden="false" customHeight="true" outlineLevel="0" collapsed="false">
      <c r="A6" s="116" t="s">
        <v>916</v>
      </c>
      <c r="B6" s="117" t="s">
        <v>917</v>
      </c>
      <c r="C6" s="117" t="s">
        <v>909</v>
      </c>
      <c r="D6" s="117" t="s">
        <v>918</v>
      </c>
      <c r="E6" s="117" t="s">
        <v>919</v>
      </c>
      <c r="F6" s="117" t="s">
        <v>131</v>
      </c>
      <c r="G6" s="117" t="s">
        <v>920</v>
      </c>
      <c r="H6" s="117" t="s">
        <v>921</v>
      </c>
      <c r="I6" s="117" t="s">
        <v>914</v>
      </c>
      <c r="J6" s="116" t="s">
        <v>922</v>
      </c>
    </row>
    <row r="7" customFormat="false" ht="14.25" hidden="false" customHeight="true" outlineLevel="0" collapsed="false">
      <c r="A7" s="116" t="s">
        <v>923</v>
      </c>
      <c r="B7" s="117" t="s">
        <v>924</v>
      </c>
      <c r="C7" s="117" t="s">
        <v>925</v>
      </c>
      <c r="D7" s="117" t="s">
        <v>926</v>
      </c>
      <c r="E7" s="117" t="s">
        <v>927</v>
      </c>
      <c r="F7" s="117" t="s">
        <v>928</v>
      </c>
      <c r="G7" s="117" t="s">
        <v>929</v>
      </c>
      <c r="H7" s="117" t="s">
        <v>913</v>
      </c>
      <c r="I7" s="117" t="s">
        <v>914</v>
      </c>
      <c r="J7" s="117" t="s">
        <v>915</v>
      </c>
    </row>
    <row r="8" customFormat="false" ht="14.25" hidden="false" customHeight="true" outlineLevel="0" collapsed="false">
      <c r="A8" s="116" t="s">
        <v>923</v>
      </c>
      <c r="B8" s="117" t="s">
        <v>930</v>
      </c>
      <c r="C8" s="117" t="s">
        <v>925</v>
      </c>
      <c r="D8" s="117" t="s">
        <v>926</v>
      </c>
      <c r="E8" s="117" t="s">
        <v>927</v>
      </c>
      <c r="F8" s="117" t="s">
        <v>928</v>
      </c>
      <c r="G8" s="117" t="s">
        <v>929</v>
      </c>
      <c r="H8" s="117" t="s">
        <v>931</v>
      </c>
      <c r="I8" s="117" t="s">
        <v>914</v>
      </c>
      <c r="J8" s="117" t="s">
        <v>915</v>
      </c>
    </row>
    <row r="9" customFormat="false" ht="26.25" hidden="false" customHeight="true" outlineLevel="0" collapsed="false">
      <c r="A9" s="116" t="s">
        <v>932</v>
      </c>
      <c r="B9" s="117" t="s">
        <v>933</v>
      </c>
      <c r="C9" s="117" t="s">
        <v>909</v>
      </c>
      <c r="D9" s="117" t="s">
        <v>918</v>
      </c>
      <c r="E9" s="117" t="s">
        <v>911</v>
      </c>
      <c r="F9" s="117" t="s">
        <v>912</v>
      </c>
      <c r="G9" s="117" t="s">
        <v>934</v>
      </c>
      <c r="H9" s="117" t="s">
        <v>913</v>
      </c>
      <c r="I9" s="117" t="s">
        <v>914</v>
      </c>
      <c r="J9" s="117" t="s">
        <v>915</v>
      </c>
    </row>
    <row r="10" customFormat="false" ht="14.25" hidden="false" customHeight="true" outlineLevel="0" collapsed="false">
      <c r="A10" s="116" t="s">
        <v>932</v>
      </c>
      <c r="B10" s="117" t="s">
        <v>935</v>
      </c>
      <c r="C10" s="117" t="s">
        <v>909</v>
      </c>
      <c r="D10" s="117" t="s">
        <v>918</v>
      </c>
      <c r="E10" s="117" t="s">
        <v>911</v>
      </c>
      <c r="F10" s="117" t="s">
        <v>912</v>
      </c>
      <c r="G10" s="117" t="s">
        <v>934</v>
      </c>
      <c r="H10" s="117" t="s">
        <v>931</v>
      </c>
      <c r="I10" s="117" t="s">
        <v>914</v>
      </c>
      <c r="J10" s="117" t="s">
        <v>915</v>
      </c>
    </row>
    <row r="11" customFormat="false" ht="26.25" hidden="false" customHeight="true" outlineLevel="0" collapsed="false">
      <c r="A11" s="116" t="s">
        <v>936</v>
      </c>
      <c r="B11" s="117" t="s">
        <v>937</v>
      </c>
      <c r="C11" s="117" t="s">
        <v>925</v>
      </c>
      <c r="D11" s="117" t="s">
        <v>938</v>
      </c>
      <c r="E11" s="117" t="s">
        <v>927</v>
      </c>
      <c r="F11" s="117" t="s">
        <v>939</v>
      </c>
      <c r="G11" s="117" t="s">
        <v>940</v>
      </c>
      <c r="H11" s="117" t="s">
        <v>913</v>
      </c>
      <c r="I11" s="117" t="s">
        <v>914</v>
      </c>
      <c r="J11" s="116" t="s">
        <v>941</v>
      </c>
    </row>
    <row r="12" customFormat="false" ht="26.25" hidden="false" customHeight="true" outlineLevel="0" collapsed="false">
      <c r="A12" s="116" t="s">
        <v>942</v>
      </c>
      <c r="B12" s="117" t="s">
        <v>943</v>
      </c>
      <c r="C12" s="117" t="s">
        <v>925</v>
      </c>
      <c r="D12" s="117" t="s">
        <v>944</v>
      </c>
      <c r="E12" s="117" t="s">
        <v>911</v>
      </c>
      <c r="F12" s="117" t="s">
        <v>945</v>
      </c>
      <c r="G12" s="117" t="s">
        <v>131</v>
      </c>
      <c r="H12" s="117" t="s">
        <v>913</v>
      </c>
      <c r="I12" s="117" t="s">
        <v>946</v>
      </c>
      <c r="J12" s="116"/>
    </row>
    <row r="13" customFormat="false" ht="26.25" hidden="false" customHeight="true" outlineLevel="0" collapsed="false">
      <c r="A13" s="116" t="s">
        <v>947</v>
      </c>
      <c r="B13" s="117" t="s">
        <v>948</v>
      </c>
      <c r="C13" s="117" t="s">
        <v>909</v>
      </c>
      <c r="D13" s="117" t="s">
        <v>949</v>
      </c>
      <c r="E13" s="117" t="s">
        <v>911</v>
      </c>
      <c r="F13" s="117" t="s">
        <v>950</v>
      </c>
      <c r="G13" s="117" t="s">
        <v>131</v>
      </c>
      <c r="H13" s="117" t="s">
        <v>913</v>
      </c>
      <c r="I13" s="117" t="s">
        <v>946</v>
      </c>
      <c r="J13" s="116"/>
    </row>
    <row r="14" customFormat="false" ht="14.25" hidden="false" customHeight="true" outlineLevel="0" collapsed="false">
      <c r="A14" s="116" t="s">
        <v>951</v>
      </c>
      <c r="B14" s="117" t="s">
        <v>952</v>
      </c>
      <c r="C14" s="117" t="s">
        <v>909</v>
      </c>
      <c r="D14" s="117" t="s">
        <v>953</v>
      </c>
      <c r="E14" s="117" t="s">
        <v>911</v>
      </c>
      <c r="F14" s="117" t="s">
        <v>954</v>
      </c>
      <c r="G14" s="117" t="s">
        <v>131</v>
      </c>
      <c r="H14" s="117" t="s">
        <v>955</v>
      </c>
      <c r="I14" s="117" t="s">
        <v>914</v>
      </c>
      <c r="J14" s="117" t="s">
        <v>915</v>
      </c>
    </row>
    <row r="15" customFormat="false" ht="14.25" hidden="false" customHeight="true" outlineLevel="0" collapsed="false">
      <c r="A15" s="116" t="s">
        <v>956</v>
      </c>
      <c r="B15" s="117" t="s">
        <v>957</v>
      </c>
      <c r="C15" s="117" t="s">
        <v>925</v>
      </c>
      <c r="D15" s="117" t="s">
        <v>958</v>
      </c>
      <c r="E15" s="117" t="s">
        <v>911</v>
      </c>
      <c r="F15" s="117" t="s">
        <v>959</v>
      </c>
      <c r="G15" s="117" t="s">
        <v>131</v>
      </c>
      <c r="H15" s="117" t="s">
        <v>913</v>
      </c>
      <c r="I15" s="117" t="s">
        <v>946</v>
      </c>
      <c r="J15" s="116"/>
    </row>
    <row r="16" customFormat="false" ht="14.25" hidden="false" customHeight="true" outlineLevel="0" collapsed="false">
      <c r="A16" s="116" t="s">
        <v>956</v>
      </c>
      <c r="B16" s="117" t="s">
        <v>960</v>
      </c>
      <c r="C16" s="117" t="s">
        <v>925</v>
      </c>
      <c r="D16" s="117" t="s">
        <v>958</v>
      </c>
      <c r="E16" s="117" t="s">
        <v>911</v>
      </c>
      <c r="F16" s="117" t="s">
        <v>959</v>
      </c>
      <c r="G16" s="117" t="s">
        <v>131</v>
      </c>
      <c r="H16" s="117" t="s">
        <v>931</v>
      </c>
      <c r="I16" s="116"/>
      <c r="J16" s="116"/>
    </row>
    <row r="17" customFormat="false" ht="14.25" hidden="false" customHeight="true" outlineLevel="0" collapsed="false">
      <c r="A17" s="116" t="s">
        <v>961</v>
      </c>
      <c r="B17" s="117" t="s">
        <v>962</v>
      </c>
      <c r="C17" s="117" t="s">
        <v>925</v>
      </c>
      <c r="D17" s="117" t="s">
        <v>963</v>
      </c>
      <c r="E17" s="117" t="s">
        <v>911</v>
      </c>
      <c r="F17" s="117" t="s">
        <v>964</v>
      </c>
      <c r="G17" s="117" t="s">
        <v>131</v>
      </c>
      <c r="H17" s="117" t="s">
        <v>965</v>
      </c>
      <c r="I17" s="116"/>
      <c r="J17" s="117" t="s">
        <v>966</v>
      </c>
    </row>
    <row r="18" customFormat="false" ht="26.25" hidden="false" customHeight="true" outlineLevel="0" collapsed="false">
      <c r="A18" s="116" t="s">
        <v>967</v>
      </c>
      <c r="B18" s="117" t="s">
        <v>968</v>
      </c>
      <c r="C18" s="117" t="s">
        <v>909</v>
      </c>
      <c r="D18" s="117" t="s">
        <v>918</v>
      </c>
      <c r="E18" s="117" t="s">
        <v>911</v>
      </c>
      <c r="F18" s="117" t="s">
        <v>912</v>
      </c>
      <c r="G18" s="117" t="s">
        <v>131</v>
      </c>
      <c r="H18" s="117" t="s">
        <v>969</v>
      </c>
      <c r="I18" s="116"/>
      <c r="J18" s="116" t="s">
        <v>970</v>
      </c>
    </row>
    <row r="19" customFormat="false" ht="14.25" hidden="false" customHeight="true" outlineLevel="0" collapsed="false">
      <c r="A19" s="116" t="s">
        <v>971</v>
      </c>
      <c r="B19" s="117" t="s">
        <v>960</v>
      </c>
      <c r="C19" s="117" t="s">
        <v>925</v>
      </c>
      <c r="D19" s="117" t="s">
        <v>367</v>
      </c>
      <c r="E19" s="117" t="s">
        <v>911</v>
      </c>
      <c r="F19" s="117" t="s">
        <v>972</v>
      </c>
      <c r="G19" s="117" t="s">
        <v>131</v>
      </c>
      <c r="H19" s="117" t="s">
        <v>965</v>
      </c>
      <c r="I19" s="116"/>
      <c r="J19" s="116"/>
    </row>
    <row r="20" customFormat="false" ht="14.25" hidden="false" customHeight="true" outlineLevel="0" collapsed="false">
      <c r="A20" s="116" t="s">
        <v>973</v>
      </c>
      <c r="B20" s="117" t="s">
        <v>960</v>
      </c>
      <c r="C20" s="117" t="s">
        <v>909</v>
      </c>
      <c r="D20" s="117" t="s">
        <v>974</v>
      </c>
      <c r="E20" s="117" t="s">
        <v>911</v>
      </c>
      <c r="F20" s="117" t="s">
        <v>975</v>
      </c>
      <c r="G20" s="117" t="s">
        <v>131</v>
      </c>
      <c r="H20" s="117" t="s">
        <v>965</v>
      </c>
      <c r="I20" s="116"/>
      <c r="J20" s="116"/>
    </row>
    <row r="21" customFormat="false" ht="14.25" hidden="false" customHeight="true" outlineLevel="0" collapsed="false">
      <c r="A21" s="116" t="s">
        <v>976</v>
      </c>
      <c r="B21" s="117" t="s">
        <v>977</v>
      </c>
      <c r="C21" s="117" t="s">
        <v>925</v>
      </c>
      <c r="D21" s="117" t="s">
        <v>978</v>
      </c>
      <c r="E21" s="117" t="s">
        <v>919</v>
      </c>
      <c r="F21" s="117" t="s">
        <v>979</v>
      </c>
      <c r="G21" s="117" t="s">
        <v>131</v>
      </c>
      <c r="H21" s="117" t="s">
        <v>913</v>
      </c>
      <c r="I21" s="116"/>
      <c r="J21" s="116"/>
    </row>
    <row r="22" customFormat="false" ht="14.25" hidden="false" customHeight="true" outlineLevel="0" collapsed="false">
      <c r="A22" s="117" t="s">
        <v>980</v>
      </c>
      <c r="B22" s="117" t="s">
        <v>977</v>
      </c>
      <c r="C22" s="117" t="s">
        <v>925</v>
      </c>
      <c r="D22" s="117" t="s">
        <v>978</v>
      </c>
      <c r="E22" s="117" t="s">
        <v>911</v>
      </c>
      <c r="F22" s="117" t="s">
        <v>981</v>
      </c>
      <c r="G22" s="117" t="s">
        <v>131</v>
      </c>
      <c r="H22" s="117" t="s">
        <v>913</v>
      </c>
      <c r="I22" s="116"/>
      <c r="J22" s="116"/>
    </row>
    <row r="23" customFormat="false" ht="14.25" hidden="false" customHeight="true" outlineLevel="0" collapsed="false">
      <c r="A23" s="116" t="s">
        <v>982</v>
      </c>
      <c r="B23" s="117" t="s">
        <v>977</v>
      </c>
      <c r="C23" s="117" t="s">
        <v>909</v>
      </c>
      <c r="D23" s="117" t="s">
        <v>983</v>
      </c>
      <c r="E23" s="117" t="s">
        <v>911</v>
      </c>
      <c r="F23" s="117" t="s">
        <v>984</v>
      </c>
      <c r="G23" s="117" t="s">
        <v>131</v>
      </c>
      <c r="H23" s="117" t="s">
        <v>955</v>
      </c>
      <c r="I23" s="117" t="s">
        <v>946</v>
      </c>
      <c r="J23" s="116"/>
    </row>
    <row r="24" customFormat="false" ht="14.25" hidden="false" customHeight="true" outlineLevel="0" collapsed="false">
      <c r="A24" s="116" t="s">
        <v>985</v>
      </c>
      <c r="B24" s="117" t="s">
        <v>977</v>
      </c>
      <c r="C24" s="117" t="s">
        <v>925</v>
      </c>
      <c r="D24" s="117" t="s">
        <v>367</v>
      </c>
      <c r="E24" s="117" t="s">
        <v>911</v>
      </c>
      <c r="F24" s="117" t="s">
        <v>954</v>
      </c>
      <c r="G24" s="117" t="s">
        <v>131</v>
      </c>
      <c r="H24" s="117" t="s">
        <v>913</v>
      </c>
      <c r="I24" s="116"/>
      <c r="J24" s="117" t="s">
        <v>986</v>
      </c>
    </row>
    <row r="25" customFormat="false" ht="14.25" hidden="false" customHeight="true" outlineLevel="0" collapsed="false">
      <c r="A25" s="116" t="s">
        <v>987</v>
      </c>
      <c r="B25" s="117" t="s">
        <v>977</v>
      </c>
      <c r="C25" s="117" t="s">
        <v>909</v>
      </c>
      <c r="D25" s="117" t="s">
        <v>988</v>
      </c>
      <c r="E25" s="117" t="s">
        <v>911</v>
      </c>
      <c r="F25" s="117" t="s">
        <v>989</v>
      </c>
      <c r="G25" s="117" t="s">
        <v>131</v>
      </c>
      <c r="H25" s="117" t="s">
        <v>955</v>
      </c>
      <c r="I25" s="116"/>
      <c r="J25" s="116"/>
    </row>
    <row r="26" customFormat="false" ht="14.25" hidden="false" customHeight="true" outlineLevel="0" collapsed="false">
      <c r="A26" s="116" t="s">
        <v>990</v>
      </c>
      <c r="B26" s="117" t="s">
        <v>977</v>
      </c>
      <c r="C26" s="117" t="s">
        <v>909</v>
      </c>
      <c r="D26" s="117" t="s">
        <v>991</v>
      </c>
      <c r="E26" s="117" t="s">
        <v>927</v>
      </c>
      <c r="F26" s="117" t="s">
        <v>992</v>
      </c>
      <c r="G26" s="117" t="s">
        <v>131</v>
      </c>
      <c r="H26" s="117" t="s">
        <v>955</v>
      </c>
      <c r="I26" s="116"/>
      <c r="J26" s="116"/>
    </row>
    <row r="27" customFormat="false" ht="14.25" hidden="false" customHeight="true" outlineLevel="0" collapsed="false">
      <c r="A27" s="116" t="s">
        <v>993</v>
      </c>
      <c r="B27" s="117" t="s">
        <v>977</v>
      </c>
      <c r="C27" s="117" t="s">
        <v>909</v>
      </c>
      <c r="D27" s="117" t="s">
        <v>994</v>
      </c>
      <c r="E27" s="117" t="s">
        <v>911</v>
      </c>
      <c r="F27" s="117" t="s">
        <v>984</v>
      </c>
      <c r="G27" s="117" t="s">
        <v>131</v>
      </c>
      <c r="H27" s="117" t="s">
        <v>955</v>
      </c>
      <c r="I27" s="116"/>
      <c r="J27" s="116"/>
    </row>
    <row r="28" customFormat="false" ht="26.25" hidden="false" customHeight="true" outlineLevel="0" collapsed="false">
      <c r="A28" s="116" t="s">
        <v>995</v>
      </c>
      <c r="B28" s="117" t="s">
        <v>996</v>
      </c>
      <c r="C28" s="117" t="s">
        <v>925</v>
      </c>
      <c r="D28" s="117" t="s">
        <v>367</v>
      </c>
      <c r="E28" s="117" t="s">
        <v>911</v>
      </c>
      <c r="F28" s="117" t="s">
        <v>997</v>
      </c>
      <c r="G28" s="117" t="s">
        <v>131</v>
      </c>
      <c r="H28" s="117" t="s">
        <v>998</v>
      </c>
      <c r="I28" s="116"/>
      <c r="J28" s="116"/>
    </row>
    <row r="29" customFormat="false" ht="14.25" hidden="false" customHeight="true" outlineLevel="0" collapsed="false">
      <c r="A29" s="116" t="s">
        <v>999</v>
      </c>
      <c r="B29" s="116" t="s">
        <v>1000</v>
      </c>
      <c r="C29" s="117" t="s">
        <v>925</v>
      </c>
      <c r="D29" s="117" t="s">
        <v>364</v>
      </c>
      <c r="E29" s="117" t="s">
        <v>911</v>
      </c>
      <c r="F29" s="117" t="s">
        <v>1001</v>
      </c>
      <c r="G29" s="117" t="s">
        <v>131</v>
      </c>
      <c r="H29" s="117" t="s">
        <v>1002</v>
      </c>
      <c r="I29" s="116"/>
      <c r="J29" s="117" t="s">
        <v>1003</v>
      </c>
    </row>
    <row r="30" customFormat="false" ht="14.25" hidden="false" customHeight="true" outlineLevel="0" collapsed="false">
      <c r="A30" s="116" t="s">
        <v>1004</v>
      </c>
      <c r="B30" s="117" t="s">
        <v>1005</v>
      </c>
      <c r="C30" s="117" t="s">
        <v>909</v>
      </c>
      <c r="D30" s="117" t="s">
        <v>131</v>
      </c>
      <c r="E30" s="117" t="s">
        <v>911</v>
      </c>
      <c r="F30" s="117" t="s">
        <v>131</v>
      </c>
      <c r="G30" s="117" t="s">
        <v>131</v>
      </c>
      <c r="H30" s="117" t="s">
        <v>969</v>
      </c>
      <c r="I30" s="116"/>
      <c r="J30" s="117" t="s">
        <v>1006</v>
      </c>
    </row>
    <row r="31" customFormat="false" ht="52.5" hidden="false" customHeight="true" outlineLevel="0" collapsed="false">
      <c r="A31" s="116" t="s">
        <v>1007</v>
      </c>
      <c r="B31" s="117" t="s">
        <v>1008</v>
      </c>
      <c r="C31" s="117" t="s">
        <v>131</v>
      </c>
      <c r="D31" s="117" t="s">
        <v>131</v>
      </c>
      <c r="E31" s="117" t="s">
        <v>131</v>
      </c>
      <c r="F31" s="117" t="s">
        <v>131</v>
      </c>
      <c r="G31" s="117" t="s">
        <v>131</v>
      </c>
      <c r="H31" s="116" t="s">
        <v>1009</v>
      </c>
      <c r="I31" s="116"/>
      <c r="J31" s="116" t="s">
        <v>1010</v>
      </c>
    </row>
    <row r="33" customFormat="false" ht="14.25" hidden="false" customHeight="true" outlineLevel="0" collapsed="false">
      <c r="A33" s="118" t="s">
        <v>1011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C11" activeCellId="0" sqref="C11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60"/>
    <col collapsed="false" customWidth="true" hidden="false" outlineLevel="0" max="3" min="3" style="1" width="70"/>
  </cols>
  <sheetData>
    <row r="1" customFormat="false" ht="15" hidden="false" customHeight="true" outlineLevel="0" collapsed="false">
      <c r="A1" s="98" t="s">
        <v>1012</v>
      </c>
    </row>
    <row r="3" customFormat="false" ht="14.25" hidden="false" customHeight="true" outlineLevel="0" collapsed="false">
      <c r="A3" s="119" t="s">
        <v>1013</v>
      </c>
      <c r="B3" s="120" t="s">
        <v>1014</v>
      </c>
      <c r="C3" s="120" t="s">
        <v>1015</v>
      </c>
    </row>
    <row r="4" customFormat="false" ht="31.5" hidden="false" customHeight="true" outlineLevel="0" collapsed="false">
      <c r="A4" s="117" t="s">
        <v>607</v>
      </c>
      <c r="B4" s="117" t="s">
        <v>1016</v>
      </c>
      <c r="C4" s="116" t="s">
        <v>1017</v>
      </c>
    </row>
    <row r="5" customFormat="false" ht="31.5" hidden="false" customHeight="true" outlineLevel="0" collapsed="false">
      <c r="A5" s="117" t="s">
        <v>593</v>
      </c>
      <c r="B5" s="117" t="s">
        <v>1018</v>
      </c>
      <c r="C5" s="116" t="s">
        <v>1019</v>
      </c>
    </row>
    <row r="6" customFormat="false" ht="31.5" hidden="false" customHeight="true" outlineLevel="0" collapsed="false">
      <c r="A6" s="117" t="s">
        <v>574</v>
      </c>
      <c r="B6" s="117" t="s">
        <v>1020</v>
      </c>
      <c r="C6" s="116" t="s">
        <v>1021</v>
      </c>
    </row>
    <row r="7" customFormat="false" ht="31.5" hidden="false" customHeight="true" outlineLevel="0" collapsed="false">
      <c r="A7" s="117" t="s">
        <v>1022</v>
      </c>
      <c r="B7" s="117" t="s">
        <v>1023</v>
      </c>
      <c r="C7" s="116" t="s">
        <v>1024</v>
      </c>
    </row>
    <row r="8" customFormat="false" ht="31.5" hidden="false" customHeight="true" outlineLevel="0" collapsed="false">
      <c r="A8" s="117" t="s">
        <v>1025</v>
      </c>
      <c r="B8" s="117" t="s">
        <v>1026</v>
      </c>
      <c r="C8" s="116" t="s">
        <v>1027</v>
      </c>
    </row>
    <row r="9" customFormat="false" ht="31.5" hidden="false" customHeight="true" outlineLevel="0" collapsed="false">
      <c r="A9" s="117" t="s">
        <v>1028</v>
      </c>
      <c r="B9" s="117" t="s">
        <v>1029</v>
      </c>
      <c r="C9" s="117" t="s">
        <v>1030</v>
      </c>
    </row>
    <row r="10" customFormat="false" ht="31.5" hidden="false" customHeight="true" outlineLevel="0" collapsed="false">
      <c r="A10" s="117" t="s">
        <v>1031</v>
      </c>
      <c r="B10" s="117" t="s">
        <v>1032</v>
      </c>
      <c r="C10" s="116" t="s">
        <v>1033</v>
      </c>
    </row>
    <row r="11" customFormat="false" ht="31.5" hidden="false" customHeight="true" outlineLevel="0" collapsed="false">
      <c r="A11" s="117" t="s">
        <v>1034</v>
      </c>
      <c r="B11" s="117" t="s">
        <v>1035</v>
      </c>
      <c r="C11" s="116" t="s">
        <v>1036</v>
      </c>
    </row>
    <row r="12" customFormat="false" ht="31.5" hidden="false" customHeight="true" outlineLevel="0" collapsed="false">
      <c r="A12" s="117" t="s">
        <v>1037</v>
      </c>
      <c r="B12" s="117" t="s">
        <v>1038</v>
      </c>
      <c r="C12" s="116" t="s">
        <v>1039</v>
      </c>
    </row>
    <row r="13" customFormat="false" ht="31.5" hidden="false" customHeight="true" outlineLevel="0" collapsed="false">
      <c r="A13" s="117" t="s">
        <v>1040</v>
      </c>
      <c r="B13" s="117" t="s">
        <v>1041</v>
      </c>
      <c r="C13" s="116" t="s">
        <v>1042</v>
      </c>
    </row>
    <row r="14" customFormat="false" ht="31.5" hidden="false" customHeight="true" outlineLevel="0" collapsed="false">
      <c r="A14" s="117" t="s">
        <v>1043</v>
      </c>
      <c r="B14" s="117" t="s">
        <v>1044</v>
      </c>
      <c r="C14" s="117" t="s">
        <v>1045</v>
      </c>
    </row>
    <row r="15" customFormat="false" ht="31.5" hidden="false" customHeight="true" outlineLevel="0" collapsed="false">
      <c r="A15" s="117" t="s">
        <v>1046</v>
      </c>
      <c r="B15" s="117" t="s">
        <v>1047</v>
      </c>
      <c r="C15" s="116" t="s">
        <v>1048</v>
      </c>
    </row>
    <row r="16" customFormat="false" ht="31.5" hidden="false" customHeight="true" outlineLevel="0" collapsed="false">
      <c r="A16" s="117" t="s">
        <v>1049</v>
      </c>
      <c r="B16" s="117" t="s">
        <v>1050</v>
      </c>
      <c r="C16" s="116" t="s">
        <v>1051</v>
      </c>
    </row>
    <row r="17" customFormat="false" ht="31.5" hidden="false" customHeight="true" outlineLevel="0" collapsed="false">
      <c r="A17" s="117" t="s">
        <v>1052</v>
      </c>
      <c r="B17" s="117" t="s">
        <v>1053</v>
      </c>
      <c r="C17" s="116" t="s">
        <v>1054</v>
      </c>
    </row>
    <row r="18" customFormat="false" ht="31.5" hidden="false" customHeight="true" outlineLevel="0" collapsed="false">
      <c r="A18" s="117" t="s">
        <v>1055</v>
      </c>
      <c r="B18" s="116" t="s">
        <v>1056</v>
      </c>
      <c r="C18" s="116" t="s">
        <v>1057</v>
      </c>
    </row>
    <row r="19" customFormat="false" ht="31.5" hidden="false" customHeight="true" outlineLevel="0" collapsed="false">
      <c r="A19" s="117" t="s">
        <v>1058</v>
      </c>
      <c r="B19" s="116" t="s">
        <v>1059</v>
      </c>
      <c r="C19" s="116" t="s">
        <v>1060</v>
      </c>
    </row>
    <row r="20" customFormat="false" ht="31.5" hidden="false" customHeight="true" outlineLevel="0" collapsed="false">
      <c r="A20" s="117" t="s">
        <v>1061</v>
      </c>
      <c r="B20" s="116" t="s">
        <v>1062</v>
      </c>
      <c r="C20" s="116" t="s">
        <v>1063</v>
      </c>
    </row>
    <row r="21" customFormat="false" ht="31.5" hidden="false" customHeight="true" outlineLevel="0" collapsed="false">
      <c r="A21" s="117" t="s">
        <v>1064</v>
      </c>
      <c r="B21" s="116" t="s">
        <v>1065</v>
      </c>
      <c r="C21" s="116" t="s">
        <v>1066</v>
      </c>
    </row>
    <row r="22" customFormat="false" ht="31.5" hidden="false" customHeight="true" outlineLevel="0" collapsed="false">
      <c r="A22" s="117" t="s">
        <v>1067</v>
      </c>
      <c r="B22" s="116" t="s">
        <v>1068</v>
      </c>
      <c r="C22" s="116" t="s">
        <v>1069</v>
      </c>
    </row>
    <row r="23" customFormat="false" ht="30" hidden="false" customHeight="true" outlineLevel="0" collapsed="false">
      <c r="B23" s="12" t="s">
        <v>1070</v>
      </c>
    </row>
    <row r="24" customFormat="false" ht="30" hidden="false" customHeight="true" outlineLevel="0" collapsed="false">
      <c r="B24" s="121" t="s">
        <v>1071</v>
      </c>
      <c r="C24" s="121"/>
    </row>
    <row r="25" customFormat="false" ht="30" hidden="false" customHeight="true" outlineLevel="0" collapsed="false">
      <c r="B25" s="121" t="s">
        <v>1072</v>
      </c>
      <c r="C25" s="121"/>
    </row>
    <row r="26" customFormat="false" ht="30" hidden="false" customHeight="true" outlineLevel="0" collapsed="false">
      <c r="B26" s="121" t="s">
        <v>1073</v>
      </c>
      <c r="C26" s="121"/>
    </row>
    <row r="27" customFormat="false" ht="30" hidden="false" customHeight="true" outlineLevel="0" collapsed="false">
      <c r="B27" s="121" t="s">
        <v>1074</v>
      </c>
      <c r="C27" s="121"/>
    </row>
    <row r="28" customFormat="false" ht="30" hidden="false" customHeight="true" outlineLevel="0" collapsed="false">
      <c r="B28" s="121" t="s">
        <v>1075</v>
      </c>
      <c r="C28" s="121"/>
    </row>
    <row r="29" customFormat="false" ht="30" hidden="false" customHeight="true" outlineLevel="0" collapsed="false">
      <c r="B29" s="121" t="s">
        <v>1076</v>
      </c>
      <c r="C29" s="121"/>
    </row>
  </sheetData>
  <mergeCells count="6">
    <mergeCell ref="B24:C24"/>
    <mergeCell ref="B25:C25"/>
    <mergeCell ref="B26:C26"/>
    <mergeCell ref="B27:C27"/>
    <mergeCell ref="B28:C28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2026-09-04T02:17:32Z</dcterms:created>
  <dc:creator>openpyxl</dc:creator>
  <dc:description/>
  <dc:language>en-US</dc:language>
  <cp:lastModifiedBy>ARAKIDA 荒木田</cp:lastModifiedBy>
  <dcterms:modified xsi:type="dcterms:W3CDTF">2026-09-06T22:26:19Z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