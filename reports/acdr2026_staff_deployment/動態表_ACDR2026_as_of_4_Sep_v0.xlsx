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akida\Downloads\"/>
    </mc:Choice>
  </mc:AlternateContent>
  <xr:revisionPtr revIDLastSave="0" documentId="13_ncr:1_{EA8C6C19-8691-4068-A193-3DF5716ED1B9}" xr6:coauthVersionLast="47" xr6:coauthVersionMax="47" xr10:uidLastSave="{00000000-0000-0000-0000-000000000000}"/>
  <bookViews>
    <workbookView xWindow="-23148" yWindow="-108" windowWidth="23256" windowHeight="12456" tabRatio="500" xr2:uid="{00000000-000D-0000-FFFF-FFFF00000000}"/>
  </bookViews>
  <sheets>
    <sheet name="人員一覧・判定" sheetId="1" r:id="rId1"/>
    <sheet name="動態表(日別)" sheetId="2" r:id="rId2"/>
    <sheet name="27Oct(Day0)" sheetId="3" r:id="rId3"/>
    <sheet name="28Oct(Day1)" sheetId="4" r:id="rId4"/>
    <sheet name="29Oct(Day2)" sheetId="5" r:id="rId5"/>
    <sheet name="30Oct(Day3)" sheetId="6" r:id="rId6"/>
    <sheet name="人員ギャップ分析" sheetId="7" r:id="rId7"/>
    <sheet name="参加者到着・出発(8月28日時点)" sheetId="8" r:id="rId8"/>
    <sheet name="出典・前提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8" i="6" l="1"/>
  <c r="A17" i="6"/>
  <c r="A16" i="6"/>
  <c r="A15" i="6"/>
  <c r="A14" i="6"/>
  <c r="A13" i="6"/>
  <c r="A12" i="6"/>
  <c r="A11" i="6"/>
  <c r="A10" i="6"/>
  <c r="A9" i="6"/>
  <c r="A8" i="6"/>
  <c r="A7" i="6"/>
  <c r="A6" i="6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16" i="2"/>
  <c r="A15" i="2"/>
  <c r="A6" i="2"/>
  <c r="A7" i="2"/>
  <c r="A8" i="2"/>
  <c r="A9" i="2"/>
  <c r="A10" i="2"/>
  <c r="A11" i="2"/>
  <c r="A12" i="2"/>
  <c r="A13" i="2"/>
  <c r="A14" i="2"/>
  <c r="A17" i="2"/>
  <c r="A18" i="2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S19" i="2"/>
  <c r="S20" i="2" s="1"/>
  <c r="R19" i="2"/>
  <c r="R20" i="2" s="1"/>
  <c r="Q19" i="2"/>
  <c r="Q20" i="2" s="1"/>
  <c r="P19" i="2"/>
  <c r="P20" i="2" s="1"/>
  <c r="O19" i="2"/>
  <c r="O20" i="2" s="1"/>
  <c r="N19" i="2"/>
  <c r="N20" i="2" s="1"/>
  <c r="M19" i="2"/>
  <c r="M20" i="2" s="1"/>
  <c r="L19" i="2"/>
  <c r="L20" i="2" s="1"/>
  <c r="K19" i="2"/>
  <c r="K20" i="2" s="1"/>
  <c r="J19" i="2"/>
  <c r="J20" i="2" s="1"/>
  <c r="I19" i="2"/>
  <c r="I20" i="2" s="1"/>
  <c r="H19" i="2"/>
  <c r="H20" i="2" s="1"/>
  <c r="G19" i="2"/>
  <c r="G20" i="2" s="1"/>
  <c r="F19" i="2"/>
  <c r="F20" i="2" s="1"/>
  <c r="E19" i="2"/>
  <c r="E20" i="2" s="1"/>
  <c r="D19" i="2"/>
  <c r="D20" i="2" s="1"/>
  <c r="C19" i="2"/>
  <c r="C20" i="2" s="1"/>
  <c r="B19" i="2"/>
  <c r="B20" i="2" s="1"/>
  <c r="E27" i="1"/>
  <c r="E26" i="1"/>
  <c r="E25" i="1"/>
  <c r="E29" i="1" s="1"/>
  <c r="E30" i="1" s="1"/>
</calcChain>
</file>

<file path=xl/sharedStrings.xml><?xml version="1.0" encoding="utf-8"?>
<sst xmlns="http://schemas.openxmlformats.org/spreadsheetml/2006/main" count="1081" uniqueCount="715">
  <si>
    <r>
      <rPr>
        <i/>
        <sz val="9"/>
        <color rgb="FF555555"/>
        <rFont val="WenQuanYi Zen Hei"/>
        <family val="2"/>
      </rPr>
      <t>作成</t>
    </r>
    <r>
      <rPr>
        <i/>
        <sz val="9"/>
        <color rgb="FF555555"/>
        <rFont val="Arial"/>
        <family val="2"/>
      </rPr>
      <t>: 2026/9/4</t>
    </r>
    <r>
      <rPr>
        <i/>
        <sz val="9"/>
        <color rgb="FF555555"/>
        <rFont val="WenQuanYi Zen Hei"/>
        <family val="2"/>
      </rPr>
      <t>（第</t>
    </r>
    <r>
      <rPr>
        <i/>
        <sz val="9"/>
        <color rgb="FF555555"/>
        <rFont val="Arial"/>
        <family val="2"/>
      </rPr>
      <t>1</t>
    </r>
    <r>
      <rPr>
        <i/>
        <sz val="9"/>
        <color rgb="FF555555"/>
        <rFont val="WenQuanYi Zen Hei"/>
        <family val="2"/>
      </rPr>
      <t>版・所内打合せ用ドラフト）　根拠</t>
    </r>
    <r>
      <rPr>
        <i/>
        <sz val="9"/>
        <color rgb="FF555555"/>
        <rFont val="Arial"/>
        <family val="2"/>
      </rPr>
      <t>: Gmail</t>
    </r>
    <r>
      <rPr>
        <i/>
        <sz val="9"/>
        <color rgb="FF555555"/>
        <rFont val="WenQuanYi Zen Hei"/>
        <family val="2"/>
      </rPr>
      <t>（</t>
    </r>
    <r>
      <rPr>
        <i/>
        <sz val="9"/>
        <color rgb="FF555555"/>
        <rFont val="Arial"/>
        <family val="2"/>
      </rPr>
      <t>ACDR2026</t>
    </r>
    <r>
      <rPr>
        <i/>
        <sz val="9"/>
        <color rgb="FF555555"/>
        <rFont val="WenQuanYi Zen Hei"/>
        <family val="2"/>
      </rPr>
      <t>関連スレッド）、</t>
    </r>
    <r>
      <rPr>
        <i/>
        <sz val="9"/>
        <color rgb="FF555555"/>
        <rFont val="Arial"/>
        <family val="2"/>
      </rPr>
      <t>Google</t>
    </r>
    <r>
      <rPr>
        <i/>
        <sz val="9"/>
        <color rgb="FF555555"/>
        <rFont val="WenQuanYi Zen Hei"/>
        <family val="2"/>
      </rPr>
      <t>ドライブ（</t>
    </r>
    <r>
      <rPr>
        <i/>
        <sz val="9"/>
        <color rgb="FF555555"/>
        <rFont val="Arial"/>
        <family val="2"/>
      </rPr>
      <t>ACDR2026</t>
    </r>
    <r>
      <rPr>
        <i/>
        <sz val="9"/>
        <color rgb="FF555555"/>
        <rFont val="WenQuanYi Zen Hei"/>
        <family val="2"/>
      </rPr>
      <t>事前協議チェックリスト、月次</t>
    </r>
    <r>
      <rPr>
        <i/>
        <sz val="9"/>
        <color rgb="FF555555"/>
        <rFont val="Arial"/>
        <family val="2"/>
      </rPr>
      <t>ToDo</t>
    </r>
    <r>
      <rPr>
        <i/>
        <sz val="9"/>
        <color rgb="FF555555"/>
        <rFont val="WenQuanYi Zen Hei"/>
        <family val="2"/>
      </rPr>
      <t>、動態表</t>
    </r>
    <r>
      <rPr>
        <i/>
        <sz val="9"/>
        <color rgb="FF555555"/>
        <rFont val="Arial"/>
        <family val="2"/>
      </rPr>
      <t>ACDR2023</t>
    </r>
    <r>
      <rPr>
        <i/>
        <sz val="9"/>
        <color rgb="FF555555"/>
        <rFont val="WenQuanYi Zen Hei"/>
        <family val="2"/>
      </rPr>
      <t>）、添付（ホテル部屋数検討用リスト</t>
    </r>
    <r>
      <rPr>
        <i/>
        <sz val="9"/>
        <color rgb="FF555555"/>
        <rFont val="Arial"/>
        <family val="2"/>
      </rPr>
      <t>_tt.xlsx 8/28</t>
    </r>
    <r>
      <rPr>
        <i/>
        <sz val="9"/>
        <color rgb="FF555555"/>
        <rFont val="WenQuanYi Zen Hei"/>
        <family val="2"/>
      </rPr>
      <t>、</t>
    </r>
    <r>
      <rPr>
        <i/>
        <sz val="9"/>
        <color rgb="FF555555"/>
        <rFont val="Arial"/>
        <family val="2"/>
      </rPr>
      <t>ACDR2026</t>
    </r>
    <r>
      <rPr>
        <i/>
        <sz val="9"/>
        <color rgb="FF555555"/>
        <rFont val="WenQuanYi Zen Hei"/>
        <family val="2"/>
      </rPr>
      <t>予算</t>
    </r>
    <r>
      <rPr>
        <i/>
        <sz val="9"/>
        <color rgb="FF555555"/>
        <rFont val="Arial"/>
        <family val="2"/>
      </rPr>
      <t>.xlsx 8/21</t>
    </r>
    <r>
      <rPr>
        <i/>
        <sz val="9"/>
        <color rgb="FF555555"/>
        <rFont val="WenQuanYi Zen Hei"/>
        <family val="2"/>
      </rPr>
      <t>、</t>
    </r>
    <r>
      <rPr>
        <i/>
        <sz val="9"/>
        <color rgb="FF555555"/>
        <rFont val="Arial"/>
        <family val="2"/>
      </rPr>
      <t>ACDR2026_Demarcation_asof0805.pptx</t>
    </r>
    <r>
      <rPr>
        <i/>
        <sz val="9"/>
        <color rgb="FF555555"/>
        <rFont val="WenQuanYi Zen Hei"/>
        <family val="2"/>
      </rPr>
      <t>、</t>
    </r>
    <r>
      <rPr>
        <i/>
        <sz val="9"/>
        <color rgb="FF555555"/>
        <rFont val="Arial"/>
        <family val="2"/>
      </rPr>
      <t>Draft Agenda 0805r</t>
    </r>
    <r>
      <rPr>
        <i/>
        <sz val="9"/>
        <color rgb="FF555555"/>
        <rFont val="WenQuanYi Zen Hei"/>
        <family val="2"/>
      </rPr>
      <t>）</t>
    </r>
  </si>
  <si>
    <t>No.</t>
  </si>
  <si>
    <t>氏名</t>
  </si>
  <si>
    <t>Name</t>
  </si>
  <si>
    <t>役職</t>
  </si>
  <si>
    <t>現地参加の確定度</t>
  </si>
  <si>
    <t>往路</t>
  </si>
  <si>
    <t>復路</t>
  </si>
  <si>
    <t>宿泊</t>
  </si>
  <si>
    <r>
      <rPr>
        <b/>
        <sz val="10"/>
        <color rgb="FFFFFFFF"/>
        <rFont val="WenQuanYi Zen Hei"/>
        <family val="2"/>
      </rPr>
      <t>デマケ上の担当（</t>
    </r>
    <r>
      <rPr>
        <b/>
        <sz val="10"/>
        <color rgb="FFFFFFFF"/>
        <rFont val="Arial"/>
        <family val="2"/>
      </rPr>
      <t>8/6</t>
    </r>
    <r>
      <rPr>
        <b/>
        <sz val="10"/>
        <color rgb="FFFFFFFF"/>
        <rFont val="WenQuanYi Zen Hei"/>
        <family val="2"/>
      </rPr>
      <t>版）</t>
    </r>
  </si>
  <si>
    <t>会期中の主な現地役割（本表での想定）</t>
  </si>
  <si>
    <t>要確認・備考</t>
  </si>
  <si>
    <t>三浦 房紀</t>
  </si>
  <si>
    <t>MIURA Fusanori</t>
  </si>
  <si>
    <r>
      <rPr>
        <sz val="10"/>
        <color rgb="FF000000"/>
        <rFont val="WenQuanYi Zen Hei"/>
        <family val="2"/>
      </rPr>
      <t>センター長</t>
    </r>
    <r>
      <rPr>
        <sz val="10"/>
        <color rgb="FF000000"/>
        <rFont val="Arial"/>
        <family val="2"/>
      </rPr>
      <t>(Chairman)</t>
    </r>
  </si>
  <si>
    <t>確定</t>
  </si>
  <si>
    <r>
      <rPr>
        <sz val="10"/>
        <color rgb="FF000000"/>
        <rFont val="Arial"/>
        <family val="2"/>
      </rPr>
      <t xml:space="preserve">10/26 SQ655 </t>
    </r>
    <r>
      <rPr>
        <sz val="10"/>
        <color rgb="FF000000"/>
        <rFont val="WenQuanYi Zen Hei"/>
        <family val="2"/>
      </rPr>
      <t>福岡</t>
    </r>
    <r>
      <rPr>
        <sz val="10"/>
        <color rgb="FF000000"/>
        <rFont val="Arial"/>
        <family val="2"/>
      </rPr>
      <t>09:30→SIN15:00</t>
    </r>
  </si>
  <si>
    <r>
      <rPr>
        <sz val="10"/>
        <color rgb="FF000000"/>
        <rFont val="Arial"/>
        <family val="2"/>
      </rPr>
      <t>10/31 SQ656 SIN01:20→</t>
    </r>
    <r>
      <rPr>
        <sz val="10"/>
        <color rgb="FF000000"/>
        <rFont val="WenQuanYi Zen Hei"/>
        <family val="2"/>
      </rPr>
      <t>福岡</t>
    </r>
    <r>
      <rPr>
        <sz val="10"/>
        <color rgb="FF000000"/>
        <rFont val="Arial"/>
        <family val="2"/>
      </rPr>
      <t>08:10</t>
    </r>
  </si>
  <si>
    <r>
      <rPr>
        <sz val="10"/>
        <color rgb="FF000000"/>
        <rFont val="Arial"/>
        <family val="2"/>
      </rPr>
      <t>Dorsett 10/26-30 (5</t>
    </r>
    <r>
      <rPr>
        <sz val="10"/>
        <color rgb="FF000000"/>
        <rFont val="WenQuanYi Zen Hei"/>
        <family val="2"/>
      </rPr>
      <t>泊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</si>
  <si>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 xml:space="preserve">ACDR2026 Opening </t>
    </r>
    <r>
      <rPr>
        <sz val="10"/>
        <color rgb="FF000000"/>
        <rFont val="WenQuanYi Zen Hei"/>
        <family val="2"/>
      </rPr>
      <t>挨拶／</t>
    </r>
    <r>
      <rPr>
        <sz val="10"/>
        <color rgb="FF000000"/>
        <rFont val="Arial"/>
        <family val="2"/>
      </rPr>
      <t>SC</t>
    </r>
    <r>
      <rPr>
        <sz val="10"/>
        <color rgb="FF000000"/>
        <rFont val="WenQuanYi Zen Hei"/>
        <family val="2"/>
      </rPr>
      <t>出席</t>
    </r>
  </si>
  <si>
    <r>
      <rPr>
        <sz val="10"/>
        <color rgb="FF000000"/>
        <rFont val="Arial"/>
        <family val="2"/>
      </rPr>
      <t>VIP</t>
    </r>
    <r>
      <rPr>
        <sz val="10"/>
        <color rgb="FF000000"/>
        <rFont val="WenQuanYi Zen Hei"/>
        <family val="2"/>
      </rPr>
      <t>対応（</t>
    </r>
    <r>
      <rPr>
        <sz val="10"/>
        <color rgb="FF000000"/>
        <rFont val="Arial"/>
        <family val="2"/>
      </rPr>
      <t>ADRC</t>
    </r>
    <r>
      <rPr>
        <sz val="10"/>
        <color rgb="FF000000"/>
        <rFont val="WenQuanYi Zen Hei"/>
        <family val="2"/>
      </rPr>
      <t>代表）。</t>
    </r>
    <r>
      <rPr>
        <sz val="10"/>
        <color rgb="FF000000"/>
        <rFont val="Arial"/>
        <family val="2"/>
      </rPr>
      <t>Opening (12:45)</t>
    </r>
    <r>
      <rPr>
        <sz val="10"/>
        <color rgb="FF000000"/>
        <rFont val="WenQuanYi Zen Hei"/>
        <family val="2"/>
      </rPr>
      <t>、</t>
    </r>
    <r>
      <rPr>
        <sz val="10"/>
        <color rgb="FF000000"/>
        <rFont val="Arial"/>
        <family val="2"/>
      </rPr>
      <t>Roundtable</t>
    </r>
    <r>
      <rPr>
        <sz val="10"/>
        <color rgb="FF000000"/>
        <rFont val="WenQuanYi Zen Hei"/>
        <family val="2"/>
      </rPr>
      <t>、</t>
    </r>
    <r>
      <rPr>
        <sz val="10"/>
        <color rgb="FF000000"/>
        <rFont val="Arial"/>
        <family val="2"/>
      </rPr>
      <t>SC</t>
    </r>
    <r>
      <rPr>
        <sz val="10"/>
        <color rgb="FF000000"/>
        <rFont val="WenQuanYi Zen Hei"/>
        <family val="2"/>
      </rPr>
      <t>、</t>
    </r>
    <r>
      <rPr>
        <sz val="10"/>
        <color rgb="FF000000"/>
        <rFont val="Arial"/>
        <family val="2"/>
      </rPr>
      <t>Gala</t>
    </r>
    <r>
      <rPr>
        <sz val="10"/>
        <color rgb="FF000000"/>
        <rFont val="WenQuanYi Zen Hei"/>
        <family val="2"/>
      </rPr>
      <t>、大使公邸レセプション、</t>
    </r>
    <r>
      <rPr>
        <sz val="10"/>
        <color rgb="FF000000"/>
        <rFont val="Arial"/>
        <family val="2"/>
      </rPr>
      <t>SIDEX Keynote</t>
    </r>
    <r>
      <rPr>
        <sz val="10"/>
        <color rgb="FF000000"/>
        <rFont val="WenQuanYi Zen Hei"/>
        <family val="2"/>
      </rPr>
      <t>出席</t>
    </r>
  </si>
  <si>
    <r>
      <rPr>
        <sz val="10"/>
        <color rgb="FF000000"/>
        <rFont val="WenQuanYi Zen Hei"/>
        <family val="2"/>
      </rPr>
      <t>パスポート更新済み（</t>
    </r>
    <r>
      <rPr>
        <sz val="10"/>
        <color rgb="FF000000"/>
        <rFont val="Arial"/>
        <family val="2"/>
      </rPr>
      <t>7</t>
    </r>
    <r>
      <rPr>
        <sz val="10"/>
        <color rgb="FF000000"/>
        <rFont val="WenQuanYi Zen Hei"/>
        <family val="2"/>
      </rPr>
      <t>月）。復路は</t>
    </r>
    <r>
      <rPr>
        <sz val="10"/>
        <color rgb="FF000000"/>
        <rFont val="Arial"/>
        <family val="2"/>
      </rPr>
      <t>10/30</t>
    </r>
    <r>
      <rPr>
        <sz val="10"/>
        <color rgb="FF000000"/>
        <rFont val="WenQuanYi Zen Hei"/>
        <family val="2"/>
      </rPr>
      <t>深夜発扱い</t>
    </r>
  </si>
  <si>
    <t>北本 政行</t>
  </si>
  <si>
    <t>KITAMOTO Masayuki</t>
  </si>
  <si>
    <t>常務理事</t>
  </si>
  <si>
    <r>
      <rPr>
        <sz val="10"/>
        <color rgb="FF000000"/>
        <rFont val="Arial"/>
        <family val="2"/>
      </rPr>
      <t xml:space="preserve">10/26 SQ637 </t>
    </r>
    <r>
      <rPr>
        <sz val="10"/>
        <color rgb="FF000000"/>
        <rFont val="WenQuanYi Zen Hei"/>
        <family val="2"/>
      </rPr>
      <t>成田</t>
    </r>
    <r>
      <rPr>
        <sz val="10"/>
        <color rgb="FF000000"/>
        <rFont val="Arial"/>
        <family val="2"/>
      </rPr>
      <t>10:00→SIN16:30</t>
    </r>
  </si>
  <si>
    <r>
      <rPr>
        <sz val="10"/>
        <color rgb="FF000000"/>
        <rFont val="Arial"/>
        <family val="2"/>
      </rPr>
      <t>10/30 SQ638 SIN23:55→</t>
    </r>
    <r>
      <rPr>
        <sz val="10"/>
        <color rgb="FF000000"/>
        <rFont val="WenQuanYi Zen Hei"/>
        <family val="2"/>
      </rPr>
      <t>成田</t>
    </r>
    <r>
      <rPr>
        <sz val="10"/>
        <color rgb="FF000000"/>
        <rFont val="Arial"/>
        <family val="2"/>
      </rPr>
      <t>10/31 07:30</t>
    </r>
  </si>
  <si>
    <t>（役員として出席）</t>
  </si>
  <si>
    <r>
      <rPr>
        <sz val="10"/>
        <color rgb="FF000000"/>
        <rFont val="Arial"/>
        <family val="2"/>
      </rPr>
      <t>VIP</t>
    </r>
    <r>
      <rPr>
        <sz val="10"/>
        <color rgb="FF000000"/>
        <rFont val="WenQuanYi Zen Hei"/>
        <family val="2"/>
      </rPr>
      <t>対応。初参加のため事前ブリーフィング要。</t>
    </r>
    <r>
      <rPr>
        <sz val="10"/>
        <color rgb="FF000000"/>
        <rFont val="Arial"/>
        <family val="2"/>
      </rPr>
      <t>10/30</t>
    </r>
    <r>
      <rPr>
        <sz val="10"/>
        <color rgb="FF000000"/>
        <rFont val="WenQuanYi Zen Hei"/>
        <family val="2"/>
      </rPr>
      <t>は最終日夜に出発</t>
    </r>
  </si>
  <si>
    <r>
      <rPr>
        <sz val="10"/>
        <color rgb="FF000000"/>
        <rFont val="WenQuanYi Zen Hei"/>
        <family val="2"/>
      </rPr>
      <t>初参加。</t>
    </r>
    <r>
      <rPr>
        <sz val="10"/>
        <color rgb="FF000000"/>
        <rFont val="Arial"/>
        <family val="2"/>
      </rPr>
      <t>8/7</t>
    </r>
    <r>
      <rPr>
        <sz val="10"/>
        <color rgb="FF000000"/>
        <rFont val="WenQuanYi Zen Hei"/>
        <family val="2"/>
      </rPr>
      <t>・</t>
    </r>
    <r>
      <rPr>
        <sz val="10"/>
        <color rgb="FF000000"/>
        <rFont val="Arial"/>
        <family val="2"/>
      </rPr>
      <t>9/4</t>
    </r>
    <r>
      <rPr>
        <sz val="10"/>
        <color rgb="FF000000"/>
        <rFont val="WenQuanYi Zen Hei"/>
        <family val="2"/>
      </rPr>
      <t>打合せに出席。</t>
    </r>
    <r>
      <rPr>
        <sz val="10"/>
        <color rgb="FF000000"/>
        <rFont val="Arial"/>
        <family val="2"/>
      </rPr>
      <t>Dorsett</t>
    </r>
    <r>
      <rPr>
        <sz val="10"/>
        <color rgb="FF000000"/>
        <rFont val="WenQuanYi Zen Hei"/>
        <family val="2"/>
      </rPr>
      <t>宿泊は</t>
    </r>
    <r>
      <rPr>
        <sz val="10"/>
        <color rgb="FF000000"/>
        <rFont val="Arial"/>
        <family val="2"/>
      </rPr>
      <t>8/28</t>
    </r>
    <r>
      <rPr>
        <sz val="10"/>
        <color rgb="FF000000"/>
        <rFont val="WenQuanYi Zen Hei"/>
        <family val="2"/>
      </rPr>
      <t>リストで確認</t>
    </r>
  </si>
  <si>
    <t>宮木 一寛</t>
  </si>
  <si>
    <t>MIYAKI Kazuhiro</t>
  </si>
  <si>
    <t>確定（フライト要確認）</t>
  </si>
  <si>
    <r>
      <rPr>
        <sz val="10"/>
        <color rgb="FF000000"/>
        <rFont val="WenQuanYi Zen Hei"/>
        <family val="2"/>
      </rPr>
      <t>要確認（リストでは</t>
    </r>
    <r>
      <rPr>
        <sz val="10"/>
        <color rgb="FF000000"/>
        <rFont val="Arial"/>
        <family val="2"/>
      </rPr>
      <t>10/26 15:00</t>
    </r>
    <r>
      <rPr>
        <sz val="10"/>
        <color rgb="FF000000"/>
        <rFont val="WenQuanYi Zen Hei"/>
        <family val="2"/>
      </rPr>
      <t>着または</t>
    </r>
    <r>
      <rPr>
        <sz val="10"/>
        <color rgb="FF000000"/>
        <rFont val="Arial"/>
        <family val="2"/>
      </rPr>
      <t>10/27</t>
    </r>
    <r>
      <rPr>
        <sz val="10"/>
        <color rgb="FF000000"/>
        <rFont val="WenQuanYi Zen Hei"/>
        <family val="2"/>
      </rPr>
      <t>着の</t>
    </r>
    <r>
      <rPr>
        <sz val="10"/>
        <color rgb="FF000000"/>
        <rFont val="Arial"/>
        <family val="2"/>
      </rPr>
      <t>2</t>
    </r>
    <r>
      <rPr>
        <sz val="10"/>
        <color rgb="FF000000"/>
        <rFont val="WenQuanYi Zen Hei"/>
        <family val="2"/>
      </rPr>
      <t>説）</t>
    </r>
  </si>
  <si>
    <r>
      <rPr>
        <sz val="10"/>
        <color rgb="FF000000"/>
        <rFont val="WenQuanYi Zen Hei"/>
        <family val="2"/>
      </rPr>
      <t>要確認（</t>
    </r>
    <r>
      <rPr>
        <sz val="10"/>
        <color rgb="FF000000"/>
        <rFont val="Arial"/>
        <family val="2"/>
      </rPr>
      <t>10/31</t>
    </r>
    <r>
      <rPr>
        <sz val="10"/>
        <color rgb="FF000000"/>
        <rFont val="WenQuanYi Zen Hei"/>
        <family val="2"/>
      </rPr>
      <t>）</t>
    </r>
  </si>
  <si>
    <r>
      <rPr>
        <sz val="10"/>
        <color rgb="FF000000"/>
        <rFont val="WenQuanYi Zen Hei"/>
        <family val="2"/>
      </rPr>
      <t>要確認：</t>
    </r>
    <r>
      <rPr>
        <sz val="10"/>
        <color rgb="FF000000"/>
        <rFont val="Arial"/>
        <family val="2"/>
      </rPr>
      <t>Dorsett</t>
    </r>
    <r>
      <rPr>
        <sz val="10"/>
        <color rgb="FF000000"/>
        <rFont val="WenQuanYi Zen Hei"/>
        <family val="2"/>
      </rPr>
      <t>シート「所長」行</t>
    </r>
    <r>
      <rPr>
        <sz val="10"/>
        <color rgb="FF000000"/>
        <rFont val="Arial"/>
        <family val="2"/>
      </rPr>
      <t>(10/26-30)</t>
    </r>
    <r>
      <rPr>
        <sz val="10"/>
        <color rgb="FF000000"/>
        <rFont val="WenQuanYi Zen Hei"/>
        <family val="2"/>
      </rPr>
      <t>と</t>
    </r>
    <r>
      <rPr>
        <sz val="10"/>
        <color rgb="FF000000"/>
        <rFont val="Arial"/>
        <family val="2"/>
      </rPr>
      <t>Hotel Mi</t>
    </r>
    <r>
      <rPr>
        <sz val="10"/>
        <color rgb="FF000000"/>
        <rFont val="WenQuanYi Zen Hei"/>
        <family val="2"/>
      </rPr>
      <t>シート</t>
    </r>
    <r>
      <rPr>
        <sz val="10"/>
        <color rgb="FF000000"/>
        <rFont val="Arial"/>
        <family val="2"/>
      </rPr>
      <t>(M)</t>
    </r>
    <r>
      <rPr>
        <sz val="10"/>
        <color rgb="FF000000"/>
        <rFont val="WenQuanYi Zen Hei"/>
        <family val="2"/>
      </rPr>
      <t>の両方に記載</t>
    </r>
  </si>
  <si>
    <r>
      <rPr>
        <sz val="10"/>
        <color rgb="FF000000"/>
        <rFont val="WenQuanYi Zen Hei"/>
        <family val="2"/>
      </rPr>
      <t>全体総括／内閣府との連絡調整／</t>
    </r>
    <r>
      <rPr>
        <sz val="10"/>
        <color rgb="FF000000"/>
        <rFont val="Arial"/>
        <family val="2"/>
      </rPr>
      <t>Bi-meeting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</rPr>
      <t>SC</t>
    </r>
    <r>
      <rPr>
        <sz val="10"/>
        <color rgb="FF000000"/>
        <rFont val="WenQuanYi Zen Hei"/>
        <family val="2"/>
      </rPr>
      <t>議長</t>
    </r>
    <r>
      <rPr>
        <sz val="10"/>
        <color rgb="FF000000"/>
        <rFont val="Arial"/>
        <family val="2"/>
      </rPr>
      <t>(</t>
    </r>
    <r>
      <rPr>
        <sz val="10"/>
        <color rgb="FF000000"/>
        <rFont val="WenQuanYi Zen Hei"/>
        <family val="2"/>
      </rPr>
      <t>内閣府</t>
    </r>
    <r>
      <rPr>
        <sz val="10"/>
        <color rgb="FF000000"/>
        <rFont val="Arial"/>
        <family val="2"/>
      </rPr>
      <t>)</t>
    </r>
    <r>
      <rPr>
        <sz val="10"/>
        <color rgb="FF000000"/>
        <rFont val="WenQuanYi Zen Hei"/>
        <family val="2"/>
      </rPr>
      <t>との調整／広報</t>
    </r>
    <r>
      <rPr>
        <sz val="10"/>
        <color rgb="FF000000"/>
        <rFont val="Arial"/>
        <family val="2"/>
      </rPr>
      <t>(</t>
    </r>
    <r>
      <rPr>
        <sz val="10"/>
        <color rgb="FF000000"/>
        <rFont val="WenQuanYi Zen Hei"/>
        <family val="2"/>
      </rPr>
      <t>記者クラブ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</si>
  <si>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WenQuanYi Zen Hei"/>
        <family val="2"/>
      </rPr>
      <t>内閣府 林副大臣級（林正道 政策統括官）随行・バイ会談設定。</t>
    </r>
    <r>
      <rPr>
        <sz val="10"/>
        <color rgb="FF000000"/>
        <rFont val="Arial"/>
        <family val="2"/>
      </rPr>
      <t>Opening/VIP Tour/</t>
    </r>
    <r>
      <rPr>
        <sz val="10"/>
        <color rgb="FF000000"/>
        <rFont val="WenQuanYi Zen Hei"/>
        <family val="2"/>
      </rPr>
      <t>表敬に同行。</t>
    </r>
    <r>
      <rPr>
        <sz val="10"/>
        <color rgb="FF000000"/>
        <rFont val="Arial"/>
        <family val="2"/>
      </rPr>
      <t>SC</t>
    </r>
    <r>
      <rPr>
        <sz val="10"/>
        <color rgb="FF000000"/>
        <rFont val="WenQuanYi Zen Hei"/>
        <family val="2"/>
      </rPr>
      <t>進行補佐</t>
    </r>
  </si>
  <si>
    <t>児玉 美樹</t>
  </si>
  <si>
    <t>KODAMA Miki</t>
  </si>
  <si>
    <t>研究部長</t>
  </si>
  <si>
    <r>
      <rPr>
        <sz val="10"/>
        <color rgb="FF000000"/>
        <rFont val="WenQuanYi Zen Hei"/>
        <family val="2"/>
      </rPr>
      <t>要確認（リストでは</t>
    </r>
    <r>
      <rPr>
        <sz val="10"/>
        <color rgb="FF000000"/>
        <rFont val="Arial"/>
        <family val="2"/>
      </rPr>
      <t>10/27</t>
    </r>
    <r>
      <rPr>
        <sz val="10"/>
        <color rgb="FF000000"/>
        <rFont val="WenQuanYi Zen Hei"/>
        <family val="2"/>
      </rPr>
      <t>着）</t>
    </r>
  </si>
  <si>
    <r>
      <rPr>
        <sz val="10"/>
        <color rgb="FF000000"/>
        <rFont val="WenQuanYi Zen Hei"/>
        <family val="2"/>
      </rPr>
      <t>要確認（</t>
    </r>
    <r>
      <rPr>
        <sz val="10"/>
        <color rgb="FF000000"/>
        <rFont val="Arial"/>
        <family val="2"/>
      </rPr>
      <t>10/31</t>
    </r>
    <r>
      <rPr>
        <sz val="10"/>
        <color rgb="FF000000"/>
        <rFont val="WenQuanYi Zen Hei"/>
        <family val="2"/>
      </rPr>
      <t>発）</t>
    </r>
  </si>
  <si>
    <r>
      <rPr>
        <sz val="10"/>
        <color rgb="FF000000"/>
        <rFont val="Arial"/>
        <family val="2"/>
      </rPr>
      <t>Hotel Mi Bencoolen</t>
    </r>
    <r>
      <rPr>
        <sz val="10"/>
        <color rgb="FF000000"/>
        <rFont val="WenQuanYi Zen Hei"/>
        <family val="2"/>
      </rPr>
      <t>（</t>
    </r>
    <r>
      <rPr>
        <sz val="10"/>
        <color rgb="FF000000"/>
        <rFont val="Arial"/>
        <family val="2"/>
      </rPr>
      <t>M</t>
    </r>
    <r>
      <rPr>
        <sz val="10"/>
        <color rgb="FF000000"/>
        <rFont val="WenQuanYi Zen Hei"/>
        <family val="2"/>
      </rPr>
      <t>シート</t>
    </r>
    <r>
      <rPr>
        <sz val="10"/>
        <color rgb="FF000000"/>
        <rFont val="Arial"/>
        <family val="2"/>
      </rPr>
      <t>: 10/26-30</t>
    </r>
    <r>
      <rPr>
        <sz val="10"/>
        <color rgb="FF000000"/>
        <rFont val="WenQuanYi Zen Hei"/>
        <family val="2"/>
      </rPr>
      <t>）</t>
    </r>
  </si>
  <si>
    <r>
      <rPr>
        <sz val="10"/>
        <color rgb="FF000000"/>
        <rFont val="Arial"/>
        <family val="2"/>
      </rPr>
      <t>Bi-meeting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</rPr>
      <t>Welcome Reception(Program, MC)</t>
    </r>
    <r>
      <rPr>
        <sz val="10"/>
        <color rgb="FF000000"/>
        <rFont val="WenQuanYi Zen Hei"/>
        <family val="2"/>
      </rPr>
      <t>／レセプション手配／</t>
    </r>
    <r>
      <rPr>
        <sz val="10"/>
        <color rgb="FF000000"/>
        <rFont val="Arial"/>
        <family val="2"/>
      </rPr>
      <t>PC</t>
    </r>
    <r>
      <rPr>
        <sz val="10"/>
        <color rgb="FF000000"/>
        <rFont val="WenQuanYi Zen Hei"/>
        <family val="2"/>
      </rPr>
      <t>等機材サポート</t>
    </r>
  </si>
  <si>
    <r>
      <rPr>
        <sz val="10"/>
        <color rgb="FF000000"/>
        <rFont val="WenQuanYi Zen Hei"/>
        <family val="2"/>
      </rPr>
      <t>副総括的な現場統括。大使公邸レセプション（</t>
    </r>
    <r>
      <rPr>
        <sz val="10"/>
        <color rgb="FF000000"/>
        <rFont val="Arial"/>
        <family val="2"/>
      </rPr>
      <t>10/27</t>
    </r>
    <r>
      <rPr>
        <sz val="10"/>
        <color rgb="FF000000"/>
        <rFont val="WenQuanYi Zen Hei"/>
        <family val="2"/>
      </rPr>
      <t>）の進行・</t>
    </r>
    <r>
      <rPr>
        <sz val="10"/>
        <color rgb="FF000000"/>
        <rFont val="Arial"/>
        <family val="2"/>
      </rPr>
      <t>MC</t>
    </r>
    <r>
      <rPr>
        <sz val="10"/>
        <color rgb="FF000000"/>
        <rFont val="WenQuanYi Zen Hei"/>
        <family val="2"/>
      </rPr>
      <t>、</t>
    </r>
    <r>
      <rPr>
        <sz val="10"/>
        <color rgb="FF000000"/>
        <rFont val="Arial"/>
        <family val="2"/>
      </rPr>
      <t>COSEM(Sylvia)</t>
    </r>
    <r>
      <rPr>
        <sz val="10"/>
        <color rgb="FF000000"/>
        <rFont val="WenQuanYi Zen Hei"/>
        <family val="2"/>
      </rPr>
      <t>との現地調整、内閣府随行</t>
    </r>
  </si>
  <si>
    <r>
      <rPr>
        <sz val="10"/>
        <color rgb="FF000000"/>
        <rFont val="WenQuanYi Zen Hei"/>
        <family val="2"/>
      </rPr>
      <t>リストの到着日</t>
    </r>
    <r>
      <rPr>
        <sz val="10"/>
        <color rgb="FF000000"/>
        <rFont val="Arial"/>
        <family val="2"/>
      </rPr>
      <t>10/27</t>
    </r>
    <r>
      <rPr>
        <sz val="10"/>
        <color rgb="FF000000"/>
        <rFont val="WenQuanYi Zen Hei"/>
        <family val="2"/>
      </rPr>
      <t>はレセプション当日のため、前日入りが望ましい → 要確認</t>
    </r>
  </si>
  <si>
    <t>荒木田 勝</t>
  </si>
  <si>
    <t>ARAKIDA Masaru</t>
  </si>
  <si>
    <t>リサーチフェロー</t>
  </si>
  <si>
    <r>
      <rPr>
        <sz val="10"/>
        <color rgb="FF000000"/>
        <rFont val="Arial"/>
        <family val="2"/>
      </rPr>
      <t xml:space="preserve">10/26 NH843 </t>
    </r>
    <r>
      <rPr>
        <sz val="10"/>
        <color rgb="FF000000"/>
        <rFont val="WenQuanYi Zen Hei"/>
        <family val="2"/>
      </rPr>
      <t>羽田</t>
    </r>
    <r>
      <rPr>
        <sz val="10"/>
        <color rgb="FF000000"/>
        <rFont val="Arial"/>
        <family val="2"/>
      </rPr>
      <t>00:25→SIN06:55</t>
    </r>
  </si>
  <si>
    <r>
      <rPr>
        <sz val="10"/>
        <color rgb="FF000000"/>
        <rFont val="Arial"/>
        <family val="2"/>
      </rPr>
      <t>10/30 NH844 SIN22:20→</t>
    </r>
    <r>
      <rPr>
        <sz val="10"/>
        <color rgb="FF000000"/>
        <rFont val="WenQuanYi Zen Hei"/>
        <family val="2"/>
      </rPr>
      <t>羽田</t>
    </r>
    <r>
      <rPr>
        <sz val="10"/>
        <color rgb="FF000000"/>
        <rFont val="Arial"/>
        <family val="2"/>
      </rPr>
      <t>10/31 05:55</t>
    </r>
  </si>
  <si>
    <r>
      <rPr>
        <sz val="10"/>
        <color rgb="FF000000"/>
        <rFont val="WenQuanYi Zen Hei"/>
        <family val="2"/>
      </rPr>
      <t>総括</t>
    </r>
    <r>
      <rPr>
        <sz val="10"/>
        <color rgb="FF000000"/>
        <rFont val="Arial"/>
        <family val="2"/>
      </rPr>
      <t>(PL)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</rPr>
      <t>Opening &amp; Closing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</rPr>
      <t>SIDEX Conference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</rPr>
      <t>Field Trip</t>
    </r>
    <r>
      <rPr>
        <sz val="10"/>
        <color rgb="FF000000"/>
        <rFont val="WenQuanYi Zen Hei"/>
        <family val="2"/>
      </rPr>
      <t>／会場手配・機材／</t>
    </r>
    <r>
      <rPr>
        <sz val="10"/>
        <color rgb="FF000000"/>
        <rFont val="Arial"/>
        <family val="2"/>
      </rPr>
      <t>Zoom</t>
    </r>
    <r>
      <rPr>
        <sz val="10"/>
        <color rgb="FF000000"/>
        <rFont val="WenQuanYi Zen Hei"/>
        <family val="2"/>
      </rPr>
      <t>当日</t>
    </r>
  </si>
  <si>
    <r>
      <rPr>
        <sz val="10"/>
        <color rgb="FF000000"/>
        <rFont val="WenQuanYi Zen Hei"/>
        <family val="2"/>
      </rPr>
      <t>全体統括。</t>
    </r>
    <r>
      <rPr>
        <sz val="10"/>
        <color rgb="FF000000"/>
        <rFont val="Arial"/>
        <family val="2"/>
      </rPr>
      <t>Opening/Closing</t>
    </r>
    <r>
      <rPr>
        <sz val="10"/>
        <color rgb="FF000000"/>
        <rFont val="WenQuanYi Zen Hei"/>
        <family val="2"/>
      </rPr>
      <t>進行、会場・</t>
    </r>
    <r>
      <rPr>
        <sz val="10"/>
        <color rgb="FF000000"/>
        <rFont val="Arial"/>
        <family val="2"/>
      </rPr>
      <t>AV</t>
    </r>
    <r>
      <rPr>
        <sz val="10"/>
        <color rgb="FF000000"/>
        <rFont val="WenQuanYi Zen Hei"/>
        <family val="2"/>
      </rPr>
      <t>・</t>
    </r>
    <r>
      <rPr>
        <sz val="10"/>
        <color rgb="FF000000"/>
        <rFont val="Arial"/>
        <family val="2"/>
      </rPr>
      <t>Zoom/AI</t>
    </r>
    <r>
      <rPr>
        <sz val="10"/>
        <color rgb="FF000000"/>
        <rFont val="WenQuanYi Zen Hei"/>
        <family val="2"/>
      </rPr>
      <t>翻訳の当日運用、</t>
    </r>
    <r>
      <rPr>
        <sz val="10"/>
        <color rgb="FF000000"/>
        <rFont val="Arial"/>
        <family val="2"/>
      </rPr>
      <t>Field Trip</t>
    </r>
    <r>
      <rPr>
        <sz val="10"/>
        <color rgb="FF000000"/>
        <rFont val="WenQuanYi Zen Hei"/>
        <family val="2"/>
      </rPr>
      <t>引率、</t>
    </r>
    <r>
      <rPr>
        <sz val="10"/>
        <color rgb="FF000000"/>
        <rFont val="Arial"/>
        <family val="2"/>
      </rPr>
      <t>Google</t>
    </r>
    <r>
      <rPr>
        <sz val="10"/>
        <color rgb="FF000000"/>
        <rFont val="WenQuanYi Zen Hei"/>
        <family val="2"/>
      </rPr>
      <t>等リソース対応</t>
    </r>
  </si>
  <si>
    <t>YOSHIDA Maki</t>
  </si>
  <si>
    <r>
      <rPr>
        <sz val="10"/>
        <color rgb="FF000000"/>
        <rFont val="Arial"/>
        <family val="2"/>
      </rPr>
      <t>10/25 TK1918 GVA10:45→IST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</rPr>
      <t>TK208 IST18:30→SIN 10/26 09:55</t>
    </r>
  </si>
  <si>
    <r>
      <rPr>
        <sz val="10"/>
        <color rgb="FF000000"/>
        <rFont val="Arial"/>
        <family val="2"/>
      </rPr>
      <t>10/30 TK55 SIN23:15→IST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</rPr>
      <t>TK1917→GVA 10/31 09:25</t>
    </r>
  </si>
  <si>
    <r>
      <rPr>
        <sz val="10"/>
        <color rgb="FF000000"/>
        <rFont val="Arial"/>
        <family val="2"/>
      </rPr>
      <t>Roundtable(PIC)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</rPr>
      <t>Announcement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</rPr>
      <t>Web</t>
    </r>
    <r>
      <rPr>
        <sz val="10"/>
        <color rgb="FF000000"/>
        <rFont val="WenQuanYi Zen Hei"/>
        <family val="2"/>
      </rPr>
      <t>登録・コレポン／航空券</t>
    </r>
    <r>
      <rPr>
        <sz val="10"/>
        <color rgb="FF000000"/>
        <rFont val="Arial"/>
        <family val="2"/>
      </rPr>
      <t>(</t>
    </r>
    <r>
      <rPr>
        <sz val="10"/>
        <color rgb="FF000000"/>
        <rFont val="WenQuanYi Zen Hei"/>
        <family val="2"/>
      </rPr>
      <t>メンバー国</t>
    </r>
    <r>
      <rPr>
        <sz val="10"/>
        <color rgb="FF000000"/>
        <rFont val="Arial"/>
        <family val="2"/>
      </rPr>
      <t>)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</rPr>
      <t>Field Trip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</rPr>
      <t>Welcome Reception</t>
    </r>
  </si>
  <si>
    <r>
      <rPr>
        <sz val="10"/>
        <color rgb="FF000000"/>
        <rFont val="Arial"/>
        <family val="2"/>
      </rPr>
      <t>Roundtable</t>
    </r>
    <r>
      <rPr>
        <sz val="10"/>
        <color rgb="FF000000"/>
        <rFont val="WenQuanYi Zen Hei"/>
        <family val="2"/>
      </rPr>
      <t>セッション運営（ステートメント回収・共同モデレーター補佐）、レセプション進行補佐、</t>
    </r>
    <r>
      <rPr>
        <sz val="10"/>
        <color rgb="FF000000"/>
        <rFont val="Arial"/>
        <family val="2"/>
      </rPr>
      <t>Field Trip</t>
    </r>
    <r>
      <rPr>
        <sz val="10"/>
        <color rgb="FF000000"/>
        <rFont val="WenQuanYi Zen Hei"/>
        <family val="2"/>
      </rPr>
      <t>引率、参加者対応</t>
    </r>
  </si>
  <si>
    <r>
      <rPr>
        <sz val="10"/>
        <color rgb="FF000000"/>
        <rFont val="WenQuanYi Zen Hei"/>
        <family val="2"/>
      </rPr>
      <t>リストの到着日</t>
    </r>
    <r>
      <rPr>
        <sz val="10"/>
        <color rgb="FF000000"/>
        <rFont val="Arial"/>
        <family val="2"/>
      </rPr>
      <t>10/27</t>
    </r>
    <r>
      <rPr>
        <sz val="10"/>
        <color rgb="FF000000"/>
        <rFont val="WenQuanYi Zen Hei"/>
        <family val="2"/>
      </rPr>
      <t>は誤り（フライトは</t>
    </r>
    <r>
      <rPr>
        <sz val="10"/>
        <color rgb="FF000000"/>
        <rFont val="Arial"/>
        <family val="2"/>
      </rPr>
      <t>10/26 09:55</t>
    </r>
    <r>
      <rPr>
        <sz val="10"/>
        <color rgb="FF000000"/>
        <rFont val="WenQuanYi Zen Hei"/>
        <family val="2"/>
      </rPr>
      <t>着）→ ホテル</t>
    </r>
    <r>
      <rPr>
        <sz val="10"/>
        <color rgb="FF000000"/>
        <rFont val="Arial"/>
        <family val="2"/>
      </rPr>
      <t>1</t>
    </r>
    <r>
      <rPr>
        <sz val="10"/>
        <color rgb="FF000000"/>
        <rFont val="WenQuanYi Zen Hei"/>
        <family val="2"/>
      </rPr>
      <t>泊分を要確認</t>
    </r>
  </si>
  <si>
    <t>藤中 純子</t>
  </si>
  <si>
    <t>FUJINAKA Junko</t>
  </si>
  <si>
    <t>管理部</t>
  </si>
  <si>
    <r>
      <rPr>
        <sz val="10"/>
        <color rgb="FF000000"/>
        <rFont val="Arial"/>
        <family val="2"/>
      </rPr>
      <t xml:space="preserve">10/25 TR819 </t>
    </r>
    <r>
      <rPr>
        <sz val="10"/>
        <color rgb="FF000000"/>
        <rFont val="WenQuanYi Zen Hei"/>
        <family val="2"/>
      </rPr>
      <t>関空</t>
    </r>
    <r>
      <rPr>
        <sz val="10"/>
        <color rgb="FF000000"/>
        <rFont val="Arial"/>
        <family val="2"/>
      </rPr>
      <t>11:30→SIN17:30</t>
    </r>
  </si>
  <si>
    <r>
      <rPr>
        <sz val="10"/>
        <color rgb="FF000000"/>
        <rFont val="Arial"/>
        <family val="2"/>
      </rPr>
      <t>11/1 TR818 SIN03:05→</t>
    </r>
    <r>
      <rPr>
        <sz val="10"/>
        <color rgb="FF000000"/>
        <rFont val="WenQuanYi Zen Hei"/>
        <family val="2"/>
      </rPr>
      <t>関空</t>
    </r>
    <r>
      <rPr>
        <sz val="10"/>
        <color rgb="FF000000"/>
        <rFont val="Arial"/>
        <family val="2"/>
      </rPr>
      <t>10:15</t>
    </r>
  </si>
  <si>
    <r>
      <rPr>
        <sz val="10"/>
        <color rgb="FF000000"/>
        <rFont val="Arial"/>
        <family val="2"/>
      </rPr>
      <t>Hotel Mi Bencoolen 10/25-31 (7</t>
    </r>
    <r>
      <rPr>
        <sz val="10"/>
        <color rgb="FF000000"/>
        <rFont val="WenQuanYi Zen Hei"/>
        <family val="2"/>
      </rPr>
      <t>泊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</si>
  <si>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WenQuanYi Zen Hei"/>
        <family val="2"/>
      </rPr>
      <t>レセプション手配／予算管理／契約・支払／宿泊・送迎の確認／</t>
    </r>
    <r>
      <rPr>
        <sz val="10"/>
        <color rgb="FF000000"/>
        <rFont val="Arial"/>
        <family val="2"/>
      </rPr>
      <t>SC</t>
    </r>
    <r>
      <rPr>
        <sz val="10"/>
        <color rgb="FF000000"/>
        <rFont val="WenQuanYi Zen Hei"/>
        <family val="2"/>
      </rPr>
      <t>議案・会計報告</t>
    </r>
  </si>
  <si>
    <r>
      <rPr>
        <sz val="10"/>
        <color rgb="FF000000"/>
        <rFont val="WenQuanYi Zen Hei"/>
        <family val="2"/>
      </rPr>
      <t>受付デスク（会場・レセプション）、ホテル・バス・支払の現地対応、</t>
    </r>
    <r>
      <rPr>
        <sz val="10"/>
        <color rgb="FF000000"/>
        <rFont val="Arial"/>
        <family val="2"/>
      </rPr>
      <t>SC</t>
    </r>
    <r>
      <rPr>
        <sz val="10"/>
        <color rgb="FF000000"/>
        <rFont val="WenQuanYi Zen Hei"/>
        <family val="2"/>
      </rPr>
      <t>事務、日当支払</t>
    </r>
  </si>
  <si>
    <r>
      <rPr>
        <sz val="10"/>
        <color rgb="FF000000"/>
        <rFont val="WenQuanYi Zen Hei"/>
        <family val="2"/>
      </rPr>
      <t>先発隊。</t>
    </r>
    <r>
      <rPr>
        <sz val="10"/>
        <color rgb="FF000000"/>
        <rFont val="Arial"/>
        <family val="2"/>
      </rPr>
      <t>10/25</t>
    </r>
    <r>
      <rPr>
        <sz val="10"/>
        <color rgb="FF000000"/>
        <rFont val="WenQuanYi Zen Hei"/>
        <family val="2"/>
      </rPr>
      <t>着で前日準備</t>
    </r>
  </si>
  <si>
    <t>田中 智美</t>
  </si>
  <si>
    <t>TANAKA Tomomi</t>
  </si>
  <si>
    <r>
      <rPr>
        <sz val="10"/>
        <color rgb="FF000000"/>
        <rFont val="WenQuanYi Zen Hei"/>
        <family val="2"/>
      </rPr>
      <t>事務局</t>
    </r>
    <r>
      <rPr>
        <sz val="10"/>
        <color rgb="FF000000"/>
        <rFont val="Arial"/>
        <family val="2"/>
      </rPr>
      <t>(ACDR2026 Secretariat)</t>
    </r>
  </si>
  <si>
    <r>
      <rPr>
        <sz val="10"/>
        <color rgb="FF000000"/>
        <rFont val="Arial"/>
        <family val="2"/>
      </rPr>
      <t>Announcement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</rPr>
      <t>Web</t>
    </r>
    <r>
      <rPr>
        <sz val="10"/>
        <color rgb="FF000000"/>
        <rFont val="WenQuanYi Zen Hei"/>
        <family val="2"/>
      </rPr>
      <t>登録確認・コレポン／航空券／</t>
    </r>
    <r>
      <rPr>
        <sz val="10"/>
        <color rgb="FF000000"/>
        <rFont val="Arial"/>
        <family val="2"/>
      </rPr>
      <t>VISA</t>
    </r>
    <r>
      <rPr>
        <sz val="10"/>
        <color rgb="FF000000"/>
        <rFont val="WenQuanYi Zen Hei"/>
        <family val="2"/>
      </rPr>
      <t>／宿泊・送迎</t>
    </r>
    <r>
      <rPr>
        <sz val="10"/>
        <color rgb="FF000000"/>
        <rFont val="Arial"/>
        <family val="2"/>
      </rPr>
      <t>(COSEM</t>
    </r>
    <r>
      <rPr>
        <sz val="10"/>
        <color rgb="FF000000"/>
        <rFont val="WenQuanYi Zen Hei"/>
        <family val="2"/>
      </rPr>
      <t>調整</t>
    </r>
    <r>
      <rPr>
        <sz val="10"/>
        <color rgb="FF000000"/>
        <rFont val="Arial"/>
        <family val="2"/>
      </rPr>
      <t>)</t>
    </r>
    <r>
      <rPr>
        <sz val="10"/>
        <color rgb="FF000000"/>
        <rFont val="WenQuanYi Zen Hei"/>
        <family val="2"/>
      </rPr>
      <t>／お礼状／日当</t>
    </r>
  </si>
  <si>
    <r>
      <rPr>
        <sz val="10"/>
        <color rgb="FF000000"/>
        <rFont val="WenQuanYi Zen Hei"/>
        <family val="2"/>
      </rPr>
      <t>受付デスク（会場・レセプション）、参加者リスト・名札</t>
    </r>
    <r>
      <rPr>
        <sz val="10"/>
        <color rgb="FF000000"/>
        <rFont val="Arial"/>
        <family val="2"/>
      </rPr>
      <t>(QR)</t>
    </r>
    <r>
      <rPr>
        <sz val="10"/>
        <color rgb="FF000000"/>
        <rFont val="WenQuanYi Zen Hei"/>
        <family val="2"/>
      </rPr>
      <t>管理、ホテル・送迎の現地コレポン、リソース対応</t>
    </r>
  </si>
  <si>
    <t>IKEDA Makoto</t>
  </si>
  <si>
    <t>主任研究員</t>
  </si>
  <si>
    <t>確定（便名要確認）</t>
  </si>
  <si>
    <r>
      <rPr>
        <sz val="10"/>
        <color rgb="FF000000"/>
        <rFont val="Arial"/>
        <family val="2"/>
      </rPr>
      <t xml:space="preserve">10/26 </t>
    </r>
    <r>
      <rPr>
        <sz val="10"/>
        <color rgb="FF000000"/>
        <rFont val="WenQuanYi Zen Hei"/>
        <family val="2"/>
      </rPr>
      <t>関空→</t>
    </r>
    <r>
      <rPr>
        <sz val="10"/>
        <color rgb="FF000000"/>
        <rFont val="Arial"/>
        <family val="2"/>
      </rPr>
      <t>SIN</t>
    </r>
    <r>
      <rPr>
        <sz val="10"/>
        <color rgb="FF000000"/>
        <rFont val="WenQuanYi Zen Hei"/>
        <family val="2"/>
      </rPr>
      <t>（当初</t>
    </r>
    <r>
      <rPr>
        <sz val="10"/>
        <color rgb="FF000000"/>
        <rFont val="Arial"/>
        <family val="2"/>
      </rPr>
      <t>TR819 11:30→17:30</t>
    </r>
    <r>
      <rPr>
        <sz val="10"/>
        <color rgb="FF000000"/>
        <rFont val="WenQuanYi Zen Hei"/>
        <family val="2"/>
      </rPr>
      <t>、</t>
    </r>
    <r>
      <rPr>
        <sz val="10"/>
        <color rgb="FF000000"/>
        <rFont val="Arial"/>
        <family val="2"/>
      </rPr>
      <t>7/31</t>
    </r>
    <r>
      <rPr>
        <sz val="10"/>
        <color rgb="FF000000"/>
        <rFont val="WenQuanYi Zen Hei"/>
        <family val="2"/>
      </rPr>
      <t>に</t>
    </r>
    <r>
      <rPr>
        <sz val="10"/>
        <color rgb="FF000000"/>
        <rFont val="Arial"/>
        <family val="2"/>
      </rPr>
      <t>SQ619 10:05→16:00</t>
    </r>
    <r>
      <rPr>
        <sz val="10"/>
        <color rgb="FF000000"/>
        <rFont val="WenQuanYi Zen Hei"/>
        <family val="2"/>
      </rPr>
      <t>へ変更検討）</t>
    </r>
  </si>
  <si>
    <r>
      <rPr>
        <sz val="10"/>
        <color rgb="FF000000"/>
        <rFont val="Arial"/>
        <family val="2"/>
      </rPr>
      <t>10/31 SIN→</t>
    </r>
    <r>
      <rPr>
        <sz val="10"/>
        <color rgb="FF000000"/>
        <rFont val="WenQuanYi Zen Hei"/>
        <family val="2"/>
      </rPr>
      <t>関空（</t>
    </r>
    <r>
      <rPr>
        <sz val="10"/>
        <color rgb="FF000000"/>
        <rFont val="Arial"/>
        <family val="2"/>
      </rPr>
      <t>TR818 03:05 or SQ622 14:25</t>
    </r>
    <r>
      <rPr>
        <sz val="10"/>
        <color rgb="FF000000"/>
        <rFont val="WenQuanYi Zen Hei"/>
        <family val="2"/>
      </rPr>
      <t>）</t>
    </r>
  </si>
  <si>
    <r>
      <rPr>
        <sz val="10"/>
        <color rgb="FF000000"/>
        <rFont val="Arial"/>
        <family val="2"/>
      </rPr>
      <t>Hotel Mi Bencoolen</t>
    </r>
    <r>
      <rPr>
        <sz val="10"/>
        <color rgb="FF000000"/>
        <rFont val="WenQuanYi Zen Hei"/>
        <family val="2"/>
      </rPr>
      <t>（候補欄・未割当）</t>
    </r>
  </si>
  <si>
    <r>
      <rPr>
        <sz val="10"/>
        <color rgb="FF000000"/>
        <rFont val="Arial"/>
        <family val="2"/>
      </rPr>
      <t>Technical Session(PIC)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</rPr>
      <t>SIDEX Exhibition</t>
    </r>
    <r>
      <rPr>
        <sz val="10"/>
        <color rgb="FF000000"/>
        <rFont val="WenQuanYi Zen Hei"/>
        <family val="2"/>
      </rPr>
      <t>調整／会場手配・機材／</t>
    </r>
    <r>
      <rPr>
        <sz val="10"/>
        <color rgb="FF000000"/>
        <rFont val="Arial"/>
        <family val="2"/>
      </rPr>
      <t>PC</t>
    </r>
    <r>
      <rPr>
        <sz val="10"/>
        <color rgb="FF000000"/>
        <rFont val="WenQuanYi Zen Hei"/>
        <family val="2"/>
      </rPr>
      <t>等機材</t>
    </r>
  </si>
  <si>
    <r>
      <rPr>
        <sz val="10"/>
        <color rgb="FF000000"/>
        <rFont val="Arial"/>
        <family val="2"/>
      </rPr>
      <t>Technical Session</t>
    </r>
    <r>
      <rPr>
        <sz val="10"/>
        <color rgb="FF000000"/>
        <rFont val="WenQuanYi Zen Hei"/>
        <family val="2"/>
      </rPr>
      <t>運営（登壇者対応・進行）、</t>
    </r>
    <r>
      <rPr>
        <sz val="10"/>
        <color rgb="FF000000"/>
        <rFont val="Arial"/>
        <family val="2"/>
      </rPr>
      <t>AV/PC</t>
    </r>
    <r>
      <rPr>
        <sz val="10"/>
        <color rgb="FF000000"/>
        <rFont val="WenQuanYi Zen Hei"/>
        <family val="2"/>
      </rPr>
      <t>操作（</t>
    </r>
    <r>
      <rPr>
        <sz val="10"/>
        <color rgb="FF000000"/>
        <rFont val="Arial"/>
        <family val="2"/>
      </rPr>
      <t>Day1</t>
    </r>
    <r>
      <rPr>
        <sz val="10"/>
        <color rgb="FF000000"/>
        <rFont val="WenQuanYi Zen Hei"/>
        <family val="2"/>
      </rPr>
      <t>）、</t>
    </r>
    <r>
      <rPr>
        <sz val="10"/>
        <color rgb="FF000000"/>
        <rFont val="Arial"/>
        <family val="2"/>
      </rPr>
      <t>SIDEX</t>
    </r>
    <r>
      <rPr>
        <sz val="10"/>
        <color rgb="FF000000"/>
        <rFont val="WenQuanYi Zen Hei"/>
        <family val="2"/>
      </rPr>
      <t>展示・</t>
    </r>
    <r>
      <rPr>
        <sz val="10"/>
        <color rgb="FF000000"/>
        <rFont val="Arial"/>
        <family val="2"/>
      </rPr>
      <t>Japan Pavilion</t>
    </r>
    <r>
      <rPr>
        <sz val="10"/>
        <color rgb="FF000000"/>
        <rFont val="WenQuanYi Zen Hei"/>
        <family val="2"/>
      </rPr>
      <t>連携</t>
    </r>
  </si>
  <si>
    <r>
      <rPr>
        <sz val="10"/>
        <color rgb="FF000000"/>
        <rFont val="WenQuanYi Zen Hei"/>
        <family val="2"/>
      </rPr>
      <t>最終便名（</t>
    </r>
    <r>
      <rPr>
        <sz val="10"/>
        <color rgb="FF000000"/>
        <rFont val="Arial"/>
        <family val="2"/>
      </rPr>
      <t>SQ or Scoot</t>
    </r>
    <r>
      <rPr>
        <sz val="10"/>
        <color rgb="FF000000"/>
        <rFont val="WenQuanYi Zen Hei"/>
        <family val="2"/>
      </rPr>
      <t>）と発券状況が本人メールで未確認</t>
    </r>
  </si>
  <si>
    <r>
      <rPr>
        <sz val="10"/>
        <color rgb="FF000000"/>
        <rFont val="Arial"/>
        <family val="2"/>
      </rPr>
      <t xml:space="preserve">10/26 </t>
    </r>
    <r>
      <rPr>
        <sz val="10"/>
        <color rgb="FF000000"/>
        <rFont val="WenQuanYi Zen Hei"/>
        <family val="2"/>
      </rPr>
      <t>関空→</t>
    </r>
    <r>
      <rPr>
        <sz val="10"/>
        <color rgb="FF000000"/>
        <rFont val="Arial"/>
        <family val="2"/>
      </rPr>
      <t>SIN</t>
    </r>
    <r>
      <rPr>
        <sz val="10"/>
        <color rgb="FF000000"/>
        <rFont val="WenQuanYi Zen Hei"/>
        <family val="2"/>
      </rPr>
      <t>（池田と同便）</t>
    </r>
  </si>
  <si>
    <r>
      <rPr>
        <sz val="10"/>
        <color rgb="FF000000"/>
        <rFont val="Arial"/>
        <family val="2"/>
      </rPr>
      <t>10/31 SIN→</t>
    </r>
    <r>
      <rPr>
        <sz val="10"/>
        <color rgb="FF000000"/>
        <rFont val="WenQuanYi Zen Hei"/>
        <family val="2"/>
      </rPr>
      <t>関空（池田と同便）</t>
    </r>
  </si>
  <si>
    <r>
      <rPr>
        <sz val="10"/>
        <color rgb="FF000000"/>
        <rFont val="WenQuanYi Zen Hei"/>
        <family val="2"/>
      </rPr>
      <t>副総括／</t>
    </r>
    <r>
      <rPr>
        <sz val="10"/>
        <color rgb="FF000000"/>
        <rFont val="Arial"/>
        <family val="2"/>
      </rPr>
      <t>Concept Note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</rPr>
      <t>Roundtable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</rPr>
      <t>Draft Summary</t>
    </r>
    <r>
      <rPr>
        <sz val="10"/>
        <color rgb="FF000000"/>
        <rFont val="WenQuanYi Zen Hei"/>
        <family val="2"/>
      </rPr>
      <t>／広報／</t>
    </r>
    <r>
      <rPr>
        <sz val="10"/>
        <color rgb="FF000000"/>
        <rFont val="Arial"/>
        <family val="2"/>
      </rPr>
      <t>SC</t>
    </r>
    <r>
      <rPr>
        <sz val="10"/>
        <color rgb="FF000000"/>
        <rFont val="WenQuanYi Zen Hei"/>
        <family val="2"/>
      </rPr>
      <t>サマリーメモ</t>
    </r>
  </si>
  <si>
    <r>
      <rPr>
        <sz val="10"/>
        <color rgb="FF000000"/>
        <rFont val="Arial"/>
        <family val="2"/>
      </rPr>
      <t>Roundtable</t>
    </r>
    <r>
      <rPr>
        <sz val="10"/>
        <color rgb="FF000000"/>
        <rFont val="WenQuanYi Zen Hei"/>
        <family val="2"/>
      </rPr>
      <t>共同運営、</t>
    </r>
    <r>
      <rPr>
        <sz val="10"/>
        <color rgb="FF000000"/>
        <rFont val="Arial"/>
        <family val="2"/>
      </rPr>
      <t>Draft Summary</t>
    </r>
    <r>
      <rPr>
        <sz val="10"/>
        <color rgb="FF000000"/>
        <rFont val="WenQuanYi Zen Hei"/>
        <family val="2"/>
      </rPr>
      <t>執筆（</t>
    </r>
    <r>
      <rPr>
        <sz val="10"/>
        <color rgb="FF000000"/>
        <rFont val="Arial"/>
        <family val="2"/>
      </rPr>
      <t>Day1</t>
    </r>
    <r>
      <rPr>
        <sz val="10"/>
        <color rgb="FF000000"/>
        <rFont val="WenQuanYi Zen Hei"/>
        <family val="2"/>
      </rPr>
      <t>夜〜</t>
    </r>
    <r>
      <rPr>
        <sz val="10"/>
        <color rgb="FF000000"/>
        <rFont val="Arial"/>
        <family val="2"/>
      </rPr>
      <t>Day2</t>
    </r>
    <r>
      <rPr>
        <sz val="10"/>
        <color rgb="FF000000"/>
        <rFont val="WenQuanYi Zen Hei"/>
        <family val="2"/>
      </rPr>
      <t>朝）、</t>
    </r>
    <r>
      <rPr>
        <sz val="10"/>
        <color rgb="FF000000"/>
        <rFont val="Arial"/>
        <family val="2"/>
      </rPr>
      <t>SC</t>
    </r>
    <r>
      <rPr>
        <sz val="10"/>
        <color rgb="FF000000"/>
        <rFont val="WenQuanYi Zen Hei"/>
        <family val="2"/>
      </rPr>
      <t>メモ、必要に応じ</t>
    </r>
    <r>
      <rPr>
        <sz val="10"/>
        <color rgb="FF000000"/>
        <rFont val="Arial"/>
        <family val="2"/>
      </rPr>
      <t>Technical Session</t>
    </r>
    <r>
      <rPr>
        <sz val="10"/>
        <color rgb="FF000000"/>
        <rFont val="WenQuanYi Zen Hei"/>
        <family val="2"/>
      </rPr>
      <t>共同議長候補</t>
    </r>
  </si>
  <si>
    <r>
      <rPr>
        <sz val="10"/>
        <color rgb="FF000000"/>
        <rFont val="Arial"/>
        <family val="2"/>
      </rPr>
      <t>Draft Summary</t>
    </r>
    <r>
      <rPr>
        <sz val="10"/>
        <color rgb="FF000000"/>
        <rFont val="WenQuanYi Zen Hei"/>
        <family val="2"/>
      </rPr>
      <t>と会期中ノートテイクが集中する</t>
    </r>
  </si>
  <si>
    <t>研究員</t>
  </si>
  <si>
    <t>見込（手配未確認）</t>
  </si>
  <si>
    <t>未確認</t>
  </si>
  <si>
    <r>
      <rPr>
        <sz val="10"/>
        <color rgb="FF000000"/>
        <rFont val="Arial"/>
        <family val="2"/>
      </rPr>
      <t>Technical Session(PIC)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</rPr>
      <t>SIDEX Exhibition</t>
    </r>
    <r>
      <rPr>
        <sz val="10"/>
        <color rgb="FF000000"/>
        <rFont val="WenQuanYi Zen Hei"/>
        <family val="2"/>
      </rPr>
      <t>調整／</t>
    </r>
    <r>
      <rPr>
        <sz val="10"/>
        <color rgb="FF000000"/>
        <rFont val="Arial"/>
        <family val="2"/>
      </rPr>
      <t>Draft Summary</t>
    </r>
  </si>
  <si>
    <r>
      <rPr>
        <sz val="10"/>
        <color rgb="FF000000"/>
        <rFont val="Arial"/>
        <family val="2"/>
      </rPr>
      <t>Technical Session ADRC</t>
    </r>
    <r>
      <rPr>
        <sz val="10"/>
        <color rgb="FF000000"/>
        <rFont val="WenQuanYi Zen Hei"/>
        <family val="2"/>
      </rPr>
      <t>側</t>
    </r>
    <r>
      <rPr>
        <sz val="10"/>
        <color rgb="FF000000"/>
        <rFont val="Arial"/>
        <family val="2"/>
      </rPr>
      <t>Co-Chair</t>
    </r>
    <r>
      <rPr>
        <sz val="10"/>
        <color rgb="FF000000"/>
        <rFont val="WenQuanYi Zen Hei"/>
        <family val="2"/>
      </rPr>
      <t>（有力案）。登壇者（</t>
    </r>
    <r>
      <rPr>
        <sz val="10"/>
        <color rgb="FF000000"/>
        <rFont val="Arial"/>
        <family val="2"/>
      </rPr>
      <t>JAXA</t>
    </r>
    <r>
      <rPr>
        <sz val="10"/>
        <color rgb="FF000000"/>
        <rFont val="WenQuanYi Zen Hei"/>
        <family val="2"/>
      </rPr>
      <t>・</t>
    </r>
    <r>
      <rPr>
        <sz val="10"/>
        <color rgb="FF000000"/>
        <rFont val="Arial"/>
        <family val="2"/>
      </rPr>
      <t>EOS-NTU</t>
    </r>
    <r>
      <rPr>
        <sz val="10"/>
        <color rgb="FF000000"/>
        <rFont val="WenQuanYi Zen Hei"/>
        <family val="2"/>
      </rPr>
      <t>・</t>
    </r>
    <r>
      <rPr>
        <sz val="10"/>
        <color rgb="FF000000"/>
        <rFont val="Arial"/>
        <family val="2"/>
      </rPr>
      <t>DOST</t>
    </r>
    <r>
      <rPr>
        <sz val="10"/>
        <color rgb="FF000000"/>
        <rFont val="WenQuanYi Zen Hei"/>
        <family val="2"/>
      </rPr>
      <t>・</t>
    </r>
    <r>
      <rPr>
        <sz val="10"/>
        <color rgb="FF000000"/>
        <rFont val="Arial"/>
        <family val="2"/>
      </rPr>
      <t>BRIN/</t>
    </r>
    <r>
      <rPr>
        <sz val="10"/>
        <color rgb="FF000000"/>
        <rFont val="WenQuanYi Zen Hei"/>
        <family val="2"/>
      </rPr>
      <t>ネパール代替・ウズベキスタン）との調整・当日進行</t>
    </r>
  </si>
  <si>
    <t>藤本 絢子</t>
  </si>
  <si>
    <t>FUJIMOTO Ayako</t>
  </si>
  <si>
    <t>候補（本人は可）</t>
  </si>
  <si>
    <t>未手配</t>
  </si>
  <si>
    <r>
      <rPr>
        <sz val="10"/>
        <color rgb="FF000000"/>
        <rFont val="Arial"/>
        <family val="2"/>
      </rPr>
      <t>Hotel Mi Bencoolen</t>
    </r>
    <r>
      <rPr>
        <sz val="10"/>
        <color rgb="FF000000"/>
        <rFont val="WenQuanYi Zen Hei"/>
        <family val="2"/>
      </rPr>
      <t>（候補欄）</t>
    </r>
  </si>
  <si>
    <r>
      <rPr>
        <sz val="10"/>
        <color rgb="FF000000"/>
        <rFont val="WenQuanYi Zen Hei"/>
        <family val="2"/>
      </rPr>
      <t>アジェンダ</t>
    </r>
    <r>
      <rPr>
        <sz val="10"/>
        <color rgb="FF000000"/>
        <rFont val="Arial"/>
        <family val="2"/>
      </rPr>
      <t>(</t>
    </r>
    <r>
      <rPr>
        <sz val="10"/>
        <color rgb="FF000000"/>
        <rFont val="WenQuanYi Zen Hei"/>
        <family val="2"/>
      </rPr>
      <t>補</t>
    </r>
    <r>
      <rPr>
        <sz val="10"/>
        <color rgb="FF000000"/>
        <rFont val="Arial"/>
        <family val="2"/>
      </rPr>
      <t>)</t>
    </r>
    <r>
      <rPr>
        <sz val="10"/>
        <color rgb="FF000000"/>
        <rFont val="WenQuanYi Zen Hei"/>
        <family val="2"/>
      </rPr>
      <t>／広報・</t>
    </r>
    <r>
      <rPr>
        <sz val="10"/>
        <color rgb="FF000000"/>
        <rFont val="Arial"/>
        <family val="2"/>
      </rPr>
      <t>Flyer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</rPr>
      <t>Zoom webinar</t>
    </r>
    <r>
      <rPr>
        <sz val="10"/>
        <color rgb="FF000000"/>
        <rFont val="WenQuanYi Zen Hei"/>
        <family val="2"/>
      </rPr>
      <t>設定／</t>
    </r>
    <r>
      <rPr>
        <sz val="10"/>
        <color rgb="FF000000"/>
        <rFont val="Arial"/>
        <family val="2"/>
      </rPr>
      <t>Web</t>
    </r>
    <r>
      <rPr>
        <sz val="10"/>
        <color rgb="FF000000"/>
        <rFont val="WenQuanYi Zen Hei"/>
        <family val="2"/>
      </rPr>
      <t>サイト／各種リスト出力</t>
    </r>
    <r>
      <rPr>
        <sz val="10"/>
        <color rgb="FF000000"/>
        <rFont val="Arial"/>
        <family val="2"/>
      </rPr>
      <t>(</t>
    </r>
    <r>
      <rPr>
        <sz val="10"/>
        <color rgb="FF000000"/>
        <rFont val="WenQuanYi Zen Hei"/>
        <family val="2"/>
      </rPr>
      <t>リソース・研究部</t>
    </r>
    <r>
      <rPr>
        <sz val="10"/>
        <color rgb="FF000000"/>
        <rFont val="Arial"/>
        <family val="2"/>
      </rPr>
      <t>)</t>
    </r>
    <r>
      <rPr>
        <sz val="10"/>
        <color rgb="FF000000"/>
        <rFont val="WenQuanYi Zen Hei"/>
        <family val="2"/>
      </rPr>
      <t>／会議参加証明</t>
    </r>
  </si>
  <si>
    <r>
      <rPr>
        <sz val="10"/>
        <color rgb="FF000000"/>
        <rFont val="WenQuanYi Zen Hei"/>
        <family val="2"/>
      </rPr>
      <t>【追加推奨】</t>
    </r>
    <r>
      <rPr>
        <sz val="10"/>
        <color rgb="FF000000"/>
        <rFont val="Arial"/>
        <family val="2"/>
      </rPr>
      <t>Zoom/AI</t>
    </r>
    <r>
      <rPr>
        <sz val="10"/>
        <color rgb="FF000000"/>
        <rFont val="WenQuanYi Zen Hei"/>
        <family val="2"/>
      </rPr>
      <t>翻訳オペレーション、受付デスク</t>
    </r>
    <r>
      <rPr>
        <sz val="10"/>
        <color rgb="FF000000"/>
        <rFont val="Arial"/>
        <family val="2"/>
      </rPr>
      <t>3</t>
    </r>
    <r>
      <rPr>
        <sz val="10"/>
        <color rgb="FF000000"/>
        <rFont val="WenQuanYi Zen Hei"/>
        <family val="2"/>
      </rPr>
      <t>人目、写真記録、</t>
    </r>
    <r>
      <rPr>
        <sz val="10"/>
        <color rgb="FF000000"/>
        <rFont val="Arial"/>
        <family val="2"/>
      </rPr>
      <t>Japan Pavilion</t>
    </r>
    <r>
      <rPr>
        <sz val="10"/>
        <color rgb="FF000000"/>
        <rFont val="WenQuanYi Zen Hei"/>
        <family val="2"/>
      </rPr>
      <t>・参加者誘導</t>
    </r>
  </si>
  <si>
    <t>塩見 有美</t>
  </si>
  <si>
    <t>SHIOMI Yumi</t>
  </si>
  <si>
    <t>（デマケ上の現地担当なし）</t>
  </si>
  <si>
    <r>
      <rPr>
        <sz val="10"/>
        <color rgb="FF000000"/>
        <rFont val="WenQuanYi Zen Hei"/>
        <family val="2"/>
      </rPr>
      <t>【追加推奨】セッション記録・サマリー補助（</t>
    </r>
    <r>
      <rPr>
        <sz val="10"/>
        <color rgb="FF000000"/>
        <rFont val="Arial"/>
        <family val="2"/>
      </rPr>
      <t>2023</t>
    </r>
    <r>
      <rPr>
        <sz val="10"/>
        <color rgb="FF000000"/>
        <rFont val="WenQuanYi Zen Hei"/>
        <family val="2"/>
      </rPr>
      <t>年は</t>
    </r>
    <r>
      <rPr>
        <sz val="10"/>
        <color rgb="FF000000"/>
        <rFont val="Arial"/>
        <family val="2"/>
      </rPr>
      <t>S1</t>
    </r>
    <r>
      <rPr>
        <sz val="10"/>
        <color rgb="FF000000"/>
        <rFont val="WenQuanYi Zen Hei"/>
        <family val="2"/>
      </rPr>
      <t>サマリー担当）、中央アジア</t>
    </r>
    <r>
      <rPr>
        <sz val="10"/>
        <color rgb="FF000000"/>
        <rFont val="Arial"/>
        <family val="2"/>
      </rPr>
      <t>/</t>
    </r>
    <r>
      <rPr>
        <sz val="10"/>
        <color rgb="FF000000"/>
        <rFont val="WenQuanYi Zen Hei"/>
        <family val="2"/>
      </rPr>
      <t>ウズベキスタン対応、参加者誘導</t>
    </r>
  </si>
  <si>
    <t>（広報）</t>
  </si>
  <si>
    <t>未定</t>
  </si>
  <si>
    <t>―</t>
  </si>
  <si>
    <t>広報（記者クラブ）</t>
  </si>
  <si>
    <t>国内（記者クラブ対応）想定。現地派遣の根拠なし</t>
  </si>
  <si>
    <r>
      <rPr>
        <sz val="10"/>
        <color rgb="FF000000"/>
        <rFont val="WenQuanYi Zen Hei"/>
        <family val="2"/>
      </rPr>
      <t>予算上は</t>
    </r>
    <r>
      <rPr>
        <sz val="10"/>
        <color rgb="FF000000"/>
        <rFont val="Arial"/>
        <family val="2"/>
      </rPr>
      <t>14</t>
    </r>
    <r>
      <rPr>
        <sz val="10"/>
        <color rgb="FF000000"/>
        <rFont val="WenQuanYi Zen Hei"/>
        <family val="2"/>
      </rPr>
      <t>名に含まれるが、渡航手配・役割の記録なし → 派遣対象か要確認</t>
    </r>
  </si>
  <si>
    <t>伊達 孝</t>
  </si>
  <si>
    <t>DATE Takashi</t>
  </si>
  <si>
    <t>国内サポート</t>
  </si>
  <si>
    <r>
      <rPr>
        <sz val="10"/>
        <color rgb="FF000000"/>
        <rFont val="Arial"/>
        <family val="2"/>
      </rPr>
      <t>PC</t>
    </r>
    <r>
      <rPr>
        <sz val="10"/>
        <color rgb="FF000000"/>
        <rFont val="WenQuanYi Zen Hei"/>
        <family val="2"/>
      </rPr>
      <t>等機材サポート／</t>
    </r>
    <r>
      <rPr>
        <sz val="10"/>
        <color rgb="FF000000"/>
        <rFont val="Arial"/>
        <family val="2"/>
      </rPr>
      <t>Web</t>
    </r>
    <r>
      <rPr>
        <sz val="10"/>
        <color rgb="FF000000"/>
        <rFont val="WenQuanYi Zen Hei"/>
        <family val="2"/>
      </rPr>
      <t>サイトサポート</t>
    </r>
  </si>
  <si>
    <r>
      <rPr>
        <sz val="10"/>
        <color rgb="FF000000"/>
        <rFont val="WenQuanYi Zen Hei"/>
        <family val="2"/>
      </rPr>
      <t>神戸からのリモート支援（</t>
    </r>
    <r>
      <rPr>
        <sz val="10"/>
        <color rgb="FF000000"/>
        <rFont val="Arial"/>
        <family val="2"/>
      </rPr>
      <t>Web</t>
    </r>
    <r>
      <rPr>
        <sz val="10"/>
        <color rgb="FF000000"/>
        <rFont val="WenQuanYi Zen Hei"/>
        <family val="2"/>
      </rPr>
      <t>更新、</t>
    </r>
    <r>
      <rPr>
        <sz val="10"/>
        <color rgb="FF000000"/>
        <rFont val="Arial"/>
        <family val="2"/>
      </rPr>
      <t>Highlights</t>
    </r>
    <r>
      <rPr>
        <sz val="10"/>
        <color rgb="FF000000"/>
        <rFont val="WenQuanYi Zen Hei"/>
        <family val="2"/>
      </rPr>
      <t>発行）</t>
    </r>
  </si>
  <si>
    <t>TERASAKA Kazuko</t>
  </si>
  <si>
    <t>アシスタント</t>
  </si>
  <si>
    <t>国内（オンライン登録）</t>
  </si>
  <si>
    <r>
      <rPr>
        <sz val="10"/>
        <color rgb="FF000000"/>
        <rFont val="WenQuanYi Zen Hei"/>
        <family val="2"/>
      </rPr>
      <t>参加者情報・フライト・宿泊・送迎の</t>
    </r>
    <r>
      <rPr>
        <sz val="10"/>
        <color rgb="FF000000"/>
        <rFont val="Arial"/>
        <family val="2"/>
      </rPr>
      <t>Web</t>
    </r>
    <r>
      <rPr>
        <sz val="10"/>
        <color rgb="FF000000"/>
        <rFont val="WenQuanYi Zen Hei"/>
        <family val="2"/>
      </rPr>
      <t>登録・リスト出力</t>
    </r>
    <r>
      <rPr>
        <sz val="10"/>
        <color rgb="FF000000"/>
        <rFont val="Arial"/>
        <family val="2"/>
      </rPr>
      <t>(</t>
    </r>
    <r>
      <rPr>
        <sz val="10"/>
        <color rgb="FF000000"/>
        <rFont val="WenQuanYi Zen Hei"/>
        <family val="2"/>
      </rPr>
      <t>メンバー国</t>
    </r>
    <r>
      <rPr>
        <sz val="10"/>
        <color rgb="FF000000"/>
        <rFont val="Arial"/>
        <family val="2"/>
      </rPr>
      <t>)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</rPr>
      <t>VISA</t>
    </r>
  </si>
  <si>
    <t>神戸でマスターリスト管理・リスト出力</t>
  </si>
  <si>
    <r>
      <rPr>
        <sz val="10"/>
        <color rgb="FF000000"/>
        <rFont val="WenQuanYi Zen Hei"/>
        <family val="2"/>
      </rPr>
      <t xml:space="preserve">トルコ研修調整で多忙（児玉 </t>
    </r>
    <r>
      <rPr>
        <sz val="10"/>
        <color rgb="FF000000"/>
        <rFont val="Arial"/>
        <family val="2"/>
      </rPr>
      <t>5/18</t>
    </r>
    <r>
      <rPr>
        <sz val="10"/>
        <color rgb="FF000000"/>
        <rFont val="WenQuanYi Zen Hei"/>
        <family val="2"/>
      </rPr>
      <t>）</t>
    </r>
  </si>
  <si>
    <t>田原 麻衣</t>
  </si>
  <si>
    <t>TAHARA Mai</t>
  </si>
  <si>
    <t>管理部（役員対応）</t>
  </si>
  <si>
    <t>神戸で管理部業務</t>
  </si>
  <si>
    <t>TATEBE Chihori</t>
  </si>
  <si>
    <t>集計（自動計算）</t>
  </si>
  <si>
    <t>現地参加 確定（フライト要確認含む）</t>
  </si>
  <si>
    <t>見込・候補（手配未了）</t>
  </si>
  <si>
    <t>うち役員（三浦・北本・宮木）＝運営要員から除く</t>
  </si>
  <si>
    <r>
      <rPr>
        <sz val="11"/>
        <color theme="1"/>
        <rFont val="WenQuanYi Zen Hei"/>
        <family val="2"/>
      </rPr>
      <t>実働運営要員（確定＋見込</t>
    </r>
    <r>
      <rPr>
        <sz val="11"/>
        <color theme="1"/>
        <rFont val="Calibri"/>
        <family val="2"/>
        <charset val="1"/>
      </rPr>
      <t>(Mizan)−</t>
    </r>
    <r>
      <rPr>
        <sz val="11"/>
        <color theme="1"/>
        <rFont val="WenQuanYi Zen Hei"/>
        <family val="2"/>
      </rPr>
      <t>役員）</t>
    </r>
  </si>
  <si>
    <r>
      <rPr>
        <i/>
        <sz val="9"/>
        <color rgb="FF555555"/>
        <rFont val="Arial"/>
        <family val="2"/>
      </rPr>
      <t>← ACDR2023</t>
    </r>
    <r>
      <rPr>
        <i/>
        <sz val="9"/>
        <color rgb="FF555555"/>
        <rFont val="WenQuanYi Zen Hei"/>
        <family val="2"/>
      </rPr>
      <t>（ドゥシャンベ）の現地運営要員は役員（小川・笹原）を除き</t>
    </r>
    <r>
      <rPr>
        <i/>
        <sz val="9"/>
        <color rgb="FF555555"/>
        <rFont val="Arial"/>
        <family val="2"/>
      </rPr>
      <t>8</t>
    </r>
    <r>
      <rPr>
        <i/>
        <sz val="9"/>
        <color rgb="FF555555"/>
        <rFont val="WenQuanYi Zen Hei"/>
        <family val="2"/>
      </rPr>
      <t>名（堀池・藤中・田中・荒木田・児玉・塩見・</t>
    </r>
    <r>
      <rPr>
        <i/>
        <sz val="9"/>
        <color rgb="FF555555"/>
        <rFont val="Arial"/>
        <family val="2"/>
      </rPr>
      <t>Potutan</t>
    </r>
    <r>
      <rPr>
        <i/>
        <sz val="9"/>
        <color rgb="FF555555"/>
        <rFont val="WenQuanYi Zen Hei"/>
        <family val="2"/>
      </rPr>
      <t>・吉田）。今回は同数だが、公邸レセプション・</t>
    </r>
    <r>
      <rPr>
        <i/>
        <sz val="9"/>
        <color rgb="FF555555"/>
        <rFont val="Arial"/>
        <family val="2"/>
      </rPr>
      <t>Gala</t>
    </r>
    <r>
      <rPr>
        <i/>
        <sz val="9"/>
        <color rgb="FF555555"/>
        <rFont val="WenQuanYi Zen Hei"/>
        <family val="2"/>
      </rPr>
      <t>・</t>
    </r>
    <r>
      <rPr>
        <i/>
        <sz val="9"/>
        <color rgb="FF555555"/>
        <rFont val="Arial"/>
        <family val="2"/>
      </rPr>
      <t>Parade</t>
    </r>
    <r>
      <rPr>
        <i/>
        <sz val="9"/>
        <color rgb="FF555555"/>
        <rFont val="WenQuanYi Zen Hei"/>
        <family val="2"/>
      </rPr>
      <t>・</t>
    </r>
    <r>
      <rPr>
        <i/>
        <sz val="9"/>
        <color rgb="FF555555"/>
        <rFont val="Arial"/>
        <family val="2"/>
      </rPr>
      <t>SIDEX</t>
    </r>
    <r>
      <rPr>
        <i/>
        <sz val="9"/>
        <color rgb="FF555555"/>
        <rFont val="WenQuanYi Zen Hei"/>
        <family val="2"/>
      </rPr>
      <t>連携が加わる</t>
    </r>
  </si>
  <si>
    <r>
      <rPr>
        <sz val="11"/>
        <color theme="1"/>
        <rFont val="WenQuanYi Zen Hei"/>
        <family val="2"/>
      </rPr>
      <t>追加推奨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WenQuanYi Zen Hei"/>
        <family val="2"/>
      </rPr>
      <t>名（藤本・塩見）を含む場合</t>
    </r>
  </si>
  <si>
    <r>
      <rPr>
        <i/>
        <sz val="9"/>
        <color rgb="FF555555"/>
        <rFont val="WenQuanYi Zen Hei"/>
        <family val="2"/>
      </rPr>
      <t>← 「</t>
    </r>
    <r>
      <rPr>
        <i/>
        <sz val="9"/>
        <color rgb="FF555555"/>
        <rFont val="Arial"/>
        <family val="2"/>
      </rPr>
      <t>+2</t>
    </r>
    <r>
      <rPr>
        <i/>
        <sz val="9"/>
        <color rgb="FF555555"/>
        <rFont val="WenQuanYi Zen Hei"/>
        <family val="2"/>
      </rPr>
      <t>」は本表の推奨案（未確定）</t>
    </r>
  </si>
  <si>
    <t>凡例</t>
  </si>
  <si>
    <t>確定（航空券発券済み／確定情報あり）</t>
  </si>
  <si>
    <t>見込・候補（本人可または担当割当済みだが手配未了）</t>
  </si>
  <si>
    <t>未定（打診中・根拠不足）</t>
  </si>
  <si>
    <t>国内・オンライン参加</t>
  </si>
  <si>
    <r>
      <rPr>
        <b/>
        <sz val="12"/>
        <color rgb="FF1F4E78"/>
        <rFont val="Arial"/>
        <family val="2"/>
      </rPr>
      <t xml:space="preserve">ACDR2026 </t>
    </r>
    <r>
      <rPr>
        <b/>
        <sz val="12"/>
        <color rgb="FF1F4E78"/>
        <rFont val="WenQuanYi Zen Hei"/>
        <family val="2"/>
      </rPr>
      <t xml:space="preserve">動態表（日別 </t>
    </r>
    <r>
      <rPr>
        <b/>
        <sz val="12"/>
        <color rgb="FF1F4E78"/>
        <rFont val="Arial"/>
        <family val="2"/>
      </rPr>
      <t>AM/PM</t>
    </r>
    <r>
      <rPr>
        <b/>
        <sz val="12"/>
        <color rgb="FF1F4E78"/>
        <rFont val="WenQuanYi Zen Hei"/>
        <family val="2"/>
      </rPr>
      <t>）　</t>
    </r>
    <r>
      <rPr>
        <b/>
        <sz val="12"/>
        <color rgb="FF1F4E78"/>
        <rFont val="Arial"/>
        <family val="2"/>
      </rPr>
      <t>as of 4 Sep 2026 v0</t>
    </r>
  </si>
  <si>
    <t>Staff</t>
  </si>
  <si>
    <r>
      <rPr>
        <b/>
        <sz val="10"/>
        <color rgb="FF000000"/>
        <rFont val="Arial"/>
        <family val="2"/>
      </rPr>
      <t>10/24(</t>
    </r>
    <r>
      <rPr>
        <b/>
        <sz val="10"/>
        <color rgb="FF000000"/>
        <rFont val="WenQuanYi Zen Hei"/>
        <family val="2"/>
      </rPr>
      <t>土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</si>
  <si>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Arial"/>
        <family val="2"/>
      </rPr>
      <t>10/25(</t>
    </r>
    <r>
      <rPr>
        <b/>
        <sz val="10"/>
        <color rgb="FF000000"/>
        <rFont val="WenQuanYi Zen Hei"/>
        <family val="2"/>
      </rPr>
      <t>日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</si>
  <si>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Arial"/>
        <family val="2"/>
      </rPr>
      <t>10/26(</t>
    </r>
    <r>
      <rPr>
        <b/>
        <sz val="10"/>
        <color rgb="FF000000"/>
        <rFont val="WenQuanYi Zen Hei"/>
        <family val="2"/>
      </rPr>
      <t>月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</si>
  <si>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Arial"/>
        <family val="2"/>
      </rPr>
      <t>10/27(</t>
    </r>
    <r>
      <rPr>
        <b/>
        <sz val="10"/>
        <color rgb="FF000000"/>
        <rFont val="WenQuanYi Zen Hei"/>
        <family val="2"/>
      </rPr>
      <t>火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</si>
  <si>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Arial"/>
        <family val="2"/>
      </rPr>
      <t>10/28(</t>
    </r>
    <r>
      <rPr>
        <b/>
        <sz val="10"/>
        <color rgb="FF000000"/>
        <rFont val="WenQuanYi Zen Hei"/>
        <family val="2"/>
      </rPr>
      <t>水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</si>
  <si>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Arial"/>
        <family val="2"/>
      </rPr>
      <t>10/29(</t>
    </r>
    <r>
      <rPr>
        <b/>
        <sz val="10"/>
        <color rgb="FF000000"/>
        <rFont val="WenQuanYi Zen Hei"/>
        <family val="2"/>
      </rPr>
      <t>木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</si>
  <si>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Arial"/>
        <family val="2"/>
      </rPr>
      <t>10/30(</t>
    </r>
    <r>
      <rPr>
        <b/>
        <sz val="10"/>
        <color rgb="FF000000"/>
        <rFont val="WenQuanYi Zen Hei"/>
        <family val="2"/>
      </rPr>
      <t>金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</si>
  <si>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Arial"/>
        <family val="2"/>
      </rPr>
      <t>10/31(</t>
    </r>
    <r>
      <rPr>
        <b/>
        <sz val="10"/>
        <color rgb="FF000000"/>
        <rFont val="WenQuanYi Zen Hei"/>
        <family val="2"/>
      </rPr>
      <t>土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</si>
  <si>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Arial"/>
        <family val="2"/>
      </rPr>
      <t>11/1(</t>
    </r>
    <r>
      <rPr>
        <b/>
        <sz val="10"/>
        <color rgb="FF000000"/>
        <rFont val="WenQuanYi Zen Hei"/>
        <family val="2"/>
      </rPr>
      <t>日</t>
    </r>
    <r>
      <rPr>
        <b/>
        <sz val="10"/>
        <color rgb="FF000000"/>
        <rFont val="Arial"/>
        <family val="2"/>
      </rPr>
      <t>)</t>
    </r>
  </si>
  <si>
    <t>AM</t>
  </si>
  <si>
    <t>PM</t>
  </si>
  <si>
    <t>PROGRAM</t>
  </si>
  <si>
    <r>
      <rPr>
        <sz val="8"/>
        <color rgb="FF000000"/>
        <rFont val="WenQuanYi Zen Hei"/>
        <family val="2"/>
      </rPr>
      <t>参加者到着</t>
    </r>
    <r>
      <rPr>
        <sz val="8"/>
        <color rgb="FF000000"/>
        <rFont val="Arial"/>
        <family val="2"/>
      </rPr>
      <t>(Dorsett)</t>
    </r>
  </si>
  <si>
    <r>
      <rPr>
        <sz val="8"/>
        <color rgb="FF000000"/>
        <rFont val="WenQuanYi Zen Hei"/>
        <family val="2"/>
      </rPr>
      <t>参加者到着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〜深夜</t>
    </r>
    <r>
      <rPr>
        <sz val="8"/>
        <color rgb="FF000000"/>
        <rFont val="Arial"/>
        <family val="2"/>
      </rPr>
      <t>)</t>
    </r>
    <r>
      <rPr>
        <sz val="8"/>
        <color rgb="FF000000"/>
        <rFont val="WenQuanYi Zen Hei"/>
        <family val="2"/>
      </rPr>
      <t>／</t>
    </r>
    <r>
      <rPr>
        <sz val="8"/>
        <color rgb="FF000000"/>
        <rFont val="Arial"/>
        <family val="2"/>
      </rPr>
      <t>Day-1</t>
    </r>
    <r>
      <rPr>
        <sz val="8"/>
        <color rgb="FF000000"/>
        <rFont val="WenQuanYi Zen Hei"/>
        <family val="2"/>
      </rPr>
      <t>準備</t>
    </r>
  </si>
  <si>
    <t>参加者到着／会場・名札準備</t>
  </si>
  <si>
    <r>
      <rPr>
        <sz val="8"/>
        <color rgb="FF000000"/>
        <rFont val="Arial"/>
        <family val="2"/>
      </rPr>
      <t>16:00</t>
    </r>
    <r>
      <rPr>
        <sz val="8"/>
        <color rgb="FF000000"/>
        <rFont val="WenQuanYi Zen Hei"/>
        <family val="2"/>
      </rPr>
      <t>設営→</t>
    </r>
    <r>
      <rPr>
        <sz val="8"/>
        <color rgb="FF000000"/>
        <rFont val="Arial"/>
        <family val="2"/>
      </rPr>
      <t xml:space="preserve">19:00-21:00 </t>
    </r>
    <r>
      <rPr>
        <sz val="8"/>
        <color rgb="FF000000"/>
        <rFont val="WenQuanYi Zen Hei"/>
        <family val="2"/>
      </rPr>
      <t>大使公邸レセプション</t>
    </r>
  </si>
  <si>
    <r>
      <rPr>
        <sz val="8"/>
        <color rgb="FF000000"/>
        <rFont val="Arial"/>
        <family val="2"/>
      </rPr>
      <t>07:30</t>
    </r>
    <r>
      <rPr>
        <sz val="8"/>
        <color rgb="FF000000"/>
        <rFont val="WenQuanYi Zen Hei"/>
        <family val="2"/>
      </rPr>
      <t>会場テスト／</t>
    </r>
    <r>
      <rPr>
        <sz val="8"/>
        <color rgb="FF000000"/>
        <rFont val="Arial"/>
        <family val="2"/>
      </rPr>
      <t>10:00 Joint Opening</t>
    </r>
    <r>
      <rPr>
        <sz val="8"/>
        <color rgb="FF000000"/>
        <rFont val="WenQuanYi Zen Hei"/>
        <family val="2"/>
      </rPr>
      <t>／</t>
    </r>
    <r>
      <rPr>
        <sz val="8"/>
        <color rgb="FF000000"/>
        <rFont val="Arial"/>
        <family val="2"/>
      </rPr>
      <t>VIP Tour</t>
    </r>
  </si>
  <si>
    <r>
      <rPr>
        <sz val="8"/>
        <color rgb="FF000000"/>
        <rFont val="Arial"/>
        <family val="2"/>
      </rPr>
      <t>12:45 ACDR Opening</t>
    </r>
    <r>
      <rPr>
        <sz val="8"/>
        <color rgb="FF000000"/>
        <rFont val="WenQuanYi Zen Hei"/>
        <family val="2"/>
      </rPr>
      <t>／</t>
    </r>
    <r>
      <rPr>
        <sz val="8"/>
        <color rgb="FF000000"/>
        <rFont val="Arial"/>
        <family val="2"/>
      </rPr>
      <t>13:00 Roundtable</t>
    </r>
    <r>
      <rPr>
        <sz val="8"/>
        <color rgb="FF000000"/>
        <rFont val="WenQuanYi Zen Hei"/>
        <family val="2"/>
      </rPr>
      <t>／</t>
    </r>
    <r>
      <rPr>
        <sz val="8"/>
        <color rgb="FF000000"/>
        <rFont val="Arial"/>
        <family val="2"/>
      </rPr>
      <t>15:45 SC</t>
    </r>
    <r>
      <rPr>
        <sz val="8"/>
        <color rgb="FF000000"/>
        <rFont val="WenQuanYi Zen Hei"/>
        <family val="2"/>
      </rPr>
      <t>／</t>
    </r>
    <r>
      <rPr>
        <sz val="8"/>
        <color rgb="FF000000"/>
        <rFont val="Arial"/>
        <family val="2"/>
      </rPr>
      <t>18:30 Gala</t>
    </r>
  </si>
  <si>
    <r>
      <rPr>
        <sz val="8"/>
        <color rgb="FF000000"/>
        <rFont val="Arial"/>
        <family val="2"/>
      </rPr>
      <t>09:30 Technical Session</t>
    </r>
    <r>
      <rPr>
        <sz val="8"/>
        <color rgb="FF000000"/>
        <rFont val="WenQuanYi Zen Hei"/>
        <family val="2"/>
      </rPr>
      <t>／</t>
    </r>
    <r>
      <rPr>
        <sz val="8"/>
        <color rgb="FF000000"/>
        <rFont val="Arial"/>
        <family val="2"/>
      </rPr>
      <t>11:45 Closing</t>
    </r>
  </si>
  <si>
    <r>
      <rPr>
        <sz val="8"/>
        <color rgb="FF000000"/>
        <rFont val="Arial"/>
        <family val="2"/>
      </rPr>
      <t>13:00</t>
    </r>
    <r>
      <rPr>
        <sz val="8"/>
        <color rgb="FF000000"/>
        <rFont val="WenQuanYi Zen Hei"/>
        <family val="2"/>
      </rPr>
      <t xml:space="preserve">〜 </t>
    </r>
    <r>
      <rPr>
        <sz val="8"/>
        <color rgb="FF000000"/>
        <rFont val="Arial"/>
        <family val="2"/>
      </rPr>
      <t>Field Trip(CDA)</t>
    </r>
    <r>
      <rPr>
        <sz val="8"/>
        <color rgb="FF000000"/>
        <rFont val="WenQuanYi Zen Hei"/>
        <family val="2"/>
      </rPr>
      <t>／</t>
    </r>
    <r>
      <rPr>
        <sz val="8"/>
        <color rgb="FF000000"/>
        <rFont val="Arial"/>
        <family val="2"/>
      </rPr>
      <t>18:30 SCDF Parade &amp; Dinner</t>
    </r>
  </si>
  <si>
    <t>09:00 SIDEX Keynote/Panel1</t>
  </si>
  <si>
    <r>
      <rPr>
        <sz val="8"/>
        <color rgb="FF000000"/>
        <rFont val="Arial"/>
        <family val="2"/>
      </rPr>
      <t>13:50 Exhibition Tour</t>
    </r>
    <r>
      <rPr>
        <sz val="8"/>
        <color rgb="FF000000"/>
        <rFont val="WenQuanYi Zen Hei"/>
        <family val="2"/>
      </rPr>
      <t>／</t>
    </r>
    <r>
      <rPr>
        <sz val="8"/>
        <color rgb="FF000000"/>
        <rFont val="Arial"/>
        <family val="2"/>
      </rPr>
      <t>15:00 Panel2</t>
    </r>
    <r>
      <rPr>
        <sz val="8"/>
        <color rgb="FF000000"/>
        <rFont val="WenQuanYi Zen Hei"/>
        <family val="2"/>
      </rPr>
      <t>／</t>
    </r>
    <r>
      <rPr>
        <sz val="8"/>
        <color rgb="FF000000"/>
        <rFont val="Arial"/>
        <family val="2"/>
      </rPr>
      <t>16:30</t>
    </r>
    <r>
      <rPr>
        <sz val="8"/>
        <color rgb="FF000000"/>
        <rFont val="WenQuanYi Zen Hei"/>
        <family val="2"/>
      </rPr>
      <t>閉会／夜</t>
    </r>
    <r>
      <rPr>
        <sz val="8"/>
        <color rgb="FF000000"/>
        <rFont val="Arial"/>
        <family val="2"/>
      </rPr>
      <t>:</t>
    </r>
    <r>
      <rPr>
        <sz val="8"/>
        <color rgb="FF000000"/>
        <rFont val="WenQuanYi Zen Hei"/>
        <family val="2"/>
      </rPr>
      <t>出発</t>
    </r>
  </si>
  <si>
    <r>
      <rPr>
        <sz val="8"/>
        <color rgb="FF000000"/>
        <rFont val="WenQuanYi Zen Hei"/>
        <family val="2"/>
      </rPr>
      <t>参加者出発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見送り</t>
    </r>
    <r>
      <rPr>
        <sz val="8"/>
        <color rgb="FF000000"/>
        <rFont val="Arial"/>
        <family val="2"/>
      </rPr>
      <t>)</t>
    </r>
  </si>
  <si>
    <t>参加者出発</t>
  </si>
  <si>
    <t>FUK-SIN(SQ655)</t>
  </si>
  <si>
    <r>
      <rPr>
        <sz val="8"/>
        <color rgb="FF000000"/>
        <rFont val="Arial"/>
        <family val="2"/>
      </rPr>
      <t>SIN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</rPr>
      <t>15:00/Dorsett</t>
    </r>
  </si>
  <si>
    <r>
      <rPr>
        <sz val="8"/>
        <color rgb="FF000000"/>
        <rFont val="WenQuanYi Zen Hei"/>
        <family val="2"/>
      </rPr>
      <t>待機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資料確認</t>
    </r>
  </si>
  <si>
    <r>
      <rPr>
        <sz val="8"/>
        <color rgb="FF000000"/>
        <rFont val="WenQuanYi Zen Hei"/>
        <family val="2"/>
      </rPr>
      <t>レセプション</t>
    </r>
    <r>
      <rPr>
        <sz val="8"/>
        <color rgb="FF000000"/>
        <rFont val="Arial"/>
        <family val="2"/>
      </rPr>
      <t>(VIP)</t>
    </r>
  </si>
  <si>
    <t>Joint Opening/VIP Tour</t>
  </si>
  <si>
    <r>
      <rPr>
        <sz val="8"/>
        <color rgb="FF000000"/>
        <rFont val="Arial"/>
        <family val="2"/>
      </rPr>
      <t>ACDR Opening</t>
    </r>
    <r>
      <rPr>
        <sz val="8"/>
        <color rgb="FF000000"/>
        <rFont val="WenQuanYi Zen Hei"/>
        <family val="2"/>
      </rPr>
      <t>挨拶</t>
    </r>
    <r>
      <rPr>
        <sz val="8"/>
        <color rgb="FF000000"/>
        <rFont val="Arial"/>
        <family val="2"/>
      </rPr>
      <t>/RT/SC/Gala</t>
    </r>
  </si>
  <si>
    <t>Tech Session/Closing</t>
  </si>
  <si>
    <t>Field Trip/Parade Dinner</t>
  </si>
  <si>
    <t>SIDEX Keynote</t>
  </si>
  <si>
    <r>
      <rPr>
        <sz val="8"/>
        <color rgb="FF000000"/>
        <rFont val="Arial"/>
        <family val="2"/>
      </rPr>
      <t>Panel2/</t>
    </r>
    <r>
      <rPr>
        <sz val="8"/>
        <color rgb="FF000000"/>
        <rFont val="WenQuanYi Zen Hei"/>
        <family val="2"/>
      </rPr>
      <t>閉会</t>
    </r>
  </si>
  <si>
    <t>SIN-FUK(SQ656 01:20)</t>
  </si>
  <si>
    <t>NRT-SIN(SQ637)</t>
  </si>
  <si>
    <r>
      <rPr>
        <sz val="8"/>
        <color rgb="FF000000"/>
        <rFont val="Arial"/>
        <family val="2"/>
      </rPr>
      <t>SIN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</rPr>
      <t>16:30/Dorsett</t>
    </r>
  </si>
  <si>
    <r>
      <rPr>
        <sz val="8"/>
        <color rgb="FF000000"/>
        <rFont val="WenQuanYi Zen Hei"/>
        <family val="2"/>
      </rPr>
      <t>ブリーフィング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荒木田</t>
    </r>
    <r>
      <rPr>
        <sz val="8"/>
        <color rgb="FF000000"/>
        <rFont val="Arial"/>
        <family val="2"/>
      </rPr>
      <t>)</t>
    </r>
  </si>
  <si>
    <t>RT/SC/Gala</t>
  </si>
  <si>
    <r>
      <rPr>
        <sz val="8"/>
        <color rgb="FF000000"/>
        <rFont val="Arial"/>
        <family val="2"/>
      </rPr>
      <t>Panel2/</t>
    </r>
    <r>
      <rPr>
        <sz val="8"/>
        <color rgb="FF000000"/>
        <rFont val="WenQuanYi Zen Hei"/>
        <family val="2"/>
      </rPr>
      <t>閉会</t>
    </r>
    <r>
      <rPr>
        <sz val="8"/>
        <color rgb="FF000000"/>
        <rFont val="Arial"/>
        <family val="2"/>
      </rPr>
      <t>/SIN-NRT(SQ638 23:55)</t>
    </r>
  </si>
  <si>
    <r>
      <rPr>
        <sz val="8"/>
        <color rgb="FF000000"/>
        <rFont val="Arial"/>
        <family val="2"/>
      </rPr>
      <t>NRT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</rPr>
      <t>07:30</t>
    </r>
  </si>
  <si>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移動 要確認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</si>
  <si>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Arial"/>
        <family val="2"/>
      </rPr>
      <t>(SIN</t>
    </r>
    <r>
      <rPr>
        <sz val="8"/>
        <color rgb="FF000000"/>
        <rFont val="WenQuanYi Zen Hei"/>
        <family val="2"/>
      </rPr>
      <t>着 要確認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</si>
  <si>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WenQuanYi Zen Hei"/>
        <family val="2"/>
      </rPr>
      <t>内閣府随行準備</t>
    </r>
    <r>
      <rPr>
        <sz val="8"/>
        <color rgb="FF000000"/>
        <rFont val="Arial"/>
        <family val="2"/>
      </rPr>
      <t>/COSEM</t>
    </r>
    <r>
      <rPr>
        <sz val="8"/>
        <color rgb="FF000000"/>
        <rFont val="WenQuanYi Zen Hei"/>
        <family val="2"/>
      </rPr>
      <t>調整</t>
    </r>
  </si>
  <si>
    <r>
      <rPr>
        <sz val="8"/>
        <color rgb="FF000000"/>
        <rFont val="WenQuanYi Zen Hei"/>
        <family val="2"/>
      </rPr>
      <t>レセプション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内閣府随行・大使対応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</si>
  <si>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Arial"/>
        <family val="2"/>
      </rPr>
      <t>Joint Opening/VIP Tour/</t>
    </r>
    <r>
      <rPr>
        <sz val="8"/>
        <color rgb="FF000000"/>
        <rFont val="WenQuanYi Zen Hei"/>
        <family val="2"/>
      </rPr>
      <t>表敬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内閣府随行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</si>
  <si>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Arial"/>
        <family val="2"/>
      </rPr>
      <t>ACDR Opening/RT/SC</t>
    </r>
    <r>
      <rPr>
        <sz val="8"/>
        <color rgb="FF000000"/>
        <rFont val="WenQuanYi Zen Hei"/>
        <family val="2"/>
      </rPr>
      <t>進行補佐</t>
    </r>
    <r>
      <rPr>
        <sz val="8"/>
        <color rgb="FF000000"/>
        <rFont val="Arial"/>
        <family val="2"/>
      </rPr>
      <t>/Gala</t>
    </r>
  </si>
  <si>
    <r>
      <rPr>
        <sz val="8"/>
        <color rgb="FF000000"/>
        <rFont val="Arial"/>
        <family val="2"/>
      </rPr>
      <t xml:space="preserve">Field Trip or </t>
    </r>
    <r>
      <rPr>
        <sz val="8"/>
        <color rgb="FF000000"/>
        <rFont val="WenQuanYi Zen Hei"/>
        <family val="2"/>
      </rPr>
      <t>バイ会談</t>
    </r>
    <r>
      <rPr>
        <sz val="8"/>
        <color rgb="FF000000"/>
        <rFont val="Arial"/>
        <family val="2"/>
      </rPr>
      <t>/Parade Dinner</t>
    </r>
  </si>
  <si>
    <r>
      <rPr>
        <sz val="8"/>
        <color rgb="FF000000"/>
        <rFont val="Arial"/>
        <family val="2"/>
      </rPr>
      <t>SIDEX Keynote(</t>
    </r>
    <r>
      <rPr>
        <sz val="8"/>
        <color rgb="FF000000"/>
        <rFont val="WenQuanYi Zen Hei"/>
        <family val="2"/>
      </rPr>
      <t>内閣府随行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</si>
  <si>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帰国 要確認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</si>
  <si>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Arial"/>
        <family val="2"/>
      </rPr>
      <t>(SIN</t>
    </r>
    <r>
      <rPr>
        <sz val="8"/>
        <color rgb="FF000000"/>
        <rFont val="WenQuanYi Zen Hei"/>
        <family val="2"/>
      </rPr>
      <t>着 要確認</t>
    </r>
    <r>
      <rPr>
        <sz val="8"/>
        <color rgb="FF000000"/>
        <rFont val="Arial"/>
        <family val="2"/>
      </rPr>
      <t>)/Dorsett</t>
    </r>
    <r>
      <rPr>
        <sz val="8"/>
        <color rgb="FF000000"/>
        <rFont val="WenQuanYi Zen Hei"/>
        <family val="2"/>
      </rPr>
      <t>フロント対応</t>
    </r>
  </si>
  <si>
    <r>
      <rPr>
        <sz val="8"/>
        <color rgb="FF000000"/>
        <rFont val="WenQuanYi Zen Hei"/>
        <family val="2"/>
      </rPr>
      <t>レセプション最終確認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公邸・ケータリング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</si>
  <si>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Arial"/>
        <family val="2"/>
      </rPr>
      <t>16:00</t>
    </r>
    <r>
      <rPr>
        <sz val="8"/>
        <color rgb="FF000000"/>
        <rFont val="WenQuanYi Zen Hei"/>
        <family val="2"/>
      </rPr>
      <t>公邸設営</t>
    </r>
    <r>
      <rPr>
        <sz val="8"/>
        <color rgb="FF000000"/>
        <rFont val="Arial"/>
        <family val="2"/>
      </rPr>
      <t>/MC</t>
    </r>
    <r>
      <rPr>
        <sz val="8"/>
        <color rgb="FF000000"/>
        <rFont val="WenQuanYi Zen Hei"/>
        <family val="2"/>
      </rPr>
      <t>・進行</t>
    </r>
  </si>
  <si>
    <r>
      <rPr>
        <sz val="8"/>
        <color rgb="FF000000"/>
        <rFont val="Arial"/>
        <family val="2"/>
      </rPr>
      <t>07:30</t>
    </r>
    <r>
      <rPr>
        <sz val="8"/>
        <color rgb="FF000000"/>
        <rFont val="WenQuanYi Zen Hei"/>
        <family val="2"/>
      </rPr>
      <t>会場テスト</t>
    </r>
    <r>
      <rPr>
        <sz val="8"/>
        <color rgb="FF000000"/>
        <rFont val="Arial"/>
        <family val="2"/>
      </rPr>
      <t>/Opening/</t>
    </r>
    <r>
      <rPr>
        <sz val="8"/>
        <color rgb="FF000000"/>
        <rFont val="WenQuanYi Zen Hei"/>
        <family val="2"/>
      </rPr>
      <t>内閣府随行</t>
    </r>
  </si>
  <si>
    <r>
      <rPr>
        <sz val="8"/>
        <color rgb="FF000000"/>
        <rFont val="Arial"/>
        <family val="2"/>
      </rPr>
      <t>RT/SC/Gala</t>
    </r>
    <r>
      <rPr>
        <sz val="8"/>
        <color rgb="FF000000"/>
        <rFont val="WenQuanYi Zen Hei"/>
        <family val="2"/>
      </rPr>
      <t>引率</t>
    </r>
  </si>
  <si>
    <r>
      <rPr>
        <sz val="8"/>
        <color rgb="FF000000"/>
        <rFont val="WenQuanYi Zen Hei"/>
        <family val="2"/>
      </rPr>
      <t>バイ会談</t>
    </r>
    <r>
      <rPr>
        <sz val="8"/>
        <color rgb="FF000000"/>
        <rFont val="Arial"/>
        <family val="2"/>
      </rPr>
      <t>/Day3</t>
    </r>
    <r>
      <rPr>
        <sz val="8"/>
        <color rgb="FF000000"/>
        <rFont val="WenQuanYi Zen Hei"/>
        <family val="2"/>
      </rPr>
      <t>準備</t>
    </r>
    <r>
      <rPr>
        <sz val="8"/>
        <color rgb="FF000000"/>
        <rFont val="Arial"/>
        <family val="2"/>
      </rPr>
      <t>/Parade Dinner</t>
    </r>
  </si>
  <si>
    <r>
      <rPr>
        <sz val="8"/>
        <color rgb="FF000000"/>
        <rFont val="Arial"/>
        <family val="2"/>
      </rPr>
      <t>Exhibition Tour/Panel2/</t>
    </r>
    <r>
      <rPr>
        <sz val="8"/>
        <color rgb="FF000000"/>
        <rFont val="WenQuanYi Zen Hei"/>
        <family val="2"/>
      </rPr>
      <t>閉会</t>
    </r>
  </si>
  <si>
    <r>
      <rPr>
        <sz val="8"/>
        <color rgb="FF000000"/>
        <rFont val="WenQuanYi Zen Hei"/>
        <family val="2"/>
      </rPr>
      <t>見送り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帰国</t>
    </r>
  </si>
  <si>
    <r>
      <rPr>
        <sz val="8"/>
        <color rgb="FF000000"/>
        <rFont val="Arial"/>
        <family val="2"/>
      </rPr>
      <t>SIN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</rPr>
      <t>06:55(NH843)/</t>
    </r>
    <r>
      <rPr>
        <sz val="8"/>
        <color rgb="FF000000"/>
        <rFont val="WenQuanYi Zen Hei"/>
        <family val="2"/>
      </rPr>
      <t>会場・機材確認</t>
    </r>
  </si>
  <si>
    <r>
      <rPr>
        <sz val="8"/>
        <color rgb="FF000000"/>
        <rFont val="Arial"/>
        <family val="2"/>
      </rPr>
      <t>Dorsett</t>
    </r>
    <r>
      <rPr>
        <sz val="8"/>
        <color rgb="FF000000"/>
        <rFont val="WenQuanYi Zen Hei"/>
        <family val="2"/>
      </rPr>
      <t>フロント対応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内閣府到着対応</t>
    </r>
  </si>
  <si>
    <r>
      <rPr>
        <sz val="8"/>
        <color rgb="FF000000"/>
        <rFont val="WenQuanYi Zen Hei"/>
        <family val="2"/>
      </rPr>
      <t>会場設営</t>
    </r>
    <r>
      <rPr>
        <sz val="8"/>
        <color rgb="FF000000"/>
        <rFont val="Arial"/>
        <family val="2"/>
      </rPr>
      <t>(Peridot)/</t>
    </r>
    <r>
      <rPr>
        <sz val="8"/>
        <color rgb="FF000000"/>
        <rFont val="WenQuanYi Zen Hei"/>
        <family val="2"/>
      </rPr>
      <t>名札・機材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北本ブリーフ</t>
    </r>
  </si>
  <si>
    <r>
      <rPr>
        <sz val="8"/>
        <color rgb="FF000000"/>
        <rFont val="WenQuanYi Zen Hei"/>
        <family val="2"/>
      </rPr>
      <t>公邸設営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レセプション運営</t>
    </r>
  </si>
  <si>
    <r>
      <rPr>
        <sz val="8"/>
        <color rgb="FF000000"/>
        <rFont val="Arial"/>
        <family val="2"/>
      </rPr>
      <t>07:30</t>
    </r>
    <r>
      <rPr>
        <sz val="8"/>
        <color rgb="FF000000"/>
        <rFont val="WenQuanYi Zen Hei"/>
        <family val="2"/>
      </rPr>
      <t>会場・</t>
    </r>
    <r>
      <rPr>
        <sz val="8"/>
        <color rgb="FF000000"/>
        <rFont val="Arial"/>
        <family val="2"/>
      </rPr>
      <t>NW</t>
    </r>
    <r>
      <rPr>
        <sz val="8"/>
        <color rgb="FF000000"/>
        <rFont val="WenQuanYi Zen Hei"/>
        <family val="2"/>
      </rPr>
      <t>テスト</t>
    </r>
    <r>
      <rPr>
        <sz val="8"/>
        <color rgb="FF000000"/>
        <rFont val="Arial"/>
        <family val="2"/>
      </rPr>
      <t>/Zoom/Opening</t>
    </r>
    <r>
      <rPr>
        <sz val="8"/>
        <color rgb="FF000000"/>
        <rFont val="WenQuanYi Zen Hei"/>
        <family val="2"/>
      </rPr>
      <t>進行</t>
    </r>
  </si>
  <si>
    <r>
      <rPr>
        <sz val="8"/>
        <color rgb="FF000000"/>
        <rFont val="Arial"/>
        <family val="2"/>
      </rPr>
      <t>ACDR Opening</t>
    </r>
    <r>
      <rPr>
        <sz val="8"/>
        <color rgb="FF000000"/>
        <rFont val="WenQuanYi Zen Hei"/>
        <family val="2"/>
      </rPr>
      <t>進行</t>
    </r>
    <r>
      <rPr>
        <sz val="8"/>
        <color rgb="FF000000"/>
        <rFont val="Arial"/>
        <family val="2"/>
      </rPr>
      <t>/RT</t>
    </r>
    <r>
      <rPr>
        <sz val="8"/>
        <color rgb="FF000000"/>
        <rFont val="WenQuanYi Zen Hei"/>
        <family val="2"/>
      </rPr>
      <t>運営</t>
    </r>
    <r>
      <rPr>
        <sz val="8"/>
        <color rgb="FF000000"/>
        <rFont val="Arial"/>
        <family val="2"/>
      </rPr>
      <t>(AV)/SC/Gala</t>
    </r>
  </si>
  <si>
    <r>
      <rPr>
        <sz val="8"/>
        <color rgb="FF000000"/>
        <rFont val="Arial"/>
        <family val="2"/>
      </rPr>
      <t>Tech Session(AV</t>
    </r>
    <r>
      <rPr>
        <sz val="8"/>
        <color rgb="FF000000"/>
        <rFont val="WenQuanYi Zen Hei"/>
        <family val="2"/>
      </rPr>
      <t>・</t>
    </r>
    <r>
      <rPr>
        <sz val="8"/>
        <color rgb="FF000000"/>
        <rFont val="Arial"/>
        <family val="2"/>
      </rPr>
      <t>Zoom)/Summary/Closing</t>
    </r>
    <r>
      <rPr>
        <sz val="8"/>
        <color rgb="FF000000"/>
        <rFont val="WenQuanYi Zen Hei"/>
        <family val="2"/>
      </rPr>
      <t>進行</t>
    </r>
  </si>
  <si>
    <r>
      <rPr>
        <sz val="8"/>
        <color rgb="FF000000"/>
        <rFont val="Arial"/>
        <family val="2"/>
      </rPr>
      <t>Field Trip</t>
    </r>
    <r>
      <rPr>
        <sz val="8"/>
        <color rgb="FF000000"/>
        <rFont val="WenQuanYi Zen Hei"/>
        <family val="2"/>
      </rPr>
      <t>引率</t>
    </r>
  </si>
  <si>
    <r>
      <rPr>
        <sz val="8"/>
        <color rgb="FF000000"/>
        <rFont val="Arial"/>
        <family val="2"/>
      </rPr>
      <t>SIDEX Keynote(</t>
    </r>
    <r>
      <rPr>
        <sz val="8"/>
        <color rgb="FF000000"/>
        <rFont val="WenQuanYi Zen Hei"/>
        <family val="2"/>
      </rPr>
      <t>リソース対応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</si>
  <si>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Arial"/>
        <family val="2"/>
      </rPr>
      <t>Exhibition Tour/Panel2/</t>
    </r>
    <r>
      <rPr>
        <sz val="8"/>
        <color rgb="FF000000"/>
        <rFont val="WenQuanYi Zen Hei"/>
        <family val="2"/>
      </rPr>
      <t>閉会</t>
    </r>
    <r>
      <rPr>
        <sz val="8"/>
        <color rgb="FF000000"/>
        <rFont val="Arial"/>
        <family val="2"/>
      </rPr>
      <t>/SIN-HND(NH844 22:20)</t>
    </r>
  </si>
  <si>
    <r>
      <rPr>
        <sz val="8"/>
        <color rgb="FF000000"/>
        <rFont val="Arial"/>
        <family val="2"/>
      </rPr>
      <t>HND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</rPr>
      <t>05:55</t>
    </r>
  </si>
  <si>
    <t>GVA-IST(TK1918)</t>
  </si>
  <si>
    <t>IST-SIN</t>
  </si>
  <si>
    <r>
      <rPr>
        <sz val="8"/>
        <color rgb="FF000000"/>
        <rFont val="Arial"/>
        <family val="2"/>
      </rPr>
      <t>SIN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</rPr>
      <t>09:55/</t>
    </r>
    <r>
      <rPr>
        <sz val="8"/>
        <color rgb="FF000000"/>
        <rFont val="WenQuanYi Zen Hei"/>
        <family val="2"/>
      </rPr>
      <t>参加者対応</t>
    </r>
  </si>
  <si>
    <r>
      <rPr>
        <sz val="8"/>
        <color rgb="FF000000"/>
        <rFont val="Arial"/>
        <family val="2"/>
      </rPr>
      <t>Dorsett</t>
    </r>
    <r>
      <rPr>
        <sz val="8"/>
        <color rgb="FF000000"/>
        <rFont val="WenQuanYi Zen Hei"/>
        <family val="2"/>
      </rPr>
      <t>フロント対応</t>
    </r>
  </si>
  <si>
    <r>
      <rPr>
        <sz val="8"/>
        <color rgb="FF000000"/>
        <rFont val="Arial"/>
        <family val="2"/>
      </rPr>
      <t>RT</t>
    </r>
    <r>
      <rPr>
        <sz val="8"/>
        <color rgb="FF000000"/>
        <rFont val="WenQuanYi Zen Hei"/>
        <family val="2"/>
      </rPr>
      <t>ステートメント確認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名札準備</t>
    </r>
  </si>
  <si>
    <r>
      <rPr>
        <sz val="8"/>
        <color rgb="FF000000"/>
        <rFont val="WenQuanYi Zen Hei"/>
        <family val="2"/>
      </rPr>
      <t>公邸受付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レセプション進行補佐</t>
    </r>
  </si>
  <si>
    <r>
      <rPr>
        <sz val="8"/>
        <color rgb="FF000000"/>
        <rFont val="Arial"/>
        <family val="2"/>
      </rPr>
      <t>Opening/</t>
    </r>
    <r>
      <rPr>
        <sz val="8"/>
        <color rgb="FF000000"/>
        <rFont val="WenQuanYi Zen Hei"/>
        <family val="2"/>
      </rPr>
      <t>参加者誘導</t>
    </r>
  </si>
  <si>
    <r>
      <rPr>
        <sz val="8"/>
        <color rgb="FF000000"/>
        <rFont val="Arial"/>
        <family val="2"/>
      </rPr>
      <t>RT</t>
    </r>
    <r>
      <rPr>
        <sz val="8"/>
        <color rgb="FF000000"/>
        <rFont val="WenQuanYi Zen Hei"/>
        <family val="2"/>
      </rPr>
      <t>運営</t>
    </r>
    <r>
      <rPr>
        <sz val="8"/>
        <color rgb="FF000000"/>
        <rFont val="Arial"/>
        <family val="2"/>
      </rPr>
      <t>(PIC)/SC/Gala</t>
    </r>
    <r>
      <rPr>
        <sz val="8"/>
        <color rgb="FF000000"/>
        <rFont val="WenQuanYi Zen Hei"/>
        <family val="2"/>
      </rPr>
      <t>引率</t>
    </r>
  </si>
  <si>
    <r>
      <rPr>
        <sz val="8"/>
        <color rgb="FF000000"/>
        <rFont val="Arial"/>
        <family val="2"/>
      </rPr>
      <t>Tech Session(</t>
    </r>
    <r>
      <rPr>
        <sz val="8"/>
        <color rgb="FF000000"/>
        <rFont val="WenQuanYi Zen Hei"/>
        <family val="2"/>
      </rPr>
      <t>記録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</si>
  <si>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Arial"/>
        <family val="2"/>
      </rPr>
      <t>Panel2/</t>
    </r>
    <r>
      <rPr>
        <sz val="8"/>
        <color rgb="FF000000"/>
        <rFont val="WenQuanYi Zen Hei"/>
        <family val="2"/>
      </rPr>
      <t>閉会</t>
    </r>
    <r>
      <rPr>
        <sz val="8"/>
        <color rgb="FF000000"/>
        <rFont val="Arial"/>
        <family val="2"/>
      </rPr>
      <t>/SIN-IST(TK55 23:15)</t>
    </r>
  </si>
  <si>
    <r>
      <rPr>
        <sz val="8"/>
        <color rgb="FF000000"/>
        <rFont val="Arial"/>
        <family val="2"/>
      </rPr>
      <t>GVA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</rPr>
      <t>09:25</t>
    </r>
  </si>
  <si>
    <t>KIX-SIN(TR819)</t>
  </si>
  <si>
    <r>
      <rPr>
        <sz val="8"/>
        <color rgb="FF000000"/>
        <rFont val="Arial"/>
        <family val="2"/>
      </rPr>
      <t>SIN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</rPr>
      <t>17:30/Hotel Mi</t>
    </r>
  </si>
  <si>
    <r>
      <rPr>
        <sz val="8"/>
        <color rgb="FF000000"/>
        <rFont val="Arial"/>
        <family val="2"/>
      </rPr>
      <t>COSEM</t>
    </r>
    <r>
      <rPr>
        <sz val="8"/>
        <color rgb="FF000000"/>
        <rFont val="WenQuanYi Zen Hei"/>
        <family val="2"/>
      </rPr>
      <t>打合せ</t>
    </r>
    <r>
      <rPr>
        <sz val="8"/>
        <color rgb="FF000000"/>
        <rFont val="Arial"/>
        <family val="2"/>
      </rPr>
      <t>/Dorsett</t>
    </r>
    <r>
      <rPr>
        <sz val="8"/>
        <color rgb="FF000000"/>
        <rFont val="WenQuanYi Zen Hei"/>
        <family val="2"/>
      </rPr>
      <t>受付準備</t>
    </r>
  </si>
  <si>
    <r>
      <rPr>
        <sz val="8"/>
        <color rgb="FF000000"/>
        <rFont val="Arial"/>
        <family val="2"/>
      </rPr>
      <t>Dorsett</t>
    </r>
    <r>
      <rPr>
        <sz val="8"/>
        <color rgb="FF000000"/>
        <rFont val="WenQuanYi Zen Hei"/>
        <family val="2"/>
      </rPr>
      <t>フロント対応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到着ピーク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</si>
  <si>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Arial"/>
        <family val="2"/>
      </rPr>
      <t>Dorsett</t>
    </r>
    <r>
      <rPr>
        <sz val="8"/>
        <color rgb="FF000000"/>
        <rFont val="WenQuanYi Zen Hei"/>
        <family val="2"/>
      </rPr>
      <t>受付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名札セット</t>
    </r>
  </si>
  <si>
    <r>
      <rPr>
        <sz val="8"/>
        <color rgb="FF000000"/>
        <rFont val="WenQuanYi Zen Hei"/>
        <family val="2"/>
      </rPr>
      <t>公邸受付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名札配布</t>
    </r>
  </si>
  <si>
    <r>
      <rPr>
        <sz val="8"/>
        <color rgb="FF000000"/>
        <rFont val="WenQuanYi Zen Hei"/>
        <family val="2"/>
      </rPr>
      <t>受付デスク</t>
    </r>
    <r>
      <rPr>
        <sz val="8"/>
        <color rgb="FF000000"/>
        <rFont val="Arial"/>
        <family val="2"/>
      </rPr>
      <t>(Peridot)</t>
    </r>
  </si>
  <si>
    <r>
      <rPr>
        <sz val="8"/>
        <color rgb="FF000000"/>
        <rFont val="WenQuanYi Zen Hei"/>
        <family val="2"/>
      </rPr>
      <t>受付</t>
    </r>
    <r>
      <rPr>
        <sz val="8"/>
        <color rgb="FF000000"/>
        <rFont val="Arial"/>
        <family val="2"/>
      </rPr>
      <t>/SC</t>
    </r>
    <r>
      <rPr>
        <sz val="8"/>
        <color rgb="FF000000"/>
        <rFont val="WenQuanYi Zen Hei"/>
        <family val="2"/>
      </rPr>
      <t>事務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会計報告</t>
    </r>
    <r>
      <rPr>
        <sz val="8"/>
        <color rgb="FF000000"/>
        <rFont val="Arial"/>
        <family val="2"/>
      </rPr>
      <t>)/Gala</t>
    </r>
  </si>
  <si>
    <r>
      <rPr>
        <sz val="8"/>
        <color rgb="FF000000"/>
        <rFont val="WenQuanYi Zen Hei"/>
        <family val="2"/>
      </rPr>
      <t>受付デスク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支払</t>
    </r>
  </si>
  <si>
    <r>
      <rPr>
        <sz val="8"/>
        <color rgb="FF000000"/>
        <rFont val="WenQuanYi Zen Hei"/>
        <family val="2"/>
      </rPr>
      <t>事務局撤収</t>
    </r>
    <r>
      <rPr>
        <sz val="8"/>
        <color rgb="FF000000"/>
        <rFont val="Arial"/>
        <family val="2"/>
      </rPr>
      <t>/Parade Dinner</t>
    </r>
  </si>
  <si>
    <r>
      <rPr>
        <sz val="8"/>
        <color rgb="FF000000"/>
        <rFont val="Arial"/>
        <family val="2"/>
      </rPr>
      <t>SIDEX(</t>
    </r>
    <r>
      <rPr>
        <sz val="8"/>
        <color rgb="FF000000"/>
        <rFont val="WenQuanYi Zen Hei"/>
        <family val="2"/>
      </rPr>
      <t>受付・清算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</si>
  <si>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WenQuanYi Zen Hei"/>
        <family val="2"/>
      </rPr>
      <t>出発案内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支払</t>
    </r>
  </si>
  <si>
    <r>
      <rPr>
        <sz val="8"/>
        <color rgb="FF000000"/>
        <rFont val="WenQuanYi Zen Hei"/>
        <family val="2"/>
      </rPr>
      <t>見送り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清算</t>
    </r>
  </si>
  <si>
    <t>SIN-KIX(TR818 11/1 03:05)</t>
  </si>
  <si>
    <t>SIN-KIX(TR818 03:05)</t>
  </si>
  <si>
    <r>
      <rPr>
        <sz val="8"/>
        <color rgb="FF000000"/>
        <rFont val="Arial"/>
        <family val="2"/>
      </rPr>
      <t>KIX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</rPr>
      <t>10:15</t>
    </r>
  </si>
  <si>
    <r>
      <rPr>
        <sz val="8"/>
        <color rgb="FF000000"/>
        <rFont val="WenQuanYi Zen Hei"/>
        <family val="2"/>
      </rPr>
      <t>名札</t>
    </r>
    <r>
      <rPr>
        <sz val="8"/>
        <color rgb="FF000000"/>
        <rFont val="Arial"/>
        <family val="2"/>
      </rPr>
      <t>(QR)</t>
    </r>
    <r>
      <rPr>
        <sz val="8"/>
        <color rgb="FF000000"/>
        <rFont val="WenQuanYi Zen Hei"/>
        <family val="2"/>
      </rPr>
      <t>受取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リスト確認</t>
    </r>
  </si>
  <si>
    <r>
      <rPr>
        <sz val="8"/>
        <color rgb="FF000000"/>
        <rFont val="Arial"/>
        <family val="2"/>
      </rPr>
      <t>Dorsett</t>
    </r>
    <r>
      <rPr>
        <sz val="8"/>
        <color rgb="FF000000"/>
        <rFont val="WenQuanYi Zen Hei"/>
        <family val="2"/>
      </rPr>
      <t>受付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送迎確認</t>
    </r>
  </si>
  <si>
    <r>
      <rPr>
        <sz val="8"/>
        <color rgb="FF000000"/>
        <rFont val="WenQuanYi Zen Hei"/>
        <family val="2"/>
      </rPr>
      <t>受付</t>
    </r>
    <r>
      <rPr>
        <sz val="8"/>
        <color rgb="FF000000"/>
        <rFont val="Arial"/>
        <family val="2"/>
      </rPr>
      <t>/RT/Gala</t>
    </r>
    <r>
      <rPr>
        <sz val="8"/>
        <color rgb="FF000000"/>
        <rFont val="WenQuanYi Zen Hei"/>
        <family val="2"/>
      </rPr>
      <t>引率</t>
    </r>
  </si>
  <si>
    <r>
      <rPr>
        <sz val="8"/>
        <color rgb="FF000000"/>
        <rFont val="WenQuanYi Zen Hei"/>
        <family val="2"/>
      </rPr>
      <t>受付デスク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リソース対応</t>
    </r>
  </si>
  <si>
    <r>
      <rPr>
        <sz val="8"/>
        <color rgb="FF000000"/>
        <rFont val="Arial"/>
        <family val="2"/>
      </rPr>
      <t>Field Trip</t>
    </r>
    <r>
      <rPr>
        <sz val="8"/>
        <color rgb="FF000000"/>
        <rFont val="WenQuanYi Zen Hei"/>
        <family val="2"/>
      </rPr>
      <t>名簿</t>
    </r>
    <r>
      <rPr>
        <sz val="8"/>
        <color rgb="FF000000"/>
        <rFont val="Arial"/>
        <family val="2"/>
      </rPr>
      <t>/Parade Dinner</t>
    </r>
  </si>
  <si>
    <r>
      <rPr>
        <sz val="8"/>
        <color rgb="FF000000"/>
        <rFont val="Arial"/>
        <family val="2"/>
      </rPr>
      <t>SIDEX(</t>
    </r>
    <r>
      <rPr>
        <sz val="8"/>
        <color rgb="FF000000"/>
        <rFont val="WenQuanYi Zen Hei"/>
        <family val="2"/>
      </rPr>
      <t>受付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</si>
  <si>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WenQuanYi Zen Hei"/>
        <family val="2"/>
      </rPr>
      <t>出発案内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送迎</t>
    </r>
    <r>
      <rPr>
        <sz val="8"/>
        <color rgb="FF000000"/>
        <rFont val="Arial"/>
        <family val="2"/>
      </rPr>
      <t>)</t>
    </r>
  </si>
  <si>
    <t>見送り</t>
  </si>
  <si>
    <t>KIX-SIN(SQ619/TR819)</t>
  </si>
  <si>
    <r>
      <rPr>
        <sz val="8"/>
        <color rgb="FF000000"/>
        <rFont val="Arial"/>
        <family val="2"/>
      </rPr>
      <t>SIN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</rPr>
      <t>16:00-17:30/Hotel Mi</t>
    </r>
  </si>
  <si>
    <r>
      <rPr>
        <sz val="8"/>
        <color rgb="FF000000"/>
        <rFont val="WenQuanYi Zen Hei"/>
        <family val="2"/>
      </rPr>
      <t>会場設営</t>
    </r>
    <r>
      <rPr>
        <sz val="8"/>
        <color rgb="FF000000"/>
        <rFont val="Arial"/>
        <family val="2"/>
      </rPr>
      <t>(AV)/Japan Pavilion</t>
    </r>
    <r>
      <rPr>
        <sz val="8"/>
        <color rgb="FF000000"/>
        <rFont val="WenQuanYi Zen Hei"/>
        <family val="2"/>
      </rPr>
      <t>確認</t>
    </r>
  </si>
  <si>
    <r>
      <rPr>
        <sz val="8"/>
        <color rgb="FF000000"/>
        <rFont val="WenQuanYi Zen Hei"/>
        <family val="2"/>
      </rPr>
      <t>公邸設営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レセプション</t>
    </r>
  </si>
  <si>
    <r>
      <rPr>
        <sz val="8"/>
        <color rgb="FF000000"/>
        <rFont val="Arial"/>
        <family val="2"/>
      </rPr>
      <t>07:30</t>
    </r>
    <r>
      <rPr>
        <sz val="8"/>
        <color rgb="FF000000"/>
        <rFont val="WenQuanYi Zen Hei"/>
        <family val="2"/>
      </rPr>
      <t>会場テスト</t>
    </r>
    <r>
      <rPr>
        <sz val="8"/>
        <color rgb="FF000000"/>
        <rFont val="Arial"/>
        <family val="2"/>
      </rPr>
      <t>/AV</t>
    </r>
    <r>
      <rPr>
        <sz val="8"/>
        <color rgb="FF000000"/>
        <rFont val="WenQuanYi Zen Hei"/>
        <family val="2"/>
      </rPr>
      <t>・</t>
    </r>
    <r>
      <rPr>
        <sz val="8"/>
        <color rgb="FF000000"/>
        <rFont val="Arial"/>
        <family val="2"/>
      </rPr>
      <t>PC</t>
    </r>
    <r>
      <rPr>
        <sz val="8"/>
        <color rgb="FF000000"/>
        <rFont val="WenQuanYi Zen Hei"/>
        <family val="2"/>
      </rPr>
      <t>操作</t>
    </r>
  </si>
  <si>
    <r>
      <rPr>
        <sz val="8"/>
        <color rgb="FF000000"/>
        <rFont val="Arial"/>
        <family val="2"/>
      </rPr>
      <t>RT(AV</t>
    </r>
    <r>
      <rPr>
        <sz val="8"/>
        <color rgb="FF000000"/>
        <rFont val="WenQuanYi Zen Hei"/>
        <family val="2"/>
      </rPr>
      <t>・</t>
    </r>
    <r>
      <rPr>
        <sz val="8"/>
        <color rgb="FF000000"/>
        <rFont val="Arial"/>
        <family val="2"/>
      </rPr>
      <t>PC)/Gala</t>
    </r>
  </si>
  <si>
    <r>
      <rPr>
        <sz val="8"/>
        <color rgb="FF000000"/>
        <rFont val="Arial"/>
        <family val="2"/>
      </rPr>
      <t>Tech Session</t>
    </r>
    <r>
      <rPr>
        <sz val="8"/>
        <color rgb="FF000000"/>
        <rFont val="WenQuanYi Zen Hei"/>
        <family val="2"/>
      </rPr>
      <t>運営</t>
    </r>
    <r>
      <rPr>
        <sz val="8"/>
        <color rgb="FF000000"/>
        <rFont val="Arial"/>
        <family val="2"/>
      </rPr>
      <t>(PIC)</t>
    </r>
  </si>
  <si>
    <r>
      <rPr>
        <sz val="8"/>
        <color rgb="FF000000"/>
        <rFont val="Arial"/>
        <family val="2"/>
      </rPr>
      <t>Field Trip or SIDEX</t>
    </r>
    <r>
      <rPr>
        <sz val="8"/>
        <color rgb="FF000000"/>
        <rFont val="WenQuanYi Zen Hei"/>
        <family val="2"/>
      </rPr>
      <t>展示調整</t>
    </r>
    <r>
      <rPr>
        <sz val="8"/>
        <color rgb="FF000000"/>
        <rFont val="Arial"/>
        <family val="2"/>
      </rPr>
      <t>/Parade Dinner</t>
    </r>
  </si>
  <si>
    <r>
      <rPr>
        <sz val="8"/>
        <color rgb="FF000000"/>
        <rFont val="Arial"/>
        <family val="2"/>
      </rPr>
      <t>Exhibition Tour(</t>
    </r>
    <r>
      <rPr>
        <sz val="8"/>
        <color rgb="FF000000"/>
        <rFont val="WenQuanYi Zen Hei"/>
        <family val="2"/>
      </rPr>
      <t>誘導</t>
    </r>
    <r>
      <rPr>
        <sz val="8"/>
        <color rgb="FF000000"/>
        <rFont val="Arial"/>
        <family val="2"/>
      </rPr>
      <t>)/Panel2</t>
    </r>
  </si>
  <si>
    <t>SIN-KIX</t>
  </si>
  <si>
    <r>
      <rPr>
        <sz val="8"/>
        <color rgb="FF000000"/>
        <rFont val="Arial"/>
        <family val="2"/>
      </rPr>
      <t>Concept Note/RT</t>
    </r>
    <r>
      <rPr>
        <sz val="8"/>
        <color rgb="FF000000"/>
        <rFont val="WenQuanYi Zen Hei"/>
        <family val="2"/>
      </rPr>
      <t>準備</t>
    </r>
  </si>
  <si>
    <t>Opening</t>
  </si>
  <si>
    <r>
      <rPr>
        <sz val="8"/>
        <color rgb="FF000000"/>
        <rFont val="Arial"/>
        <family val="2"/>
      </rPr>
      <t>RT</t>
    </r>
    <r>
      <rPr>
        <sz val="8"/>
        <color rgb="FF000000"/>
        <rFont val="WenQuanYi Zen Hei"/>
        <family val="2"/>
      </rPr>
      <t>運営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共同</t>
    </r>
    <r>
      <rPr>
        <sz val="8"/>
        <color rgb="FF000000"/>
        <rFont val="Arial"/>
        <family val="2"/>
      </rPr>
      <t>)/</t>
    </r>
    <r>
      <rPr>
        <sz val="8"/>
        <color rgb="FF000000"/>
        <rFont val="WenQuanYi Zen Hei"/>
        <family val="2"/>
      </rPr>
      <t>ノート</t>
    </r>
    <r>
      <rPr>
        <sz val="8"/>
        <color rgb="FF000000"/>
        <rFont val="Arial"/>
        <family val="2"/>
      </rPr>
      <t>/SC</t>
    </r>
    <r>
      <rPr>
        <sz val="8"/>
        <color rgb="FF000000"/>
        <rFont val="WenQuanYi Zen Hei"/>
        <family val="2"/>
      </rPr>
      <t>メモ</t>
    </r>
    <r>
      <rPr>
        <sz val="8"/>
        <color rgb="FF000000"/>
        <rFont val="Arial"/>
        <family val="2"/>
      </rPr>
      <t>/Gala</t>
    </r>
  </si>
  <si>
    <r>
      <rPr>
        <sz val="8"/>
        <color rgb="FF000000"/>
        <rFont val="Arial"/>
        <family val="2"/>
      </rPr>
      <t>Tech Session(</t>
    </r>
    <r>
      <rPr>
        <sz val="8"/>
        <color rgb="FF000000"/>
        <rFont val="WenQuanYi Zen Hei"/>
        <family val="2"/>
      </rPr>
      <t>ノート</t>
    </r>
    <r>
      <rPr>
        <sz val="8"/>
        <color rgb="FF000000"/>
        <rFont val="Arial"/>
        <family val="2"/>
      </rPr>
      <t>)/Draft Summary</t>
    </r>
  </si>
  <si>
    <t>SIDEX Keynote/Summary</t>
  </si>
  <si>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未手配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</si>
  <si>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WenQuanYi Zen Hei"/>
        <family val="2"/>
      </rPr>
      <t>登壇者</t>
    </r>
    <r>
      <rPr>
        <sz val="8"/>
        <color rgb="FF000000"/>
        <rFont val="Arial"/>
        <family val="2"/>
      </rPr>
      <t>(JAXA</t>
    </r>
    <r>
      <rPr>
        <sz val="8"/>
        <color rgb="FF000000"/>
        <rFont val="WenQuanYi Zen Hei"/>
        <family val="2"/>
      </rPr>
      <t>等</t>
    </r>
    <r>
      <rPr>
        <sz val="8"/>
        <color rgb="FF000000"/>
        <rFont val="Arial"/>
        <family val="2"/>
      </rPr>
      <t>)</t>
    </r>
    <r>
      <rPr>
        <sz val="8"/>
        <color rgb="FF000000"/>
        <rFont val="WenQuanYi Zen Hei"/>
        <family val="2"/>
      </rPr>
      <t>対応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接続テスト</t>
    </r>
  </si>
  <si>
    <r>
      <rPr>
        <sz val="8"/>
        <color rgb="FF000000"/>
        <rFont val="Arial"/>
        <family val="2"/>
      </rPr>
      <t>RT(</t>
    </r>
    <r>
      <rPr>
        <sz val="8"/>
        <color rgb="FF000000"/>
        <rFont val="WenQuanYi Zen Hei"/>
        <family val="2"/>
      </rPr>
      <t>ノート</t>
    </r>
    <r>
      <rPr>
        <sz val="8"/>
        <color rgb="FF000000"/>
        <rFont val="Arial"/>
        <family val="2"/>
      </rPr>
      <t>)/Gala</t>
    </r>
  </si>
  <si>
    <t>Tech Session Co-Chair</t>
  </si>
  <si>
    <r>
      <rPr>
        <sz val="8"/>
        <color rgb="FF000000"/>
        <rFont val="WenQuanYi Zen Hei"/>
        <family val="2"/>
      </rPr>
      <t>【推奨】</t>
    </r>
    <r>
      <rPr>
        <sz val="8"/>
        <color rgb="FF000000"/>
        <rFont val="Arial"/>
        <family val="2"/>
      </rPr>
      <t>KIX-SIN</t>
    </r>
  </si>
  <si>
    <r>
      <rPr>
        <sz val="8"/>
        <color rgb="FF000000"/>
        <rFont val="Arial"/>
        <family val="2"/>
      </rPr>
      <t>SIN</t>
    </r>
    <r>
      <rPr>
        <sz val="8"/>
        <color rgb="FF000000"/>
        <rFont val="WenQuanYi Zen Hei"/>
        <family val="2"/>
      </rPr>
      <t>着</t>
    </r>
    <r>
      <rPr>
        <sz val="8"/>
        <color rgb="FF000000"/>
        <rFont val="Arial"/>
        <family val="2"/>
      </rPr>
      <t>/Dorsett</t>
    </r>
    <r>
      <rPr>
        <sz val="8"/>
        <color rgb="FF000000"/>
        <rFont val="WenQuanYi Zen Hei"/>
        <family val="2"/>
      </rPr>
      <t>フロント対応</t>
    </r>
  </si>
  <si>
    <r>
      <rPr>
        <sz val="8"/>
        <color rgb="FF000000"/>
        <rFont val="WenQuanYi Zen Hei"/>
        <family val="2"/>
      </rPr>
      <t>名札・受付準備</t>
    </r>
    <r>
      <rPr>
        <sz val="8"/>
        <color rgb="FF000000"/>
        <rFont val="Arial"/>
        <family val="2"/>
      </rPr>
      <t>/Zoom</t>
    </r>
    <r>
      <rPr>
        <sz val="8"/>
        <color rgb="FF000000"/>
        <rFont val="WenQuanYi Zen Hei"/>
        <family val="2"/>
      </rPr>
      <t>設定</t>
    </r>
  </si>
  <si>
    <r>
      <rPr>
        <sz val="8"/>
        <color rgb="FF000000"/>
        <rFont val="WenQuanYi Zen Hei"/>
        <family val="2"/>
      </rPr>
      <t>公邸受付</t>
    </r>
    <r>
      <rPr>
        <sz val="8"/>
        <color rgb="FF000000"/>
        <rFont val="Arial"/>
        <family val="2"/>
      </rPr>
      <t>(3</t>
    </r>
    <r>
      <rPr>
        <sz val="8"/>
        <color rgb="FF000000"/>
        <rFont val="WenQuanYi Zen Hei"/>
        <family val="2"/>
      </rPr>
      <t>人目</t>
    </r>
    <r>
      <rPr>
        <sz val="8"/>
        <color rgb="FF000000"/>
        <rFont val="Arial"/>
        <family val="2"/>
      </rPr>
      <t>)/</t>
    </r>
    <r>
      <rPr>
        <sz val="8"/>
        <color rgb="FF000000"/>
        <rFont val="WenQuanYi Zen Hei"/>
        <family val="2"/>
      </rPr>
      <t>写真</t>
    </r>
  </si>
  <si>
    <r>
      <rPr>
        <sz val="8"/>
        <color rgb="FF000000"/>
        <rFont val="Arial"/>
        <family val="2"/>
      </rPr>
      <t>Zoom</t>
    </r>
    <r>
      <rPr>
        <sz val="8"/>
        <color rgb="FF000000"/>
        <rFont val="WenQuanYi Zen Hei"/>
        <family val="2"/>
      </rPr>
      <t>・</t>
    </r>
    <r>
      <rPr>
        <sz val="8"/>
        <color rgb="FF000000"/>
        <rFont val="Arial"/>
        <family val="2"/>
      </rPr>
      <t>AI</t>
    </r>
    <r>
      <rPr>
        <sz val="8"/>
        <color rgb="FF000000"/>
        <rFont val="WenQuanYi Zen Hei"/>
        <family val="2"/>
      </rPr>
      <t>翻訳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写真</t>
    </r>
  </si>
  <si>
    <r>
      <rPr>
        <sz val="8"/>
        <color rgb="FF000000"/>
        <rFont val="WenQuanYi Zen Hei"/>
        <family val="2"/>
      </rPr>
      <t>受付</t>
    </r>
    <r>
      <rPr>
        <sz val="8"/>
        <color rgb="FF000000"/>
        <rFont val="Arial"/>
        <family val="2"/>
      </rPr>
      <t>/Zoom/</t>
    </r>
    <r>
      <rPr>
        <sz val="8"/>
        <color rgb="FF000000"/>
        <rFont val="WenQuanYi Zen Hei"/>
        <family val="2"/>
      </rPr>
      <t>写真</t>
    </r>
    <r>
      <rPr>
        <sz val="8"/>
        <color rgb="FF000000"/>
        <rFont val="Arial"/>
        <family val="2"/>
      </rPr>
      <t>/Gala</t>
    </r>
  </si>
  <si>
    <r>
      <rPr>
        <sz val="8"/>
        <color rgb="FF000000"/>
        <rFont val="Arial"/>
        <family val="2"/>
      </rPr>
      <t>Japan Pavilion/</t>
    </r>
    <r>
      <rPr>
        <sz val="8"/>
        <color rgb="FF000000"/>
        <rFont val="WenQuanYi Zen Hei"/>
        <family val="2"/>
      </rPr>
      <t>参加者誘導</t>
    </r>
  </si>
  <si>
    <r>
      <rPr>
        <sz val="8"/>
        <color rgb="FF000000"/>
        <rFont val="Arial"/>
        <family val="2"/>
      </rPr>
      <t>SIDEX(</t>
    </r>
    <r>
      <rPr>
        <sz val="8"/>
        <color rgb="FF000000"/>
        <rFont val="WenQuanYi Zen Hei"/>
        <family val="2"/>
      </rPr>
      <t>写真・誘導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</si>
  <si>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Arial"/>
        <family val="2"/>
      </rPr>
      <t>Exhibition Tour</t>
    </r>
    <r>
      <rPr>
        <sz val="8"/>
        <color rgb="FF000000"/>
        <rFont val="WenQuanYi Zen Hei"/>
        <family val="2"/>
      </rPr>
      <t>誘導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閉会</t>
    </r>
  </si>
  <si>
    <r>
      <rPr>
        <sz val="8"/>
        <color rgb="FF000000"/>
        <rFont val="WenQuanYi Zen Hei"/>
        <family val="2"/>
      </rPr>
      <t>ウズベキスタン等対応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資料</t>
    </r>
  </si>
  <si>
    <r>
      <rPr>
        <sz val="8"/>
        <color rgb="FF000000"/>
        <rFont val="WenQuanYi Zen Hei"/>
        <family val="2"/>
      </rPr>
      <t>公邸受付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レセプション</t>
    </r>
  </si>
  <si>
    <r>
      <rPr>
        <sz val="8"/>
        <color rgb="FF000000"/>
        <rFont val="Arial"/>
        <family val="2"/>
      </rPr>
      <t>RT</t>
    </r>
    <r>
      <rPr>
        <sz val="8"/>
        <color rgb="FF000000"/>
        <rFont val="WenQuanYi Zen Hei"/>
        <family val="2"/>
      </rPr>
      <t>記録・サマリー補助</t>
    </r>
    <r>
      <rPr>
        <sz val="8"/>
        <color rgb="FF000000"/>
        <rFont val="Arial"/>
        <family val="2"/>
      </rPr>
      <t>/Gala</t>
    </r>
  </si>
  <si>
    <r>
      <rPr>
        <sz val="8"/>
        <color rgb="FF000000"/>
        <rFont val="Arial"/>
        <family val="2"/>
      </rPr>
      <t>Tech Session</t>
    </r>
    <r>
      <rPr>
        <sz val="8"/>
        <color rgb="FF000000"/>
        <rFont val="WenQuanYi Zen Hei"/>
        <family val="2"/>
      </rPr>
      <t>記録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サマリー</t>
    </r>
  </si>
  <si>
    <r>
      <rPr>
        <sz val="8"/>
        <color rgb="FF000000"/>
        <rFont val="Arial"/>
        <family val="2"/>
      </rPr>
      <t>SIDEX Keynote/</t>
    </r>
    <r>
      <rPr>
        <sz val="8"/>
        <color rgb="FF000000"/>
        <rFont val="WenQuanYi Zen Hei"/>
        <family val="2"/>
      </rPr>
      <t>サマリー</t>
    </r>
  </si>
  <si>
    <t>帰国</t>
  </si>
  <si>
    <r>
      <rPr>
        <b/>
        <sz val="10"/>
        <color rgb="FF000000"/>
        <rFont val="WenQuanYi Zen Hei"/>
        <family val="2"/>
      </rPr>
      <t>在場人数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WenQuanYi Zen Hei"/>
        <family val="2"/>
      </rPr>
      <t>確定・見込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</si>
  <si>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WenQuanYi Zen Hei"/>
        <family val="2"/>
      </rPr>
      <t>在場人数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WenQuanYi Zen Hei"/>
        <family val="2"/>
      </rPr>
      <t>追加推奨</t>
    </r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WenQuanYi Zen Hei"/>
        <family val="2"/>
      </rPr>
      <t>名込</t>
    </r>
    <r>
      <rPr>
        <b/>
        <sz val="10"/>
        <color rgb="FF000000"/>
        <rFont val="Arial"/>
        <family val="2"/>
      </rPr>
      <t>)</t>
    </r>
  </si>
  <si>
    <r>
      <rPr>
        <i/>
        <sz val="9"/>
        <color rgb="FF555555"/>
        <rFont val="WenQuanYi Zen Hei"/>
        <family val="2"/>
      </rPr>
      <t>※自動計算は『記入があり、かつ未手配・要確認・日本側到着</t>
    </r>
    <r>
      <rPr>
        <i/>
        <sz val="9"/>
        <color rgb="FF555555"/>
        <rFont val="Arial"/>
        <family val="2"/>
      </rPr>
      <t>(NRT</t>
    </r>
    <r>
      <rPr>
        <i/>
        <sz val="9"/>
        <color rgb="FF555555"/>
        <rFont val="WenQuanYi Zen Hei"/>
        <family val="2"/>
      </rPr>
      <t>着</t>
    </r>
    <r>
      <rPr>
        <i/>
        <sz val="9"/>
        <color rgb="FF555555"/>
        <rFont val="Arial"/>
        <family val="2"/>
      </rPr>
      <t>/HND</t>
    </r>
    <r>
      <rPr>
        <i/>
        <sz val="9"/>
        <color rgb="FF555555"/>
        <rFont val="WenQuanYi Zen Hei"/>
        <family val="2"/>
      </rPr>
      <t>着</t>
    </r>
    <r>
      <rPr>
        <i/>
        <sz val="9"/>
        <color rgb="FF555555"/>
        <rFont val="Arial"/>
        <family val="2"/>
      </rPr>
      <t>/KIX</t>
    </r>
    <r>
      <rPr>
        <i/>
        <sz val="9"/>
        <color rgb="FF555555"/>
        <rFont val="WenQuanYi Zen Hei"/>
        <family val="2"/>
      </rPr>
      <t>着</t>
    </r>
    <r>
      <rPr>
        <i/>
        <sz val="9"/>
        <color rgb="FF555555"/>
        <rFont val="Arial"/>
        <family val="2"/>
      </rPr>
      <t>/GVA</t>
    </r>
    <r>
      <rPr>
        <i/>
        <sz val="9"/>
        <color rgb="FF555555"/>
        <rFont val="WenQuanYi Zen Hei"/>
        <family val="2"/>
      </rPr>
      <t>着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WenQuanYi Zen Hei"/>
        <family val="2"/>
      </rPr>
      <t>を除く』人数で、フライト移動中を含む。黄色行（藤本・塩見）は追加推奨の仮置き。</t>
    </r>
  </si>
  <si>
    <r>
      <rPr>
        <b/>
        <sz val="12"/>
        <color rgb="FF1F4E78"/>
        <rFont val="Arial"/>
        <family val="2"/>
      </rPr>
      <t xml:space="preserve">27 OCT 2026 (TUE)  Day 0: </t>
    </r>
    <r>
      <rPr>
        <b/>
        <sz val="12"/>
        <color rgb="FF1F4E78"/>
        <rFont val="WenQuanYi Zen Hei"/>
        <family val="2"/>
      </rPr>
      <t>参加者到着・大使公邸レセプション（</t>
    </r>
    <r>
      <rPr>
        <b/>
        <sz val="12"/>
        <color rgb="FF1F4E78"/>
        <rFont val="Arial"/>
        <family val="2"/>
      </rPr>
      <t>SJ60 Commemorative Reception</t>
    </r>
    <r>
      <rPr>
        <b/>
        <sz val="12"/>
        <color rgb="FF1F4E78"/>
        <rFont val="WenQuanYi Zen Hei"/>
        <family val="2"/>
      </rPr>
      <t>）</t>
    </r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</si>
  <si>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</si>
  <si>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</si>
  <si>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</si>
  <si>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</si>
  <si>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</si>
  <si>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</si>
  <si>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</si>
  <si>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</si>
  <si>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</si>
  <si>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</si>
  <si>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</si>
  <si>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</si>
  <si>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</si>
  <si>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</si>
  <si>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</si>
  <si>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</si>
  <si>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r>
      <rPr>
        <sz val="8"/>
        <color rgb="FF000000"/>
        <rFont val="WenQuanYi Zen Hei"/>
        <family val="2"/>
      </rPr>
      <t>参加者到着</t>
    </r>
    <r>
      <rPr>
        <sz val="8"/>
        <color rgb="FF000000"/>
        <rFont val="Arial"/>
        <family val="2"/>
      </rPr>
      <t>(Dorsett): 07:15</t>
    </r>
    <r>
      <rPr>
        <sz val="8"/>
        <color rgb="FF000000"/>
        <rFont val="WenQuanYi Zen Hei"/>
        <family val="2"/>
      </rPr>
      <t>モルディブ</t>
    </r>
    <r>
      <rPr>
        <sz val="8"/>
        <color rgb="FF000000"/>
        <rFont val="Arial"/>
        <family val="2"/>
      </rPr>
      <t>/08:10</t>
    </r>
    <r>
      <rPr>
        <sz val="8"/>
        <color rgb="FF000000"/>
        <rFont val="WenQuanYi Zen Hei"/>
        <family val="2"/>
      </rPr>
      <t>スリランカ</t>
    </r>
    <r>
      <rPr>
        <sz val="8"/>
        <color rgb="FF000000"/>
        <rFont val="Arial"/>
        <family val="2"/>
      </rPr>
      <t>/08:45</t>
    </r>
    <r>
      <rPr>
        <sz val="8"/>
        <color rgb="FF000000"/>
        <rFont val="WenQuanYi Zen Hei"/>
        <family val="2"/>
      </rPr>
      <t>アルメニア・トルコ・ウズベキスタン</t>
    </r>
    <r>
      <rPr>
        <sz val="8"/>
        <color rgb="FF000000"/>
        <rFont val="Arial"/>
        <family val="2"/>
      </rPr>
      <t>/11:15</t>
    </r>
    <r>
      <rPr>
        <sz val="8"/>
        <color rgb="FF000000"/>
        <rFont val="WenQuanYi Zen Hei"/>
        <family val="2"/>
      </rPr>
      <t>パキスタン</t>
    </r>
    <r>
      <rPr>
        <sz val="8"/>
        <color rgb="FF000000"/>
        <rFont val="Arial"/>
        <family val="2"/>
      </rPr>
      <t>/11:20</t>
    </r>
    <r>
      <rPr>
        <sz val="8"/>
        <color rgb="FF000000"/>
        <rFont val="WenQuanYi Zen Hei"/>
        <family val="2"/>
      </rPr>
      <t>インドネシア</t>
    </r>
  </si>
  <si>
    <r>
      <rPr>
        <sz val="8"/>
        <color rgb="FF000000"/>
        <rFont val="WenQuanYi Zen Hei"/>
        <family val="2"/>
      </rPr>
      <t>到着</t>
    </r>
    <r>
      <rPr>
        <sz val="8"/>
        <color rgb="FF000000"/>
        <rFont val="Arial"/>
        <family val="2"/>
      </rPr>
      <t>: 12:20</t>
    </r>
    <r>
      <rPr>
        <sz val="8"/>
        <color rgb="FF000000"/>
        <rFont val="WenQuanYi Zen Hei"/>
        <family val="2"/>
      </rPr>
      <t>マレーシア</t>
    </r>
    <r>
      <rPr>
        <sz val="8"/>
        <color rgb="FF000000"/>
        <rFont val="Arial"/>
        <family val="2"/>
      </rPr>
      <t>/14:30</t>
    </r>
    <r>
      <rPr>
        <sz val="8"/>
        <color rgb="FF000000"/>
        <rFont val="WenQuanYi Zen Hei"/>
        <family val="2"/>
      </rPr>
      <t>ブルネイ</t>
    </r>
    <r>
      <rPr>
        <sz val="8"/>
        <color rgb="FF000000"/>
        <rFont val="Arial"/>
        <family val="2"/>
      </rPr>
      <t>/14:50</t>
    </r>
    <r>
      <rPr>
        <sz val="8"/>
        <color rgb="FF000000"/>
        <rFont val="WenQuanYi Zen Hei"/>
        <family val="2"/>
      </rPr>
      <t>タイ</t>
    </r>
    <r>
      <rPr>
        <sz val="8"/>
        <color rgb="FF000000"/>
        <rFont val="Arial"/>
        <family val="2"/>
      </rPr>
      <t>/15:10</t>
    </r>
    <r>
      <rPr>
        <sz val="8"/>
        <color rgb="FF000000"/>
        <rFont val="WenQuanYi Zen Hei"/>
        <family val="2"/>
      </rPr>
      <t>ミャンマー</t>
    </r>
  </si>
  <si>
    <t>大使公邸 設営（名札セット持込・受付配置）</t>
  </si>
  <si>
    <r>
      <rPr>
        <sz val="8"/>
        <color rgb="FF000000"/>
        <rFont val="WenQuanYi Zen Hei"/>
        <family val="2"/>
      </rPr>
      <t xml:space="preserve">レセプション </t>
    </r>
    <r>
      <rPr>
        <sz val="8"/>
        <color rgb="FF000000"/>
        <rFont val="Arial"/>
        <family val="2"/>
      </rPr>
      <t>18:30</t>
    </r>
    <r>
      <rPr>
        <sz val="8"/>
        <color rgb="FF000000"/>
        <rFont val="WenQuanYi Zen Hei"/>
        <family val="2"/>
      </rPr>
      <t>開始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大使挨拶・乾杯・内閣府発表</t>
    </r>
    <r>
      <rPr>
        <sz val="8"/>
        <color rgb="FF000000"/>
        <rFont val="Arial"/>
        <family val="2"/>
      </rPr>
      <t>) 20:00</t>
    </r>
    <r>
      <rPr>
        <sz val="8"/>
        <color rgb="FF000000"/>
        <rFont val="WenQuanYi Zen Hei"/>
        <family val="2"/>
      </rPr>
      <t>中締め</t>
    </r>
  </si>
  <si>
    <t>撤収</t>
  </si>
  <si>
    <r>
      <rPr>
        <sz val="8"/>
        <color rgb="FF000000"/>
        <rFont val="WenQuanYi Zen Hei"/>
        <family val="2"/>
      </rPr>
      <t>レセプション出席</t>
    </r>
    <r>
      <rPr>
        <sz val="8"/>
        <color rgb="FF000000"/>
        <rFont val="Arial"/>
        <family val="2"/>
      </rPr>
      <t>(VIP)</t>
    </r>
  </si>
  <si>
    <r>
      <rPr>
        <sz val="8"/>
        <color rgb="FF000000"/>
        <rFont val="WenQuanYi Zen Hei"/>
        <family val="2"/>
      </rPr>
      <t>事前ブリーフィング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荒木田・児玉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</si>
  <si>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WenQuanYi Zen Hei"/>
        <family val="2"/>
      </rPr>
      <t>内閣府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林統括官</t>
    </r>
    <r>
      <rPr>
        <sz val="8"/>
        <color rgb="FF000000"/>
        <rFont val="Arial"/>
        <family val="2"/>
      </rPr>
      <t>)</t>
    </r>
    <r>
      <rPr>
        <sz val="8"/>
        <color rgb="FF000000"/>
        <rFont val="WenQuanYi Zen Hei"/>
        <family val="2"/>
      </rPr>
      <t>到着対応・打合せ</t>
    </r>
  </si>
  <si>
    <r>
      <rPr>
        <sz val="8"/>
        <color rgb="FF000000"/>
        <rFont val="WenQuanYi Zen Hei"/>
        <family val="2"/>
      </rPr>
      <t>レセプション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大使・内閣府対応</t>
    </r>
    <r>
      <rPr>
        <sz val="8"/>
        <color rgb="FF000000"/>
        <rFont val="Arial"/>
        <family val="2"/>
      </rPr>
      <t>)</t>
    </r>
  </si>
  <si>
    <t>公邸・ケータリング最終確認</t>
  </si>
  <si>
    <r>
      <rPr>
        <sz val="8"/>
        <color rgb="FF000000"/>
        <rFont val="WenQuanYi Zen Hei"/>
        <family val="2"/>
      </rPr>
      <t>公邸設営・</t>
    </r>
    <r>
      <rPr>
        <sz val="8"/>
        <color rgb="FF000000"/>
        <rFont val="Arial"/>
        <family val="2"/>
      </rPr>
      <t>MC</t>
    </r>
    <r>
      <rPr>
        <sz val="8"/>
        <color rgb="FF000000"/>
        <rFont val="WenQuanYi Zen Hei"/>
        <family val="2"/>
      </rPr>
      <t>進行確認</t>
    </r>
  </si>
  <si>
    <r>
      <rPr>
        <sz val="8"/>
        <color rgb="FF000000"/>
        <rFont val="Arial"/>
        <family val="2"/>
      </rPr>
      <t>MC/</t>
    </r>
    <r>
      <rPr>
        <sz val="8"/>
        <color rgb="FF000000"/>
        <rFont val="WenQuanYi Zen Hei"/>
        <family val="2"/>
      </rPr>
      <t>進行</t>
    </r>
  </si>
  <si>
    <r>
      <rPr>
        <sz val="8"/>
        <color rgb="FF000000"/>
        <rFont val="Arial"/>
        <family val="2"/>
      </rPr>
      <t>Peridot</t>
    </r>
    <r>
      <rPr>
        <sz val="8"/>
        <color rgb="FF000000"/>
        <rFont val="WenQuanYi Zen Hei"/>
        <family val="2"/>
      </rPr>
      <t>会場確認</t>
    </r>
  </si>
  <si>
    <t>北本ブリーフィング</t>
  </si>
  <si>
    <r>
      <rPr>
        <sz val="8"/>
        <color rgb="FF000000"/>
        <rFont val="WenQuanYi Zen Hei"/>
        <family val="2"/>
      </rPr>
      <t>機材・</t>
    </r>
    <r>
      <rPr>
        <sz val="8"/>
        <color rgb="FF000000"/>
        <rFont val="Arial"/>
        <family val="2"/>
      </rPr>
      <t>Zoom</t>
    </r>
    <r>
      <rPr>
        <sz val="8"/>
        <color rgb="FF000000"/>
        <rFont val="WenQuanYi Zen Hei"/>
        <family val="2"/>
      </rPr>
      <t>・</t>
    </r>
    <r>
      <rPr>
        <sz val="8"/>
        <color rgb="FF000000"/>
        <rFont val="Arial"/>
        <family val="2"/>
      </rPr>
      <t>AI</t>
    </r>
    <r>
      <rPr>
        <sz val="8"/>
        <color rgb="FF000000"/>
        <rFont val="WenQuanYi Zen Hei"/>
        <family val="2"/>
      </rPr>
      <t>翻訳準備</t>
    </r>
  </si>
  <si>
    <t>公邸設営・運営・撤収</t>
  </si>
  <si>
    <r>
      <rPr>
        <sz val="8"/>
        <color rgb="FF000000"/>
        <rFont val="Arial"/>
        <family val="2"/>
      </rPr>
      <t>RT</t>
    </r>
    <r>
      <rPr>
        <sz val="8"/>
        <color rgb="FF000000"/>
        <rFont val="WenQuanYi Zen Hei"/>
        <family val="2"/>
      </rPr>
      <t>ステートメント確認</t>
    </r>
  </si>
  <si>
    <t>公邸受付準備</t>
  </si>
  <si>
    <r>
      <rPr>
        <sz val="8"/>
        <color rgb="FF000000"/>
        <rFont val="WenQuanYi Zen Hei"/>
        <family val="2"/>
      </rPr>
      <t>受付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進行補佐</t>
    </r>
  </si>
  <si>
    <r>
      <rPr>
        <sz val="8"/>
        <color rgb="FF000000"/>
        <rFont val="Arial"/>
        <family val="2"/>
      </rPr>
      <t>Dorsett</t>
    </r>
    <r>
      <rPr>
        <sz val="8"/>
        <color rgb="FF000000"/>
        <rFont val="WenQuanYi Zen Hei"/>
        <family val="2"/>
      </rPr>
      <t>受付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到着者対応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</si>
  <si>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WenQuanYi Zen Hei"/>
        <family val="2"/>
      </rPr>
      <t>公邸受付準備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名札セット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</si>
  <si>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WenQuanYi Zen Hei"/>
        <family val="2"/>
      </rPr>
      <t>受付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名札配布</t>
    </r>
  </si>
  <si>
    <r>
      <rPr>
        <sz val="8"/>
        <color rgb="FF000000"/>
        <rFont val="Arial"/>
        <family val="2"/>
      </rPr>
      <t>Dorsett</t>
    </r>
    <r>
      <rPr>
        <sz val="8"/>
        <color rgb="FF000000"/>
        <rFont val="WenQuanYi Zen Hei"/>
        <family val="2"/>
      </rPr>
      <t>受付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到着者・送迎確認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</si>
  <si>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Arial"/>
        <family val="2"/>
      </rPr>
      <t>Peridot AV</t>
    </r>
    <r>
      <rPr>
        <sz val="8"/>
        <color rgb="FF000000"/>
        <rFont val="WenQuanYi Zen Hei"/>
        <family val="2"/>
      </rPr>
      <t>確認</t>
    </r>
    <r>
      <rPr>
        <sz val="8"/>
        <color rgb="FF000000"/>
        <rFont val="Arial"/>
        <family val="2"/>
      </rPr>
      <t>/Japan Pavilion</t>
    </r>
  </si>
  <si>
    <t>機材準備</t>
  </si>
  <si>
    <r>
      <rPr>
        <sz val="8"/>
        <color rgb="FF000000"/>
        <rFont val="WenQuanYi Zen Hei"/>
        <family val="2"/>
      </rPr>
      <t>レセプション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設営補助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</si>
  <si>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Arial"/>
        <family val="2"/>
      </rPr>
      <t>RT/Summary</t>
    </r>
    <r>
      <rPr>
        <sz val="8"/>
        <color rgb="FF000000"/>
        <rFont val="WenQuanYi Zen Hei"/>
        <family val="2"/>
      </rPr>
      <t>準備</t>
    </r>
  </si>
  <si>
    <t>レセプション</t>
  </si>
  <si>
    <t>登壇者連絡・接続テスト</t>
  </si>
  <si>
    <r>
      <rPr>
        <sz val="8"/>
        <color rgb="FF000000"/>
        <rFont val="WenQuanYi Zen Hei"/>
        <family val="2"/>
      </rPr>
      <t>【推奨】</t>
    </r>
    <r>
      <rPr>
        <sz val="8"/>
        <color rgb="FF000000"/>
        <rFont val="Arial"/>
        <family val="2"/>
      </rPr>
      <t>Dorsett</t>
    </r>
    <r>
      <rPr>
        <sz val="8"/>
        <color rgb="FF000000"/>
        <rFont val="WenQuanYi Zen Hei"/>
        <family val="2"/>
      </rPr>
      <t>受付</t>
    </r>
    <r>
      <rPr>
        <sz val="8"/>
        <color rgb="FF000000"/>
        <rFont val="Arial"/>
        <family val="2"/>
      </rPr>
      <t>3</t>
    </r>
    <r>
      <rPr>
        <sz val="8"/>
        <color rgb="FF000000"/>
        <rFont val="WenQuanYi Zen Hei"/>
        <family val="2"/>
      </rPr>
      <t>人目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名札・</t>
    </r>
    <r>
      <rPr>
        <sz val="8"/>
        <color rgb="FF000000"/>
        <rFont val="Arial"/>
        <family val="2"/>
      </rPr>
      <t>Zoom</t>
    </r>
    <r>
      <rPr>
        <sz val="8"/>
        <color rgb="FF000000"/>
        <rFont val="WenQuanYi Zen Hei"/>
        <family val="2"/>
      </rPr>
      <t>設定</t>
    </r>
  </si>
  <si>
    <r>
      <rPr>
        <sz val="8"/>
        <color rgb="FF000000"/>
        <rFont val="WenQuanYi Zen Hei"/>
        <family val="2"/>
      </rPr>
      <t>【推奨】公邸受付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写真</t>
    </r>
  </si>
  <si>
    <r>
      <rPr>
        <sz val="8"/>
        <color rgb="FF000000"/>
        <rFont val="WenQuanYi Zen Hei"/>
        <family val="2"/>
      </rPr>
      <t>【推奨】到着者対応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ウズベキスタン等</t>
    </r>
    <r>
      <rPr>
        <sz val="8"/>
        <color rgb="FF000000"/>
        <rFont val="Arial"/>
        <family val="2"/>
      </rPr>
      <t>)</t>
    </r>
  </si>
  <si>
    <t>【推奨】レセプション受付補助</t>
  </si>
  <si>
    <r>
      <rPr>
        <b/>
        <sz val="10"/>
        <color rgb="FF000000"/>
        <rFont val="WenQuanYi Zen Hei"/>
        <family val="2"/>
      </rPr>
      <t>稼働人数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WenQuanYi Zen Hei"/>
        <family val="2"/>
      </rPr>
      <t>自動</t>
    </r>
    <r>
      <rPr>
        <b/>
        <sz val="10"/>
        <color rgb="FF000000"/>
        <rFont val="Arial"/>
        <family val="2"/>
      </rPr>
      <t>)</t>
    </r>
  </si>
  <si>
    <r>
      <rPr>
        <i/>
        <sz val="8"/>
        <color rgb="FF555555"/>
        <rFont val="WenQuanYi Zen Hei"/>
        <family val="2"/>
      </rPr>
      <t>※稼働人数は各</t>
    </r>
    <r>
      <rPr>
        <i/>
        <sz val="8"/>
        <color rgb="FF555555"/>
        <rFont val="Arial"/>
        <family val="2"/>
      </rPr>
      <t>30</t>
    </r>
    <r>
      <rPr>
        <i/>
        <sz val="8"/>
        <color rgb="FF555555"/>
        <rFont val="WenQuanYi Zen Hei"/>
        <family val="2"/>
      </rPr>
      <t>分列で「文字が入っている先頭セル」のみを数えるため、結合セルの</t>
    </r>
    <r>
      <rPr>
        <i/>
        <sz val="8"/>
        <color rgb="FF555555"/>
        <rFont val="Arial"/>
        <family val="2"/>
      </rPr>
      <t>2</t>
    </r>
    <r>
      <rPr>
        <i/>
        <sz val="8"/>
        <color rgb="FF555555"/>
        <rFont val="WenQuanYi Zen Hei"/>
        <family val="2"/>
      </rPr>
      <t>列目以降は</t>
    </r>
    <r>
      <rPr>
        <i/>
        <sz val="8"/>
        <color rgb="FF555555"/>
        <rFont val="Arial"/>
        <family val="2"/>
      </rPr>
      <t>0</t>
    </r>
    <r>
      <rPr>
        <i/>
        <sz val="8"/>
        <color rgb="FF555555"/>
        <rFont val="WenQuanYi Zen Hei"/>
        <family val="2"/>
      </rPr>
      <t>扱い。人数の目安として『同時刻に業務が始まる人数』を示す（正確な在場人数は動態表</t>
    </r>
    <r>
      <rPr>
        <i/>
        <sz val="8"/>
        <color rgb="FF555555"/>
        <rFont val="Arial"/>
        <family val="2"/>
      </rPr>
      <t>(</t>
    </r>
    <r>
      <rPr>
        <i/>
        <sz val="8"/>
        <color rgb="FF555555"/>
        <rFont val="WenQuanYi Zen Hei"/>
        <family val="2"/>
      </rPr>
      <t>日別</t>
    </r>
    <r>
      <rPr>
        <i/>
        <sz val="8"/>
        <color rgb="FF555555"/>
        <rFont val="Arial"/>
        <family val="2"/>
      </rPr>
      <t>)</t>
    </r>
    <r>
      <rPr>
        <i/>
        <sz val="8"/>
        <color rgb="FF555555"/>
        <rFont val="WenQuanYi Zen Hei"/>
        <family val="2"/>
      </rPr>
      <t>を参照）。</t>
    </r>
  </si>
  <si>
    <r>
      <rPr>
        <sz val="9"/>
        <color rgb="FFC00000"/>
        <rFont val="WenQuanYi Zen Hei"/>
        <family val="2"/>
      </rPr>
      <t>ギャップ</t>
    </r>
    <r>
      <rPr>
        <sz val="9"/>
        <color rgb="FFC00000"/>
        <rFont val="Arial"/>
        <family val="2"/>
      </rPr>
      <t>: (1) 18:30-21:00</t>
    </r>
    <r>
      <rPr>
        <sz val="9"/>
        <color rgb="FFC00000"/>
        <rFont val="WenQuanYi Zen Hei"/>
        <family val="2"/>
      </rPr>
      <t>に受付</t>
    </r>
    <r>
      <rPr>
        <sz val="9"/>
        <color rgb="FFC00000"/>
        <rFont val="Arial"/>
        <family val="2"/>
      </rPr>
      <t>(</t>
    </r>
    <r>
      <rPr>
        <sz val="9"/>
        <color rgb="FFC00000"/>
        <rFont val="WenQuanYi Zen Hei"/>
        <family val="2"/>
      </rPr>
      <t>名札セット配布</t>
    </r>
    <r>
      <rPr>
        <sz val="9"/>
        <color rgb="FFC00000"/>
        <rFont val="Arial"/>
        <family val="2"/>
      </rPr>
      <t>100-120</t>
    </r>
    <r>
      <rPr>
        <sz val="9"/>
        <color rgb="FFC00000"/>
        <rFont val="WenQuanYi Zen Hei"/>
        <family val="2"/>
      </rPr>
      <t>名</t>
    </r>
    <r>
      <rPr>
        <sz val="9"/>
        <color rgb="FFC00000"/>
        <rFont val="Arial"/>
        <family val="2"/>
      </rPr>
      <t>)</t>
    </r>
    <r>
      <rPr>
        <sz val="9"/>
        <color rgb="FFC00000"/>
        <rFont val="WenQuanYi Zen Hei"/>
        <family val="2"/>
      </rPr>
      <t>・</t>
    </r>
    <r>
      <rPr>
        <sz val="9"/>
        <color rgb="FFC00000"/>
        <rFont val="Arial"/>
        <family val="2"/>
      </rPr>
      <t>MC</t>
    </r>
    <r>
      <rPr>
        <sz val="9"/>
        <color rgb="FFC00000"/>
        <rFont val="WenQuanYi Zen Hei"/>
        <family val="2"/>
      </rPr>
      <t>・</t>
    </r>
    <r>
      <rPr>
        <sz val="9"/>
        <color rgb="FFC00000"/>
        <rFont val="Arial"/>
        <family val="2"/>
      </rPr>
      <t>VIP</t>
    </r>
    <r>
      <rPr>
        <sz val="9"/>
        <color rgb="FFC00000"/>
        <rFont val="WenQuanYi Zen Hei"/>
        <family val="2"/>
      </rPr>
      <t>対応・写真・バス誘導</t>
    </r>
    <r>
      <rPr>
        <sz val="9"/>
        <color rgb="FFC00000"/>
        <rFont val="Arial"/>
        <family val="2"/>
      </rPr>
      <t>(Dorsett→</t>
    </r>
    <r>
      <rPr>
        <sz val="9"/>
        <color rgb="FFC00000"/>
        <rFont val="WenQuanYi Zen Hei"/>
        <family val="2"/>
      </rPr>
      <t>公邸</t>
    </r>
    <r>
      <rPr>
        <sz val="9"/>
        <color rgb="FFC00000"/>
        <rFont val="Arial"/>
        <family val="2"/>
      </rPr>
      <t>)</t>
    </r>
    <r>
      <rPr>
        <sz val="9"/>
        <color rgb="FFC00000"/>
        <rFont val="WenQuanYi Zen Hei"/>
        <family val="2"/>
      </rPr>
      <t>が同時発生。受付</t>
    </r>
    <r>
      <rPr>
        <sz val="9"/>
        <color rgb="FFC00000"/>
        <rFont val="Arial"/>
        <family val="2"/>
      </rPr>
      <t>2</t>
    </r>
    <r>
      <rPr>
        <sz val="9"/>
        <color rgb="FFC00000"/>
        <rFont val="WenQuanYi Zen Hei"/>
        <family val="2"/>
      </rPr>
      <t>名</t>
    </r>
    <r>
      <rPr>
        <sz val="9"/>
        <color rgb="FFC00000"/>
        <rFont val="Arial"/>
        <family val="2"/>
      </rPr>
      <t>(</t>
    </r>
    <r>
      <rPr>
        <sz val="9"/>
        <color rgb="FFC00000"/>
        <rFont val="WenQuanYi Zen Hei"/>
        <family val="2"/>
      </rPr>
      <t>藤中・田中</t>
    </r>
    <r>
      <rPr>
        <sz val="9"/>
        <color rgb="FFC00000"/>
        <rFont val="Arial"/>
        <family val="2"/>
      </rPr>
      <t>)</t>
    </r>
    <r>
      <rPr>
        <sz val="9"/>
        <color rgb="FFC00000"/>
        <rFont val="WenQuanYi Zen Hei"/>
        <family val="2"/>
      </rPr>
      <t>＋吉田で名札配布、写真担当が空白。</t>
    </r>
    <r>
      <rPr>
        <sz val="9"/>
        <color rgb="FFC00000"/>
        <rFont val="Arial"/>
        <family val="2"/>
      </rPr>
      <t xml:space="preserve">(2) </t>
    </r>
    <r>
      <rPr>
        <sz val="9"/>
        <color rgb="FFC00000"/>
        <rFont val="WenQuanYi Zen Hei"/>
        <family val="2"/>
      </rPr>
      <t>日中は</t>
    </r>
    <r>
      <rPr>
        <sz val="9"/>
        <color rgb="FFC00000"/>
        <rFont val="Arial"/>
        <family val="2"/>
      </rPr>
      <t>Dorsett</t>
    </r>
    <r>
      <rPr>
        <sz val="9"/>
        <color rgb="FFC00000"/>
        <rFont val="WenQuanYi Zen Hei"/>
        <family val="2"/>
      </rPr>
      <t>到着対応と公邸設営準備が並行し、荒木田・池田は機材、児玉は公邸に張り付くため、</t>
    </r>
    <r>
      <rPr>
        <sz val="9"/>
        <color rgb="FFC00000"/>
        <rFont val="Arial"/>
        <family val="2"/>
      </rPr>
      <t>Dorsett</t>
    </r>
    <r>
      <rPr>
        <sz val="9"/>
        <color rgb="FFC00000"/>
        <rFont val="WenQuanYi Zen Hei"/>
        <family val="2"/>
      </rPr>
      <t>に残るのは藤中・田中の</t>
    </r>
    <r>
      <rPr>
        <sz val="9"/>
        <color rgb="FFC00000"/>
        <rFont val="Arial"/>
        <family val="2"/>
      </rPr>
      <t>2</t>
    </r>
    <r>
      <rPr>
        <sz val="9"/>
        <color rgb="FFC00000"/>
        <rFont val="WenQuanYi Zen Hei"/>
        <family val="2"/>
      </rPr>
      <t>名のみ。</t>
    </r>
  </si>
  <si>
    <t>28 OCT 2026 (WED)  Day 1: Joint Opening / ACDR Opening / Roundtable / SC / Gala Dinner</t>
  </si>
  <si>
    <r>
      <rPr>
        <sz val="8"/>
        <color rgb="FF000000"/>
        <rFont val="WenQuanYi Zen Hei"/>
        <family val="2"/>
      </rPr>
      <t>会場・</t>
    </r>
    <r>
      <rPr>
        <sz val="8"/>
        <color rgb="FF000000"/>
        <rFont val="Arial"/>
        <family val="2"/>
      </rPr>
      <t>NW</t>
    </r>
    <r>
      <rPr>
        <sz val="8"/>
        <color rgb="FF000000"/>
        <rFont val="WenQuanYi Zen Hei"/>
        <family val="2"/>
      </rPr>
      <t>最終テスト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演台・客席・事務局部屋</t>
    </r>
    <r>
      <rPr>
        <sz val="8"/>
        <color rgb="FF000000"/>
        <rFont val="Arial"/>
        <family val="2"/>
      </rPr>
      <t>)</t>
    </r>
    <r>
      <rPr>
        <sz val="8"/>
        <color rgb="FF000000"/>
        <rFont val="WenQuanYi Zen Hei"/>
        <family val="2"/>
      </rPr>
      <t>／事務局部屋立上げ／</t>
    </r>
    <r>
      <rPr>
        <sz val="8"/>
        <color rgb="FF000000"/>
        <rFont val="Arial"/>
        <family val="2"/>
      </rPr>
      <t xml:space="preserve">Hotel Mi→EXPO </t>
    </r>
    <r>
      <rPr>
        <sz val="8"/>
        <color rgb="FF000000"/>
        <rFont val="WenQuanYi Zen Hei"/>
        <family val="2"/>
      </rPr>
      <t>バス</t>
    </r>
  </si>
  <si>
    <t>Joint Opening (Hall 3)</t>
  </si>
  <si>
    <r>
      <rPr>
        <sz val="8"/>
        <color rgb="FF000000"/>
        <rFont val="Arial"/>
        <family val="2"/>
      </rPr>
      <t>VIP Tour(Japan Pavilion Opening)</t>
    </r>
    <r>
      <rPr>
        <sz val="8"/>
        <color rgb="FF000000"/>
        <rFont val="WenQuanYi Zen Hei"/>
        <family val="2"/>
      </rPr>
      <t>／</t>
    </r>
    <r>
      <rPr>
        <sz val="8"/>
        <color rgb="FF000000"/>
        <rFont val="Arial"/>
        <family val="2"/>
      </rPr>
      <t>11:15</t>
    </r>
    <r>
      <rPr>
        <sz val="8"/>
        <color rgb="FF000000"/>
        <rFont val="WenQuanYi Zen Hei"/>
        <family val="2"/>
      </rPr>
      <t>表敬</t>
    </r>
  </si>
  <si>
    <t>Lunch (Hall 3)</t>
  </si>
  <si>
    <t>ACDR Opening</t>
  </si>
  <si>
    <r>
      <rPr>
        <sz val="8"/>
        <color rgb="FF000000"/>
        <rFont val="Arial"/>
        <family val="2"/>
      </rPr>
      <t>Roundtable (Peridot) SCDF</t>
    </r>
    <r>
      <rPr>
        <sz val="8"/>
        <color rgb="FF000000"/>
        <rFont val="WenQuanYi Zen Hei"/>
        <family val="2"/>
      </rPr>
      <t>モデレーター</t>
    </r>
    <r>
      <rPr>
        <sz val="8"/>
        <color rgb="FF000000"/>
        <rFont val="Arial"/>
        <family val="2"/>
      </rPr>
      <t>+</t>
    </r>
    <r>
      <rPr>
        <sz val="8"/>
        <color rgb="FF000000"/>
        <rFont val="WenQuanYi Zen Hei"/>
        <family val="2"/>
      </rPr>
      <t>メンバー国</t>
    </r>
    <r>
      <rPr>
        <sz val="8"/>
        <color rgb="FF000000"/>
        <rFont val="Arial"/>
        <family val="2"/>
      </rPr>
      <t>Co-Mod</t>
    </r>
  </si>
  <si>
    <t>Steering Committee</t>
  </si>
  <si>
    <r>
      <rPr>
        <sz val="8"/>
        <color rgb="FF000000"/>
        <rFont val="Arial"/>
        <family val="2"/>
      </rPr>
      <t>Dorsett 17:30</t>
    </r>
    <r>
      <rPr>
        <sz val="8"/>
        <color rgb="FF000000"/>
        <rFont val="WenQuanYi Zen Hei"/>
        <family val="2"/>
      </rPr>
      <t>発→</t>
    </r>
    <r>
      <rPr>
        <sz val="8"/>
        <color rgb="FF000000"/>
        <rFont val="Arial"/>
        <family val="2"/>
      </rPr>
      <t>Orchard Hotel</t>
    </r>
  </si>
  <si>
    <t>SIDEX Gala Dinner (Grand Ballroom)</t>
  </si>
  <si>
    <r>
      <rPr>
        <sz val="8"/>
        <color rgb="FF000000"/>
        <rFont val="Arial"/>
        <family val="2"/>
      </rPr>
      <t xml:space="preserve">ACDR Opening </t>
    </r>
    <r>
      <rPr>
        <sz val="8"/>
        <color rgb="FF000000"/>
        <rFont val="WenQuanYi Zen Hei"/>
        <family val="2"/>
      </rPr>
      <t>挨拶</t>
    </r>
  </si>
  <si>
    <t>Roundtable</t>
  </si>
  <si>
    <t>SC</t>
  </si>
  <si>
    <t>Gala</t>
  </si>
  <si>
    <t>Opening/Roundtable</t>
  </si>
  <si>
    <r>
      <rPr>
        <sz val="8"/>
        <color rgb="FF000000"/>
        <rFont val="WenQuanYi Zen Hei"/>
        <family val="2"/>
      </rPr>
      <t>内閣府随行</t>
    </r>
    <r>
      <rPr>
        <sz val="8"/>
        <color rgb="FF000000"/>
        <rFont val="Arial"/>
        <family val="2"/>
      </rPr>
      <t>(Opening/VIP Tour/</t>
    </r>
    <r>
      <rPr>
        <sz val="8"/>
        <color rgb="FF000000"/>
        <rFont val="WenQuanYi Zen Hei"/>
        <family val="2"/>
      </rPr>
      <t>表敬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</si>
  <si>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Arial"/>
        <family val="2"/>
      </rPr>
      <t>Opening/RT(</t>
    </r>
    <r>
      <rPr>
        <sz val="8"/>
        <color rgb="FF000000"/>
        <rFont val="WenQuanYi Zen Hei"/>
        <family val="2"/>
      </rPr>
      <t>内閣府随行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</si>
  <si>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Arial"/>
        <family val="2"/>
      </rPr>
      <t>SC(</t>
    </r>
    <r>
      <rPr>
        <sz val="8"/>
        <color rgb="FF000000"/>
        <rFont val="WenQuanYi Zen Hei"/>
        <family val="2"/>
      </rPr>
      <t>議長</t>
    </r>
    <r>
      <rPr>
        <sz val="8"/>
        <color rgb="FF000000"/>
        <rFont val="Arial"/>
        <family val="2"/>
      </rPr>
      <t>=</t>
    </r>
    <r>
      <rPr>
        <sz val="8"/>
        <color rgb="FF000000"/>
        <rFont val="WenQuanYi Zen Hei"/>
        <family val="2"/>
      </rPr>
      <t>内閣府 補佐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</si>
  <si>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Arial"/>
        <family val="2"/>
      </rPr>
      <t>Gala(</t>
    </r>
    <r>
      <rPr>
        <sz val="8"/>
        <color rgb="FF000000"/>
        <rFont val="WenQuanYi Zen Hei"/>
        <family val="2"/>
      </rPr>
      <t>内閣府随行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</si>
  <si>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WenQuanYi Zen Hei"/>
        <family val="2"/>
      </rPr>
      <t>会場テスト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事務局部屋</t>
    </r>
  </si>
  <si>
    <r>
      <rPr>
        <sz val="8"/>
        <color rgb="FF000000"/>
        <rFont val="WenQuanYi Zen Hei"/>
        <family val="2"/>
      </rPr>
      <t>内閣府随行・</t>
    </r>
    <r>
      <rPr>
        <sz val="8"/>
        <color rgb="FF000000"/>
        <rFont val="Arial"/>
        <family val="2"/>
      </rPr>
      <t>VIP</t>
    </r>
    <r>
      <rPr>
        <sz val="8"/>
        <color rgb="FF000000"/>
        <rFont val="WenQuanYi Zen Hei"/>
        <family val="2"/>
      </rPr>
      <t>動線</t>
    </r>
  </si>
  <si>
    <r>
      <rPr>
        <sz val="8"/>
        <color rgb="FF000000"/>
        <rFont val="Arial"/>
        <family val="2"/>
      </rPr>
      <t>RT(</t>
    </r>
    <r>
      <rPr>
        <sz val="8"/>
        <color rgb="FF000000"/>
        <rFont val="WenQuanYi Zen Hei"/>
        <family val="2"/>
      </rPr>
      <t>バイ会談調整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</si>
  <si>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Arial"/>
        <family val="2"/>
      </rPr>
      <t>Gala</t>
    </r>
    <r>
      <rPr>
        <sz val="8"/>
        <color rgb="FF000000"/>
        <rFont val="WenQuanYi Zen Hei"/>
        <family val="2"/>
      </rPr>
      <t>引率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バス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</si>
  <si>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WenQuanYi Zen Hei"/>
        <family val="2"/>
      </rPr>
      <t>会場・</t>
    </r>
    <r>
      <rPr>
        <sz val="8"/>
        <color rgb="FF000000"/>
        <rFont val="Arial"/>
        <family val="2"/>
      </rPr>
      <t>NW</t>
    </r>
    <r>
      <rPr>
        <sz val="8"/>
        <color rgb="FF000000"/>
        <rFont val="WenQuanYi Zen Hei"/>
        <family val="2"/>
      </rPr>
      <t>・</t>
    </r>
    <r>
      <rPr>
        <sz val="8"/>
        <color rgb="FF000000"/>
        <rFont val="Arial"/>
        <family val="2"/>
      </rPr>
      <t>Zoom</t>
    </r>
    <r>
      <rPr>
        <sz val="8"/>
        <color rgb="FF000000"/>
        <rFont val="WenQuanYi Zen Hei"/>
        <family val="2"/>
      </rPr>
      <t>・</t>
    </r>
    <r>
      <rPr>
        <sz val="8"/>
        <color rgb="FF000000"/>
        <rFont val="Arial"/>
        <family val="2"/>
      </rPr>
      <t>AI</t>
    </r>
    <r>
      <rPr>
        <sz val="8"/>
        <color rgb="FF000000"/>
        <rFont val="WenQuanYi Zen Hei"/>
        <family val="2"/>
      </rPr>
      <t>翻訳テスト</t>
    </r>
  </si>
  <si>
    <r>
      <rPr>
        <sz val="8"/>
        <color rgb="FF000000"/>
        <rFont val="Arial"/>
        <family val="2"/>
      </rPr>
      <t>Opening</t>
    </r>
    <r>
      <rPr>
        <sz val="8"/>
        <color rgb="FF000000"/>
        <rFont val="WenQuanYi Zen Hei"/>
        <family val="2"/>
      </rPr>
      <t>進行確認</t>
    </r>
    <r>
      <rPr>
        <sz val="8"/>
        <color rgb="FF000000"/>
        <rFont val="Arial"/>
        <family val="2"/>
      </rPr>
      <t>/VIP Tour</t>
    </r>
    <r>
      <rPr>
        <sz val="8"/>
        <color rgb="FF000000"/>
        <rFont val="WenQuanYi Zen Hei"/>
        <family val="2"/>
      </rPr>
      <t>同行</t>
    </r>
  </si>
  <si>
    <r>
      <rPr>
        <sz val="8"/>
        <color rgb="FF000000"/>
        <rFont val="Arial"/>
        <family val="2"/>
      </rPr>
      <t>ACDR Opening</t>
    </r>
    <r>
      <rPr>
        <sz val="8"/>
        <color rgb="FF000000"/>
        <rFont val="WenQuanYi Zen Hei"/>
        <family val="2"/>
      </rPr>
      <t>進行</t>
    </r>
  </si>
  <si>
    <r>
      <rPr>
        <sz val="8"/>
        <color rgb="FF000000"/>
        <rFont val="Arial"/>
        <family val="2"/>
      </rPr>
      <t>RT AV/Zoom</t>
    </r>
    <r>
      <rPr>
        <sz val="8"/>
        <color rgb="FF000000"/>
        <rFont val="WenQuanYi Zen Hei"/>
        <family val="2"/>
      </rPr>
      <t>運用</t>
    </r>
  </si>
  <si>
    <r>
      <rPr>
        <sz val="8"/>
        <color rgb="FF000000"/>
        <rFont val="Arial"/>
        <family val="2"/>
      </rPr>
      <t>SC(</t>
    </r>
    <r>
      <rPr>
        <sz val="8"/>
        <color rgb="FF000000"/>
        <rFont val="WenQuanYi Zen Hei"/>
        <family val="2"/>
      </rPr>
      <t>記録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</si>
  <si>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Arial"/>
        <family val="2"/>
      </rPr>
      <t>RT</t>
    </r>
    <r>
      <rPr>
        <sz val="8"/>
        <color rgb="FF000000"/>
        <rFont val="WenQuanYi Zen Hei"/>
        <family val="2"/>
      </rPr>
      <t>準備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ステートメント・席札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</si>
  <si>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WenQuanYi Zen Hei"/>
        <family val="2"/>
      </rPr>
      <t>参加者誘導</t>
    </r>
    <r>
      <rPr>
        <sz val="8"/>
        <color rgb="FF000000"/>
        <rFont val="Arial"/>
        <family val="2"/>
      </rPr>
      <t>(Hall3→</t>
    </r>
    <r>
      <rPr>
        <sz val="8"/>
        <color rgb="FF000000"/>
        <rFont val="WenQuanYi Zen Hei"/>
        <family val="2"/>
      </rPr>
      <t>昼食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</si>
  <si>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Arial"/>
        <family val="2"/>
      </rPr>
      <t>RT</t>
    </r>
    <r>
      <rPr>
        <sz val="8"/>
        <color rgb="FF000000"/>
        <rFont val="WenQuanYi Zen Hei"/>
        <family val="2"/>
      </rPr>
      <t>運営</t>
    </r>
    <r>
      <rPr>
        <sz val="8"/>
        <color rgb="FF000000"/>
        <rFont val="Arial"/>
        <family val="2"/>
      </rPr>
      <t>(PIC)</t>
    </r>
  </si>
  <si>
    <r>
      <rPr>
        <sz val="8"/>
        <color rgb="FF000000"/>
        <rFont val="Arial"/>
        <family val="2"/>
      </rPr>
      <t>SC</t>
    </r>
    <r>
      <rPr>
        <sz val="8"/>
        <color rgb="FF000000"/>
        <rFont val="WenQuanYi Zen Hei"/>
        <family val="2"/>
      </rPr>
      <t>補助</t>
    </r>
  </si>
  <si>
    <r>
      <rPr>
        <sz val="8"/>
        <color rgb="FF000000"/>
        <rFont val="Arial"/>
        <family val="2"/>
      </rPr>
      <t>Gala</t>
    </r>
    <r>
      <rPr>
        <sz val="8"/>
        <color rgb="FF000000"/>
        <rFont val="WenQuanYi Zen Hei"/>
        <family val="2"/>
      </rPr>
      <t>引率</t>
    </r>
  </si>
  <si>
    <r>
      <rPr>
        <sz val="8"/>
        <color rgb="FF000000"/>
        <rFont val="WenQuanYi Zen Hei"/>
        <family val="2"/>
      </rPr>
      <t>受付</t>
    </r>
    <r>
      <rPr>
        <sz val="8"/>
        <color rgb="FF000000"/>
        <rFont val="Arial"/>
        <family val="2"/>
      </rPr>
      <t>/RT</t>
    </r>
  </si>
  <si>
    <r>
      <rPr>
        <sz val="8"/>
        <color rgb="FF000000"/>
        <rFont val="Arial"/>
        <family val="2"/>
      </rPr>
      <t>SC</t>
    </r>
    <r>
      <rPr>
        <sz val="8"/>
        <color rgb="FF000000"/>
        <rFont val="WenQuanYi Zen Hei"/>
        <family val="2"/>
      </rPr>
      <t>事務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会計報告</t>
    </r>
    <r>
      <rPr>
        <sz val="8"/>
        <color rgb="FF000000"/>
        <rFont val="Arial"/>
        <family val="2"/>
      </rPr>
      <t>)</t>
    </r>
  </si>
  <si>
    <t>受付</t>
  </si>
  <si>
    <r>
      <rPr>
        <sz val="8"/>
        <color rgb="FF000000"/>
        <rFont val="Arial"/>
        <family val="2"/>
      </rPr>
      <t>Gala</t>
    </r>
    <r>
      <rPr>
        <sz val="8"/>
        <color rgb="FF000000"/>
        <rFont val="WenQuanYi Zen Hei"/>
        <family val="2"/>
      </rPr>
      <t>引率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名簿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</si>
  <si>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WenQuanYi Zen Hei"/>
        <family val="2"/>
      </rPr>
      <t>会場</t>
    </r>
    <r>
      <rPr>
        <sz val="8"/>
        <color rgb="FF000000"/>
        <rFont val="Arial"/>
        <family val="2"/>
      </rPr>
      <t>AV</t>
    </r>
    <r>
      <rPr>
        <sz val="8"/>
        <color rgb="FF000000"/>
        <rFont val="WenQuanYi Zen Hei"/>
        <family val="2"/>
      </rPr>
      <t>テスト</t>
    </r>
  </si>
  <si>
    <r>
      <rPr>
        <sz val="8"/>
        <color rgb="FF000000"/>
        <rFont val="Arial"/>
        <family val="2"/>
      </rPr>
      <t>Japan Pavilion</t>
    </r>
    <r>
      <rPr>
        <sz val="8"/>
        <color rgb="FF000000"/>
        <rFont val="WenQuanYi Zen Hei"/>
        <family val="2"/>
      </rPr>
      <t>連携</t>
    </r>
  </si>
  <si>
    <r>
      <rPr>
        <sz val="8"/>
        <color rgb="FF000000"/>
        <rFont val="Arial"/>
        <family val="2"/>
      </rPr>
      <t>RT PC</t>
    </r>
    <r>
      <rPr>
        <sz val="8"/>
        <color rgb="FF000000"/>
        <rFont val="WenQuanYi Zen Hei"/>
        <family val="2"/>
      </rPr>
      <t>・スクリーン操作</t>
    </r>
  </si>
  <si>
    <t>SC(AV)</t>
  </si>
  <si>
    <r>
      <rPr>
        <sz val="8"/>
        <color rgb="FF000000"/>
        <rFont val="Arial"/>
        <family val="2"/>
      </rPr>
      <t>RT</t>
    </r>
    <r>
      <rPr>
        <sz val="8"/>
        <color rgb="FF000000"/>
        <rFont val="WenQuanYi Zen Hei"/>
        <family val="2"/>
      </rPr>
      <t>共同運営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ノート</t>
    </r>
  </si>
  <si>
    <r>
      <rPr>
        <sz val="8"/>
        <color rgb="FF000000"/>
        <rFont val="Arial"/>
        <family val="2"/>
      </rPr>
      <t>SC</t>
    </r>
    <r>
      <rPr>
        <sz val="8"/>
        <color rgb="FF000000"/>
        <rFont val="WenQuanYi Zen Hei"/>
        <family val="2"/>
      </rPr>
      <t>メモ</t>
    </r>
  </si>
  <si>
    <r>
      <rPr>
        <sz val="8"/>
        <color rgb="FF000000"/>
        <rFont val="Arial"/>
        <family val="2"/>
      </rPr>
      <t>Draft Summary</t>
    </r>
    <r>
      <rPr>
        <sz val="8"/>
        <color rgb="FF000000"/>
        <rFont val="WenQuanYi Zen Hei"/>
        <family val="2"/>
      </rPr>
      <t>執筆</t>
    </r>
  </si>
  <si>
    <r>
      <rPr>
        <sz val="8"/>
        <color rgb="FF000000"/>
        <rFont val="Arial"/>
        <family val="2"/>
      </rPr>
      <t>RT</t>
    </r>
    <r>
      <rPr>
        <sz val="8"/>
        <color rgb="FF000000"/>
        <rFont val="WenQuanYi Zen Hei"/>
        <family val="2"/>
      </rPr>
      <t>ノート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翌日登壇者対応</t>
    </r>
  </si>
  <si>
    <t>登壇者リハ調整</t>
  </si>
  <si>
    <r>
      <rPr>
        <sz val="8"/>
        <color rgb="FF000000"/>
        <rFont val="WenQuanYi Zen Hei"/>
        <family val="2"/>
      </rPr>
      <t>【推奨】</t>
    </r>
    <r>
      <rPr>
        <sz val="8"/>
        <color rgb="FF000000"/>
        <rFont val="Arial"/>
        <family val="2"/>
      </rPr>
      <t>Zoom/AI</t>
    </r>
    <r>
      <rPr>
        <sz val="8"/>
        <color rgb="FF000000"/>
        <rFont val="WenQuanYi Zen Hei"/>
        <family val="2"/>
      </rPr>
      <t>翻訳セットアップ</t>
    </r>
  </si>
  <si>
    <r>
      <rPr>
        <sz val="8"/>
        <color rgb="FF000000"/>
        <rFont val="WenQuanYi Zen Hei"/>
        <family val="2"/>
      </rPr>
      <t>【推奨】写真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誘導</t>
    </r>
  </si>
  <si>
    <r>
      <rPr>
        <sz val="8"/>
        <color rgb="FF000000"/>
        <rFont val="WenQuanYi Zen Hei"/>
        <family val="2"/>
      </rPr>
      <t>【推奨】</t>
    </r>
    <r>
      <rPr>
        <sz val="8"/>
        <color rgb="FF000000"/>
        <rFont val="Arial"/>
        <family val="2"/>
      </rPr>
      <t>Zoom</t>
    </r>
    <r>
      <rPr>
        <sz val="8"/>
        <color rgb="FF000000"/>
        <rFont val="WenQuanYi Zen Hei"/>
        <family val="2"/>
      </rPr>
      <t>・</t>
    </r>
    <r>
      <rPr>
        <sz val="8"/>
        <color rgb="FF000000"/>
        <rFont val="Arial"/>
        <family val="2"/>
      </rPr>
      <t>AI</t>
    </r>
    <r>
      <rPr>
        <sz val="8"/>
        <color rgb="FF000000"/>
        <rFont val="WenQuanYi Zen Hei"/>
        <family val="2"/>
      </rPr>
      <t>翻訳オペ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写真</t>
    </r>
  </si>
  <si>
    <r>
      <rPr>
        <sz val="8"/>
        <color rgb="FF000000"/>
        <rFont val="WenQuanYi Zen Hei"/>
        <family val="2"/>
      </rPr>
      <t>【推奨】</t>
    </r>
    <r>
      <rPr>
        <sz val="8"/>
        <color rgb="FF000000"/>
        <rFont val="Arial"/>
        <family val="2"/>
      </rPr>
      <t>Gala(</t>
    </r>
    <r>
      <rPr>
        <sz val="8"/>
        <color rgb="FF000000"/>
        <rFont val="WenQuanYi Zen Hei"/>
        <family val="2"/>
      </rPr>
      <t>写真</t>
    </r>
    <r>
      <rPr>
        <sz val="8"/>
        <color rgb="FF000000"/>
        <rFont val="Arial"/>
        <family val="2"/>
      </rPr>
      <t>)</t>
    </r>
  </si>
  <si>
    <t>【推奨】参加者誘導</t>
  </si>
  <si>
    <r>
      <rPr>
        <sz val="8"/>
        <color rgb="FF000000"/>
        <rFont val="WenQuanYi Zen Hei"/>
        <family val="2"/>
      </rPr>
      <t>【推奨】</t>
    </r>
    <r>
      <rPr>
        <sz val="8"/>
        <color rgb="FF000000"/>
        <rFont val="Arial"/>
        <family val="2"/>
      </rPr>
      <t>RT</t>
    </r>
    <r>
      <rPr>
        <sz val="8"/>
        <color rgb="FF000000"/>
        <rFont val="WenQuanYi Zen Hei"/>
        <family val="2"/>
      </rPr>
      <t>記録</t>
    </r>
  </si>
  <si>
    <r>
      <rPr>
        <sz val="8"/>
        <color rgb="FF000000"/>
        <rFont val="WenQuanYi Zen Hei"/>
        <family val="2"/>
      </rPr>
      <t>【推奨】</t>
    </r>
    <r>
      <rPr>
        <sz val="8"/>
        <color rgb="FF000000"/>
        <rFont val="Arial"/>
        <family val="2"/>
      </rPr>
      <t>SC</t>
    </r>
    <r>
      <rPr>
        <sz val="8"/>
        <color rgb="FF000000"/>
        <rFont val="WenQuanYi Zen Hei"/>
        <family val="2"/>
      </rPr>
      <t>記録補助</t>
    </r>
  </si>
  <si>
    <r>
      <rPr>
        <sz val="8"/>
        <color rgb="FF000000"/>
        <rFont val="WenQuanYi Zen Hei"/>
        <family val="2"/>
      </rPr>
      <t>【推奨】</t>
    </r>
    <r>
      <rPr>
        <sz val="8"/>
        <color rgb="FF000000"/>
        <rFont val="Arial"/>
        <family val="2"/>
      </rPr>
      <t>Gala</t>
    </r>
  </si>
  <si>
    <r>
      <rPr>
        <sz val="9"/>
        <color rgb="FFC00000"/>
        <rFont val="WenQuanYi Zen Hei"/>
        <family val="2"/>
      </rPr>
      <t>ギャップ</t>
    </r>
    <r>
      <rPr>
        <sz val="9"/>
        <color rgb="FFC00000"/>
        <rFont val="Arial"/>
        <family val="2"/>
      </rPr>
      <t xml:space="preserve">: (1) 07:30-09:30 </t>
    </r>
    <r>
      <rPr>
        <sz val="9"/>
        <color rgb="FFC00000"/>
        <rFont val="WenQuanYi Zen Hei"/>
        <family val="2"/>
      </rPr>
      <t>会場テストと同時に</t>
    </r>
    <r>
      <rPr>
        <sz val="9"/>
        <color rgb="FFC00000"/>
        <rFont val="Arial"/>
        <family val="2"/>
      </rPr>
      <t>Hotel Mi→EXPO</t>
    </r>
    <r>
      <rPr>
        <sz val="9"/>
        <color rgb="FFC00000"/>
        <rFont val="WenQuanYi Zen Hei"/>
        <family val="2"/>
      </rPr>
      <t>バス・</t>
    </r>
    <r>
      <rPr>
        <sz val="9"/>
        <color rgb="FFC00000"/>
        <rFont val="Arial"/>
        <family val="2"/>
      </rPr>
      <t>Dorsett</t>
    </r>
    <r>
      <rPr>
        <sz val="9"/>
        <color rgb="FFC00000"/>
        <rFont val="WenQuanYi Zen Hei"/>
        <family val="2"/>
      </rPr>
      <t>出発対応が必要だが、機材担当</t>
    </r>
    <r>
      <rPr>
        <sz val="9"/>
        <color rgb="FFC00000"/>
        <rFont val="Arial"/>
        <family val="2"/>
      </rPr>
      <t>(</t>
    </r>
    <r>
      <rPr>
        <sz val="9"/>
        <color rgb="FFC00000"/>
        <rFont val="WenQuanYi Zen Hei"/>
        <family val="2"/>
      </rPr>
      <t>荒木田・池田</t>
    </r>
    <r>
      <rPr>
        <sz val="9"/>
        <color rgb="FFC00000"/>
        <rFont val="Arial"/>
        <family val="2"/>
      </rPr>
      <t>)</t>
    </r>
    <r>
      <rPr>
        <sz val="9"/>
        <color rgb="FFC00000"/>
        <rFont val="WenQuanYi Zen Hei"/>
        <family val="2"/>
      </rPr>
      <t>がテスト、児玉は内閣府対応で受付は藤中・田中のみ。</t>
    </r>
    <r>
      <rPr>
        <sz val="9"/>
        <color rgb="FFC00000"/>
        <rFont val="Arial"/>
        <family val="2"/>
      </rPr>
      <t>(2) 10:00-11:45 Hall3(Opening/VIP Tour)</t>
    </r>
    <r>
      <rPr>
        <sz val="9"/>
        <color rgb="FFC00000"/>
        <rFont val="WenQuanYi Zen Hei"/>
        <family val="2"/>
      </rPr>
      <t>と</t>
    </r>
    <r>
      <rPr>
        <sz val="9"/>
        <color rgb="FFC00000"/>
        <rFont val="Arial"/>
        <family val="2"/>
      </rPr>
      <t>Peridot(</t>
    </r>
    <r>
      <rPr>
        <sz val="9"/>
        <color rgb="FFC00000"/>
        <rFont val="WenQuanYi Zen Hei"/>
        <family val="2"/>
      </rPr>
      <t>受付・設営</t>
    </r>
    <r>
      <rPr>
        <sz val="9"/>
        <color rgb="FFC00000"/>
        <rFont val="Arial"/>
        <family val="2"/>
      </rPr>
      <t>)</t>
    </r>
    <r>
      <rPr>
        <sz val="9"/>
        <color rgb="FFC00000"/>
        <rFont val="WenQuanYi Zen Hei"/>
        <family val="2"/>
      </rPr>
      <t>に分かれ、</t>
    </r>
    <r>
      <rPr>
        <sz val="9"/>
        <color rgb="FFC00000"/>
        <rFont val="Arial"/>
        <family val="2"/>
      </rPr>
      <t>VIP</t>
    </r>
    <r>
      <rPr>
        <sz val="9"/>
        <color rgb="FFC00000"/>
        <rFont val="WenQuanYi Zen Hei"/>
        <family val="2"/>
      </rPr>
      <t>随行</t>
    </r>
    <r>
      <rPr>
        <sz val="9"/>
        <color rgb="FFC00000"/>
        <rFont val="Arial"/>
        <family val="2"/>
      </rPr>
      <t>(</t>
    </r>
    <r>
      <rPr>
        <sz val="9"/>
        <color rgb="FFC00000"/>
        <rFont val="WenQuanYi Zen Hei"/>
        <family val="2"/>
      </rPr>
      <t>宮木・児玉・荒木田</t>
    </r>
    <r>
      <rPr>
        <sz val="9"/>
        <color rgb="FFC00000"/>
        <rFont val="Arial"/>
        <family val="2"/>
      </rPr>
      <t>)</t>
    </r>
    <r>
      <rPr>
        <sz val="9"/>
        <color rgb="FFC00000"/>
        <rFont val="WenQuanYi Zen Hei"/>
        <family val="2"/>
      </rPr>
      <t>が抜ける間の</t>
    </r>
    <r>
      <rPr>
        <sz val="9"/>
        <color rgb="FFC00000"/>
        <rFont val="Arial"/>
        <family val="2"/>
      </rPr>
      <t>Peridot</t>
    </r>
    <r>
      <rPr>
        <sz val="9"/>
        <color rgb="FFC00000"/>
        <rFont val="WenQuanYi Zen Hei"/>
        <family val="2"/>
      </rPr>
      <t>側は藤中・田中・吉田のみ。</t>
    </r>
    <r>
      <rPr>
        <sz val="9"/>
        <color rgb="FFC00000"/>
        <rFont val="Arial"/>
        <family val="2"/>
      </rPr>
      <t>(3) Roundtable</t>
    </r>
    <r>
      <rPr>
        <sz val="9"/>
        <color rgb="FFC00000"/>
        <rFont val="WenQuanYi Zen Hei"/>
        <family val="2"/>
      </rPr>
      <t>中は</t>
    </r>
    <r>
      <rPr>
        <sz val="9"/>
        <color rgb="FFC00000"/>
        <rFont val="Arial"/>
        <family val="2"/>
      </rPr>
      <t>AV/Zoom(</t>
    </r>
    <r>
      <rPr>
        <sz val="9"/>
        <color rgb="FFC00000"/>
        <rFont val="WenQuanYi Zen Hei"/>
        <family val="2"/>
      </rPr>
      <t>荒木田・池田</t>
    </r>
    <r>
      <rPr>
        <sz val="9"/>
        <color rgb="FFC00000"/>
        <rFont val="Arial"/>
        <family val="2"/>
      </rPr>
      <t>)</t>
    </r>
    <r>
      <rPr>
        <sz val="9"/>
        <color rgb="FFC00000"/>
        <rFont val="WenQuanYi Zen Hei"/>
        <family val="2"/>
      </rPr>
      <t>、進行</t>
    </r>
    <r>
      <rPr>
        <sz val="9"/>
        <color rgb="FFC00000"/>
        <rFont val="Arial"/>
        <family val="2"/>
      </rPr>
      <t>(</t>
    </r>
    <r>
      <rPr>
        <sz val="9"/>
        <color rgb="FFC00000"/>
        <rFont val="WenQuanYi Zen Hei"/>
        <family val="2"/>
      </rPr>
      <t>吉田・</t>
    </r>
    <r>
      <rPr>
        <sz val="9"/>
        <color rgb="FFC00000"/>
        <rFont val="Arial"/>
        <family val="2"/>
      </rPr>
      <t>Gerry)</t>
    </r>
    <r>
      <rPr>
        <sz val="9"/>
        <color rgb="FFC00000"/>
        <rFont val="WenQuanYi Zen Hei"/>
        <family val="2"/>
      </rPr>
      <t>、ノート</t>
    </r>
    <r>
      <rPr>
        <sz val="9"/>
        <color rgb="FFC00000"/>
        <rFont val="Arial"/>
        <family val="2"/>
      </rPr>
      <t>(Gerry</t>
    </r>
    <r>
      <rPr>
        <sz val="9"/>
        <color rgb="FFC00000"/>
        <rFont val="WenQuanYi Zen Hei"/>
        <family val="2"/>
      </rPr>
      <t>・</t>
    </r>
    <r>
      <rPr>
        <sz val="9"/>
        <color rgb="FFC00000"/>
        <rFont val="Arial"/>
        <family val="2"/>
      </rPr>
      <t>Mizan)</t>
    </r>
    <r>
      <rPr>
        <sz val="9"/>
        <color rgb="FFC00000"/>
        <rFont val="WenQuanYi Zen Hei"/>
        <family val="2"/>
      </rPr>
      <t>、受付</t>
    </r>
    <r>
      <rPr>
        <sz val="9"/>
        <color rgb="FFC00000"/>
        <rFont val="Arial"/>
        <family val="2"/>
      </rPr>
      <t>(</t>
    </r>
    <r>
      <rPr>
        <sz val="9"/>
        <color rgb="FFC00000"/>
        <rFont val="WenQuanYi Zen Hei"/>
        <family val="2"/>
      </rPr>
      <t>藤中・田中</t>
    </r>
    <r>
      <rPr>
        <sz val="9"/>
        <color rgb="FFC00000"/>
        <rFont val="Arial"/>
        <family val="2"/>
      </rPr>
      <t>)</t>
    </r>
    <r>
      <rPr>
        <sz val="9"/>
        <color rgb="FFC00000"/>
        <rFont val="WenQuanYi Zen Hei"/>
        <family val="2"/>
      </rPr>
      <t>で全員が張り付き、写真・バイ会談・急病等の予備要員がゼロ。</t>
    </r>
    <r>
      <rPr>
        <sz val="9"/>
        <color rgb="FFC00000"/>
        <rFont val="Arial"/>
        <family val="2"/>
      </rPr>
      <t>(4) Gala</t>
    </r>
    <r>
      <rPr>
        <sz val="9"/>
        <color rgb="FFC00000"/>
        <rFont val="WenQuanYi Zen Hei"/>
        <family val="2"/>
      </rPr>
      <t>出発</t>
    </r>
    <r>
      <rPr>
        <sz val="9"/>
        <color rgb="FFC00000"/>
        <rFont val="Arial"/>
        <family val="2"/>
      </rPr>
      <t>17:30</t>
    </r>
    <r>
      <rPr>
        <sz val="9"/>
        <color rgb="FFC00000"/>
        <rFont val="WenQuanYi Zen Hei"/>
        <family val="2"/>
      </rPr>
      <t>は</t>
    </r>
    <r>
      <rPr>
        <sz val="9"/>
        <color rgb="FFC00000"/>
        <rFont val="Arial"/>
        <family val="2"/>
      </rPr>
      <t>SC</t>
    </r>
    <r>
      <rPr>
        <sz val="9"/>
        <color rgb="FFC00000"/>
        <rFont val="WenQuanYi Zen Hei"/>
        <family val="2"/>
      </rPr>
      <t>終了</t>
    </r>
    <r>
      <rPr>
        <sz val="9"/>
        <color rgb="FFC00000"/>
        <rFont val="Arial"/>
        <family val="2"/>
      </rPr>
      <t>16:45</t>
    </r>
    <r>
      <rPr>
        <sz val="9"/>
        <color rgb="FFC00000"/>
        <rFont val="WenQuanYi Zen Hei"/>
        <family val="2"/>
      </rPr>
      <t>の</t>
    </r>
    <r>
      <rPr>
        <sz val="9"/>
        <color rgb="FFC00000"/>
        <rFont val="Arial"/>
        <family val="2"/>
      </rPr>
      <t>45</t>
    </r>
    <r>
      <rPr>
        <sz val="9"/>
        <color rgb="FFC00000"/>
        <rFont val="WenQuanYi Zen Hei"/>
        <family val="2"/>
      </rPr>
      <t>分後で、撤収要員が不足。</t>
    </r>
  </si>
  <si>
    <t>29 OCT 2026 (THU)  Day 2: Technical Session / Closing / Field Trip (CDA) / SCDF Parade &amp; Dinner</t>
  </si>
  <si>
    <r>
      <rPr>
        <sz val="8"/>
        <color rgb="FF000000"/>
        <rFont val="WenQuanYi Zen Hei"/>
        <family val="2"/>
      </rPr>
      <t>会場準備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ステージ前方へ・テーブルマイク</t>
    </r>
    <r>
      <rPr>
        <sz val="8"/>
        <color rgb="FF000000"/>
        <rFont val="Arial"/>
        <family val="2"/>
      </rPr>
      <t>)</t>
    </r>
    <r>
      <rPr>
        <sz val="8"/>
        <color rgb="FF000000"/>
        <rFont val="WenQuanYi Zen Hei"/>
        <family val="2"/>
      </rPr>
      <t>／登壇者集合・接続確認</t>
    </r>
  </si>
  <si>
    <t>Technical Session (Peridot) SCDF+ADRC Co-Chair</t>
  </si>
  <si>
    <t>Summary &amp; Closing</t>
  </si>
  <si>
    <t>Lunch</t>
  </si>
  <si>
    <r>
      <rPr>
        <sz val="8"/>
        <color rgb="FF000000"/>
        <rFont val="Arial"/>
        <family val="2"/>
      </rPr>
      <t>Field Trip: Civil Defence Academy</t>
    </r>
    <r>
      <rPr>
        <sz val="8"/>
        <color rgb="FF000000"/>
        <rFont val="WenQuanYi Zen Hei"/>
        <family val="2"/>
      </rPr>
      <t>（</t>
    </r>
    <r>
      <rPr>
        <sz val="8"/>
        <color rgb="FF000000"/>
        <rFont val="Arial"/>
        <family val="2"/>
      </rPr>
      <t>Flyer 8/26</t>
    </r>
    <r>
      <rPr>
        <sz val="8"/>
        <color rgb="FF000000"/>
        <rFont val="WenQuanYi Zen Hei"/>
        <family val="2"/>
      </rPr>
      <t>版は</t>
    </r>
    <r>
      <rPr>
        <sz val="8"/>
        <color rgb="FF000000"/>
        <rFont val="Arial"/>
        <family val="2"/>
      </rPr>
      <t>13:00</t>
    </r>
    <r>
      <rPr>
        <sz val="8"/>
        <color rgb="FF000000"/>
        <rFont val="WenQuanYi Zen Hei"/>
        <family val="2"/>
      </rPr>
      <t>発）</t>
    </r>
  </si>
  <si>
    <t>SCDF Parade (Hall 4)</t>
  </si>
  <si>
    <t>Parade Dinner (Garnet Room)</t>
  </si>
  <si>
    <t>Field Trip</t>
  </si>
  <si>
    <t>Parade &amp; Dinner</t>
  </si>
  <si>
    <r>
      <rPr>
        <sz val="8"/>
        <color rgb="FF000000"/>
        <rFont val="Arial"/>
        <family val="2"/>
      </rPr>
      <t>Field Trip(</t>
    </r>
    <r>
      <rPr>
        <sz val="8"/>
        <color rgb="FF000000"/>
        <rFont val="WenQuanYi Zen Hei"/>
        <family val="2"/>
      </rPr>
      <t>任意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</si>
  <si>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Arial"/>
        <family val="2"/>
      </rPr>
      <t>Tech Session/Closing(</t>
    </r>
    <r>
      <rPr>
        <sz val="8"/>
        <color rgb="FF000000"/>
        <rFont val="WenQuanYi Zen Hei"/>
        <family val="2"/>
      </rPr>
      <t>内閣府随行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</si>
  <si>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WenQuanYi Zen Hei"/>
        <family val="2"/>
      </rPr>
      <t>内閣府随行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バイ会談</t>
    </r>
  </si>
  <si>
    <t>会場準備</t>
  </si>
  <si>
    <r>
      <rPr>
        <sz val="8"/>
        <color rgb="FF000000"/>
        <rFont val="Arial"/>
        <family val="2"/>
      </rPr>
      <t>Tech Session(</t>
    </r>
    <r>
      <rPr>
        <sz val="8"/>
        <color rgb="FF000000"/>
        <rFont val="WenQuanYi Zen Hei"/>
        <family val="2"/>
      </rPr>
      <t>バイ会談調整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</si>
  <si>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WenQuanYi Zen Hei"/>
        <family val="2"/>
      </rPr>
      <t>事務局撤収</t>
    </r>
    <r>
      <rPr>
        <sz val="8"/>
        <color rgb="FF000000"/>
        <rFont val="Arial"/>
        <family val="2"/>
      </rPr>
      <t>/Day3</t>
    </r>
    <r>
      <rPr>
        <sz val="8"/>
        <color rgb="FF000000"/>
        <rFont val="WenQuanYi Zen Hei"/>
        <family val="2"/>
      </rPr>
      <t>準備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バイ会談</t>
    </r>
  </si>
  <si>
    <r>
      <rPr>
        <sz val="8"/>
        <color rgb="FF000000"/>
        <rFont val="Arial"/>
        <family val="2"/>
      </rPr>
      <t>AV/Zoom</t>
    </r>
    <r>
      <rPr>
        <sz val="8"/>
        <color rgb="FF000000"/>
        <rFont val="WenQuanYi Zen Hei"/>
        <family val="2"/>
      </rPr>
      <t>準備・登壇者確認</t>
    </r>
  </si>
  <si>
    <r>
      <rPr>
        <sz val="8"/>
        <color rgb="FF000000"/>
        <rFont val="Arial"/>
        <family val="2"/>
      </rPr>
      <t>Tech Session AV/Zoom</t>
    </r>
    <r>
      <rPr>
        <sz val="8"/>
        <color rgb="FF000000"/>
        <rFont val="WenQuanYi Zen Hei"/>
        <family val="2"/>
      </rPr>
      <t>運用</t>
    </r>
  </si>
  <si>
    <r>
      <rPr>
        <sz val="8"/>
        <color rgb="FF000000"/>
        <rFont val="Arial"/>
        <family val="2"/>
      </rPr>
      <t>Summary/Closing</t>
    </r>
    <r>
      <rPr>
        <sz val="8"/>
        <color rgb="FF000000"/>
        <rFont val="WenQuanYi Zen Hei"/>
        <family val="2"/>
      </rPr>
      <t>進行</t>
    </r>
  </si>
  <si>
    <r>
      <rPr>
        <sz val="8"/>
        <color rgb="FF000000"/>
        <rFont val="Arial"/>
        <family val="2"/>
      </rPr>
      <t>Field Trip</t>
    </r>
    <r>
      <rPr>
        <sz val="8"/>
        <color rgb="FF000000"/>
        <rFont val="WenQuanYi Zen Hei"/>
        <family val="2"/>
      </rPr>
      <t>引率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バス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</si>
  <si>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WenQuanYi Zen Hei"/>
        <family val="2"/>
      </rPr>
      <t>参加者誘導・</t>
    </r>
    <r>
      <rPr>
        <sz val="8"/>
        <color rgb="FF000000"/>
        <rFont val="Arial"/>
        <family val="2"/>
      </rPr>
      <t>Field Trip</t>
    </r>
    <r>
      <rPr>
        <sz val="8"/>
        <color rgb="FF000000"/>
        <rFont val="WenQuanYi Zen Hei"/>
        <family val="2"/>
      </rPr>
      <t>名簿</t>
    </r>
  </si>
  <si>
    <r>
      <rPr>
        <sz val="8"/>
        <color rgb="FF000000"/>
        <rFont val="Arial"/>
        <family val="2"/>
      </rPr>
      <t>Tech Session</t>
    </r>
    <r>
      <rPr>
        <sz val="8"/>
        <color rgb="FF000000"/>
        <rFont val="WenQuanYi Zen Hei"/>
        <family val="2"/>
      </rPr>
      <t>記録</t>
    </r>
  </si>
  <si>
    <r>
      <rPr>
        <sz val="8"/>
        <color rgb="FF000000"/>
        <rFont val="WenQuanYi Zen Hei"/>
        <family val="2"/>
      </rPr>
      <t>受付デスク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支払・清算</t>
    </r>
  </si>
  <si>
    <r>
      <rPr>
        <sz val="8"/>
        <color rgb="FF000000"/>
        <rFont val="WenQuanYi Zen Hei"/>
        <family val="2"/>
      </rPr>
      <t>事務局撤収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ホテル・バス精算</t>
    </r>
  </si>
  <si>
    <r>
      <rPr>
        <sz val="8"/>
        <color rgb="FF000000"/>
        <rFont val="WenQuanYi Zen Hei"/>
        <family val="2"/>
      </rPr>
      <t>受付デスク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登壇者受付</t>
    </r>
  </si>
  <si>
    <r>
      <rPr>
        <sz val="8"/>
        <color rgb="FF000000"/>
        <rFont val="Arial"/>
        <family val="2"/>
      </rPr>
      <t>Field Trip</t>
    </r>
    <r>
      <rPr>
        <sz val="8"/>
        <color rgb="FF000000"/>
        <rFont val="WenQuanYi Zen Hei"/>
        <family val="2"/>
      </rPr>
      <t>名簿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バス点呼</t>
    </r>
  </si>
  <si>
    <t>登壇者集合・スライド確認</t>
  </si>
  <si>
    <r>
      <rPr>
        <sz val="8"/>
        <color rgb="FF000000"/>
        <rFont val="Arial"/>
        <family val="2"/>
      </rPr>
      <t>SIDEX</t>
    </r>
    <r>
      <rPr>
        <sz val="8"/>
        <color rgb="FF000000"/>
        <rFont val="WenQuanYi Zen Hei"/>
        <family val="2"/>
      </rPr>
      <t>展示</t>
    </r>
    <r>
      <rPr>
        <sz val="8"/>
        <color rgb="FF000000"/>
        <rFont val="Arial"/>
        <family val="2"/>
      </rPr>
      <t>/Japan Pavilion</t>
    </r>
    <r>
      <rPr>
        <sz val="8"/>
        <color rgb="FF000000"/>
        <rFont val="WenQuanYi Zen Hei"/>
        <family val="2"/>
      </rPr>
      <t>調整</t>
    </r>
  </si>
  <si>
    <r>
      <rPr>
        <sz val="8"/>
        <color rgb="FF000000"/>
        <rFont val="Arial"/>
        <family val="2"/>
      </rPr>
      <t>Draft Summary</t>
    </r>
    <r>
      <rPr>
        <sz val="8"/>
        <color rgb="FF000000"/>
        <rFont val="WenQuanYi Zen Hei"/>
        <family val="2"/>
      </rPr>
      <t>仕上げ</t>
    </r>
  </si>
  <si>
    <r>
      <rPr>
        <sz val="8"/>
        <color rgb="FF000000"/>
        <rFont val="Arial"/>
        <family val="2"/>
      </rPr>
      <t>Tech Session</t>
    </r>
    <r>
      <rPr>
        <sz val="8"/>
        <color rgb="FF000000"/>
        <rFont val="WenQuanYi Zen Hei"/>
        <family val="2"/>
      </rPr>
      <t>ノート</t>
    </r>
  </si>
  <si>
    <t>Summary</t>
  </si>
  <si>
    <t>登壇者対応・進行確認</t>
  </si>
  <si>
    <t>Tech Session ADRC Co-Chair</t>
  </si>
  <si>
    <r>
      <rPr>
        <sz val="8"/>
        <color rgb="FF000000"/>
        <rFont val="WenQuanYi Zen Hei"/>
        <family val="2"/>
      </rPr>
      <t>【推奨】</t>
    </r>
    <r>
      <rPr>
        <sz val="8"/>
        <color rgb="FF000000"/>
        <rFont val="Arial"/>
        <family val="2"/>
      </rPr>
      <t>Zoom/AI</t>
    </r>
    <r>
      <rPr>
        <sz val="8"/>
        <color rgb="FF000000"/>
        <rFont val="WenQuanYi Zen Hei"/>
        <family val="2"/>
      </rPr>
      <t>翻訳準備</t>
    </r>
  </si>
  <si>
    <r>
      <rPr>
        <sz val="8"/>
        <color rgb="FF000000"/>
        <rFont val="WenQuanYi Zen Hei"/>
        <family val="2"/>
      </rPr>
      <t>【推奨】</t>
    </r>
    <r>
      <rPr>
        <sz val="8"/>
        <color rgb="FF000000"/>
        <rFont val="Arial"/>
        <family val="2"/>
      </rPr>
      <t>Field Trip</t>
    </r>
    <r>
      <rPr>
        <sz val="8"/>
        <color rgb="FF000000"/>
        <rFont val="WenQuanYi Zen Hei"/>
        <family val="2"/>
      </rPr>
      <t xml:space="preserve">写真 </t>
    </r>
    <r>
      <rPr>
        <sz val="8"/>
        <color rgb="FF000000"/>
        <rFont val="Arial"/>
        <family val="2"/>
      </rPr>
      <t xml:space="preserve">or </t>
    </r>
    <r>
      <rPr>
        <sz val="8"/>
        <color rgb="FF000000"/>
        <rFont val="WenQuanYi Zen Hei"/>
        <family val="2"/>
      </rPr>
      <t>事務局撤収</t>
    </r>
  </si>
  <si>
    <r>
      <rPr>
        <sz val="8"/>
        <color rgb="FF000000"/>
        <rFont val="WenQuanYi Zen Hei"/>
        <family val="2"/>
      </rPr>
      <t>【推奨】</t>
    </r>
    <r>
      <rPr>
        <sz val="8"/>
        <color rgb="FF000000"/>
        <rFont val="Arial"/>
        <family val="2"/>
      </rPr>
      <t>Parade(</t>
    </r>
    <r>
      <rPr>
        <sz val="8"/>
        <color rgb="FF000000"/>
        <rFont val="WenQuanYi Zen Hei"/>
        <family val="2"/>
      </rPr>
      <t>写真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</si>
  <si>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WenQuanYi Zen Hei"/>
        <family val="2"/>
      </rPr>
      <t>【推奨】登壇者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ウズベキスタン</t>
    </r>
    <r>
      <rPr>
        <sz val="8"/>
        <color rgb="FF000000"/>
        <rFont val="Arial"/>
        <family val="2"/>
      </rPr>
      <t>)</t>
    </r>
    <r>
      <rPr>
        <sz val="8"/>
        <color rgb="FF000000"/>
        <rFont val="WenQuanYi Zen Hei"/>
        <family val="2"/>
      </rPr>
      <t>対応</t>
    </r>
  </si>
  <si>
    <r>
      <rPr>
        <sz val="8"/>
        <color rgb="FF000000"/>
        <rFont val="WenQuanYi Zen Hei"/>
        <family val="2"/>
      </rPr>
      <t>【推奨】</t>
    </r>
    <r>
      <rPr>
        <sz val="8"/>
        <color rgb="FF000000"/>
        <rFont val="Arial"/>
        <family val="2"/>
      </rPr>
      <t>Tech Session</t>
    </r>
    <r>
      <rPr>
        <sz val="8"/>
        <color rgb="FF000000"/>
        <rFont val="WenQuanYi Zen Hei"/>
        <family val="2"/>
      </rPr>
      <t>記録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サマリー補助</t>
    </r>
  </si>
  <si>
    <r>
      <rPr>
        <sz val="8"/>
        <color rgb="FF000000"/>
        <rFont val="WenQuanYi Zen Hei"/>
        <family val="2"/>
      </rPr>
      <t>【推奨】</t>
    </r>
    <r>
      <rPr>
        <sz val="8"/>
        <color rgb="FF000000"/>
        <rFont val="Arial"/>
        <family val="2"/>
      </rPr>
      <t>Field Trip</t>
    </r>
  </si>
  <si>
    <r>
      <rPr>
        <sz val="8"/>
        <color rgb="FF000000"/>
        <rFont val="WenQuanYi Zen Hei"/>
        <family val="2"/>
      </rPr>
      <t>【推奨】</t>
    </r>
    <r>
      <rPr>
        <sz val="8"/>
        <color rgb="FF000000"/>
        <rFont val="Arial"/>
        <family val="2"/>
      </rPr>
      <t>Parade &amp; Dinner</t>
    </r>
  </si>
  <si>
    <r>
      <rPr>
        <sz val="9"/>
        <color rgb="FFC00000"/>
        <rFont val="WenQuanYi Zen Hei"/>
        <family val="2"/>
      </rPr>
      <t>ギャップ</t>
    </r>
    <r>
      <rPr>
        <sz val="9"/>
        <color rgb="FFC00000"/>
        <rFont val="Arial"/>
        <family val="2"/>
      </rPr>
      <t>: (1) Technical Session</t>
    </r>
    <r>
      <rPr>
        <sz val="9"/>
        <color rgb="FFC00000"/>
        <rFont val="WenQuanYi Zen Hei"/>
        <family val="2"/>
      </rPr>
      <t>は</t>
    </r>
    <r>
      <rPr>
        <sz val="9"/>
        <color rgb="FFC00000"/>
        <rFont val="Arial"/>
        <family val="2"/>
      </rPr>
      <t>Mizan=Co-Chair</t>
    </r>
    <r>
      <rPr>
        <sz val="9"/>
        <color rgb="FFC00000"/>
        <rFont val="WenQuanYi Zen Hei"/>
        <family val="2"/>
      </rPr>
      <t>、池田</t>
    </r>
    <r>
      <rPr>
        <sz val="9"/>
        <color rgb="FFC00000"/>
        <rFont val="Arial"/>
        <family val="2"/>
      </rPr>
      <t>=PIC</t>
    </r>
    <r>
      <rPr>
        <sz val="9"/>
        <color rgb="FFC00000"/>
        <rFont val="WenQuanYi Zen Hei"/>
        <family val="2"/>
      </rPr>
      <t>、荒木田</t>
    </r>
    <r>
      <rPr>
        <sz val="9"/>
        <color rgb="FFC00000"/>
        <rFont val="Arial"/>
        <family val="2"/>
      </rPr>
      <t>=AV/Zoom</t>
    </r>
    <r>
      <rPr>
        <sz val="9"/>
        <color rgb="FFC00000"/>
        <rFont val="WenQuanYi Zen Hei"/>
        <family val="2"/>
      </rPr>
      <t>で、登壇者</t>
    </r>
    <r>
      <rPr>
        <sz val="9"/>
        <color rgb="FFC00000"/>
        <rFont val="Arial"/>
        <family val="2"/>
      </rPr>
      <t>6</t>
    </r>
    <r>
      <rPr>
        <sz val="9"/>
        <color rgb="FFC00000"/>
        <rFont val="WenQuanYi Zen Hei"/>
        <family val="2"/>
      </rPr>
      <t>名（</t>
    </r>
    <r>
      <rPr>
        <sz val="9"/>
        <color rgb="FFC00000"/>
        <rFont val="Arial"/>
        <family val="2"/>
      </rPr>
      <t>JAXA</t>
    </r>
    <r>
      <rPr>
        <sz val="9"/>
        <color rgb="FFC00000"/>
        <rFont val="WenQuanYi Zen Hei"/>
        <family val="2"/>
      </rPr>
      <t>・</t>
    </r>
    <r>
      <rPr>
        <sz val="9"/>
        <color rgb="FFC00000"/>
        <rFont val="Arial"/>
        <family val="2"/>
      </rPr>
      <t>EOS-NTU/BRIN</t>
    </r>
    <r>
      <rPr>
        <sz val="9"/>
        <color rgb="FFC00000"/>
        <rFont val="WenQuanYi Zen Hei"/>
        <family val="2"/>
      </rPr>
      <t>・</t>
    </r>
    <r>
      <rPr>
        <sz val="9"/>
        <color rgb="FFC00000"/>
        <rFont val="Arial"/>
        <family val="2"/>
      </rPr>
      <t>DOST/</t>
    </r>
    <r>
      <rPr>
        <sz val="9"/>
        <color rgb="FFC00000"/>
        <rFont val="WenQuanYi Zen Hei"/>
        <family val="2"/>
      </rPr>
      <t>ネパール・</t>
    </r>
    <r>
      <rPr>
        <sz val="9"/>
        <color rgb="FFC00000"/>
        <rFont val="Arial"/>
        <family val="2"/>
      </rPr>
      <t>Google</t>
    </r>
    <r>
      <rPr>
        <sz val="9"/>
        <color rgb="FFC00000"/>
        <rFont val="WenQuanYi Zen Hei"/>
        <family val="2"/>
      </rPr>
      <t>・ウズベキスタン・日本）の個別対応と時間管理を行う『フロア担当』が不在。</t>
    </r>
    <r>
      <rPr>
        <sz val="9"/>
        <color rgb="FFC00000"/>
        <rFont val="Arial"/>
        <family val="2"/>
      </rPr>
      <t>(2) 11:45-12:00</t>
    </r>
    <r>
      <rPr>
        <sz val="9"/>
        <color rgb="FFC00000"/>
        <rFont val="WenQuanYi Zen Hei"/>
        <family val="2"/>
      </rPr>
      <t>の</t>
    </r>
    <r>
      <rPr>
        <sz val="9"/>
        <color rgb="FFC00000"/>
        <rFont val="Arial"/>
        <family val="2"/>
      </rPr>
      <t>Summary &amp; Closing</t>
    </r>
    <r>
      <rPr>
        <sz val="9"/>
        <color rgb="FFC00000"/>
        <rFont val="WenQuanYi Zen Hei"/>
        <family val="2"/>
      </rPr>
      <t>は</t>
    </r>
    <r>
      <rPr>
        <sz val="9"/>
        <color rgb="FFC00000"/>
        <rFont val="Arial"/>
        <family val="2"/>
      </rPr>
      <t>RT(</t>
    </r>
    <r>
      <rPr>
        <sz val="9"/>
        <color rgb="FFC00000"/>
        <rFont val="WenQuanYi Zen Hei"/>
        <family val="2"/>
      </rPr>
      <t>前日</t>
    </r>
    <r>
      <rPr>
        <sz val="9"/>
        <color rgb="FFC00000"/>
        <rFont val="Arial"/>
        <family val="2"/>
      </rPr>
      <t>)</t>
    </r>
    <r>
      <rPr>
        <sz val="9"/>
        <color rgb="FFC00000"/>
        <rFont val="WenQuanYi Zen Hei"/>
        <family val="2"/>
      </rPr>
      <t>の要約が前提で、</t>
    </r>
    <r>
      <rPr>
        <sz val="9"/>
        <color rgb="FFC00000"/>
        <rFont val="Arial"/>
        <family val="2"/>
      </rPr>
      <t>Gerry</t>
    </r>
    <r>
      <rPr>
        <sz val="9"/>
        <color rgb="FFC00000"/>
        <rFont val="WenQuanYi Zen Hei"/>
        <family val="2"/>
      </rPr>
      <t>が前夜〜当朝に単独で執筆する構造。塩見の記録補助があれば負荷分散できる。</t>
    </r>
    <r>
      <rPr>
        <sz val="9"/>
        <color rgb="FFC00000"/>
        <rFont val="Arial"/>
        <family val="2"/>
      </rPr>
      <t>(3) Field Trip(13:00</t>
    </r>
    <r>
      <rPr>
        <sz val="9"/>
        <color rgb="FFC00000"/>
        <rFont val="WenQuanYi Zen Hei"/>
        <family val="2"/>
      </rPr>
      <t>発</t>
    </r>
    <r>
      <rPr>
        <sz val="9"/>
        <color rgb="FFC00000"/>
        <rFont val="Arial"/>
        <family val="2"/>
      </rPr>
      <t>)</t>
    </r>
    <r>
      <rPr>
        <sz val="9"/>
        <color rgb="FFC00000"/>
        <rFont val="WenQuanYi Zen Hei"/>
        <family val="2"/>
      </rPr>
      <t>と事務局撤収・</t>
    </r>
    <r>
      <rPr>
        <sz val="9"/>
        <color rgb="FFC00000"/>
        <rFont val="Arial"/>
        <family val="2"/>
      </rPr>
      <t>Day3</t>
    </r>
    <r>
      <rPr>
        <sz val="9"/>
        <color rgb="FFC00000"/>
        <rFont val="WenQuanYi Zen Hei"/>
        <family val="2"/>
      </rPr>
      <t>準備・バイ会談が同時進行し、荒木田・吉田・田中が引率で抜けるため、会場に残るのは児玉・藤中・池田。</t>
    </r>
  </si>
  <si>
    <r>
      <rPr>
        <b/>
        <sz val="12"/>
        <color rgb="FF1F4E78"/>
        <rFont val="Arial"/>
        <family val="2"/>
      </rPr>
      <t xml:space="preserve">30 OCT 2026 (FRI)  Day 3: SIDEX-ACDR Keynote / Panels / Exhibition Tour / Closing / </t>
    </r>
    <r>
      <rPr>
        <b/>
        <sz val="12"/>
        <color rgb="FF1F4E78"/>
        <rFont val="WenQuanYi Zen Hei"/>
        <family val="2"/>
      </rPr>
      <t>出発</t>
    </r>
  </si>
  <si>
    <t>Keynote &amp; Panel 1 (Hall 3)</t>
  </si>
  <si>
    <t>Exhibition Tour</t>
  </si>
  <si>
    <t>Panel 2</t>
  </si>
  <si>
    <t>Closing Ceremony</t>
  </si>
  <si>
    <r>
      <rPr>
        <sz val="8"/>
        <color rgb="FF000000"/>
        <rFont val="WenQuanYi Zen Hei"/>
        <family val="2"/>
      </rPr>
      <t>出発</t>
    </r>
    <r>
      <rPr>
        <sz val="8"/>
        <color rgb="FF000000"/>
        <rFont val="Arial"/>
        <family val="2"/>
      </rPr>
      <t xml:space="preserve">: </t>
    </r>
    <r>
      <rPr>
        <sz val="8"/>
        <color rgb="FF000000"/>
        <rFont val="WenQuanYi Zen Hei"/>
        <family val="2"/>
      </rPr>
      <t>荒木田</t>
    </r>
    <r>
      <rPr>
        <sz val="8"/>
        <color rgb="FF000000"/>
        <rFont val="Arial"/>
        <family val="2"/>
      </rPr>
      <t>22:20/</t>
    </r>
    <r>
      <rPr>
        <sz val="8"/>
        <color rgb="FF000000"/>
        <rFont val="WenQuanYi Zen Hei"/>
        <family val="2"/>
      </rPr>
      <t>北本</t>
    </r>
    <r>
      <rPr>
        <sz val="8"/>
        <color rgb="FF000000"/>
        <rFont val="Arial"/>
        <family val="2"/>
      </rPr>
      <t>23:55/</t>
    </r>
    <r>
      <rPr>
        <sz val="8"/>
        <color rgb="FF000000"/>
        <rFont val="WenQuanYi Zen Hei"/>
        <family val="2"/>
      </rPr>
      <t>吉田</t>
    </r>
    <r>
      <rPr>
        <sz val="8"/>
        <color rgb="FF000000"/>
        <rFont val="Arial"/>
        <family val="2"/>
      </rPr>
      <t>23:15/</t>
    </r>
    <r>
      <rPr>
        <sz val="8"/>
        <color rgb="FF000000"/>
        <rFont val="WenQuanYi Zen Hei"/>
        <family val="2"/>
      </rPr>
      <t>アゼルバイジャン</t>
    </r>
    <r>
      <rPr>
        <sz val="8"/>
        <color rgb="FF000000"/>
        <rFont val="Arial"/>
        <family val="2"/>
      </rPr>
      <t>23:15/</t>
    </r>
    <r>
      <rPr>
        <sz val="8"/>
        <color rgb="FF000000"/>
        <rFont val="WenQuanYi Zen Hei"/>
        <family val="2"/>
      </rPr>
      <t>インドネシア</t>
    </r>
    <r>
      <rPr>
        <sz val="8"/>
        <color rgb="FF000000"/>
        <rFont val="Arial"/>
        <family val="2"/>
      </rPr>
      <t>22:40/</t>
    </r>
    <r>
      <rPr>
        <sz val="8"/>
        <color rgb="FF000000"/>
        <rFont val="WenQuanYi Zen Hei"/>
        <family val="2"/>
      </rPr>
      <t>モンゴル</t>
    </r>
    <r>
      <rPr>
        <sz val="8"/>
        <color rgb="FF000000"/>
        <rFont val="Arial"/>
        <family val="2"/>
      </rPr>
      <t>23:55</t>
    </r>
    <r>
      <rPr>
        <sz val="8"/>
        <color rgb="FF000000"/>
        <rFont val="WenQuanYi Zen Hei"/>
        <family val="2"/>
      </rPr>
      <t>、三浦・韓国は</t>
    </r>
    <r>
      <rPr>
        <sz val="8"/>
        <color rgb="FF000000"/>
        <rFont val="Arial"/>
        <family val="2"/>
      </rPr>
      <t>10/31 01:20-01:35</t>
    </r>
  </si>
  <si>
    <t>Keynote/Panel1</t>
  </si>
  <si>
    <t>Exhibition Tour/Panel2/Closing</t>
  </si>
  <si>
    <r>
      <rPr>
        <sz val="8"/>
        <color rgb="FF000000"/>
        <rFont val="WenQuanYi Zen Hei"/>
        <family val="2"/>
      </rPr>
      <t>空港へ</t>
    </r>
    <r>
      <rPr>
        <sz val="8"/>
        <color rgb="FF000000"/>
        <rFont val="Arial"/>
        <family val="2"/>
      </rPr>
      <t>(SQ656 01:20)</t>
    </r>
  </si>
  <si>
    <r>
      <rPr>
        <sz val="8"/>
        <color rgb="FF000000"/>
        <rFont val="WenQuanYi Zen Hei"/>
        <family val="2"/>
      </rPr>
      <t>空港へ</t>
    </r>
    <r>
      <rPr>
        <sz val="8"/>
        <color rgb="FF000000"/>
        <rFont val="Arial"/>
        <family val="2"/>
      </rPr>
      <t>(SQ638 23:55)</t>
    </r>
  </si>
  <si>
    <r>
      <rPr>
        <sz val="8"/>
        <color rgb="FF000000"/>
        <rFont val="Arial"/>
        <family val="2"/>
      </rPr>
      <t>Keynote/Panel1(</t>
    </r>
    <r>
      <rPr>
        <sz val="8"/>
        <color rgb="FF000000"/>
        <rFont val="WenQuanYi Zen Hei"/>
        <family val="2"/>
      </rPr>
      <t>内閣府随行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</si>
  <si>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WenQuanYi Zen Hei"/>
        <family val="2"/>
      </rPr>
      <t>内閣府見送り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総括</t>
    </r>
  </si>
  <si>
    <r>
      <rPr>
        <sz val="8"/>
        <color rgb="FF000000"/>
        <rFont val="WenQuanYi Zen Hei"/>
        <family val="2"/>
      </rPr>
      <t>出発対応</t>
    </r>
    <r>
      <rPr>
        <sz val="8"/>
        <color rgb="FF000000"/>
        <rFont val="Arial"/>
        <family val="2"/>
      </rPr>
      <t>(Dorsett)</t>
    </r>
    <r>
      <rPr>
        <sz val="8"/>
        <color rgb="FF000000"/>
        <rFont val="WenQuanYi Zen Hei"/>
        <family val="2"/>
      </rPr>
      <t>・</t>
    </r>
    <r>
      <rPr>
        <sz val="8"/>
        <color rgb="FF000000"/>
        <rFont val="Arial"/>
        <family val="2"/>
      </rPr>
      <t>COSEM</t>
    </r>
    <r>
      <rPr>
        <sz val="8"/>
        <color rgb="FF000000"/>
        <rFont val="WenQuanYi Zen Hei"/>
        <family val="2"/>
      </rPr>
      <t>精算打合せ</t>
    </r>
  </si>
  <si>
    <r>
      <rPr>
        <sz val="8"/>
        <color rgb="FF000000"/>
        <rFont val="Arial"/>
        <family val="2"/>
      </rPr>
      <t>Keynote/Panel1(</t>
    </r>
    <r>
      <rPr>
        <sz val="8"/>
        <color rgb="FF000000"/>
        <rFont val="WenQuanYi Zen Hei"/>
        <family val="2"/>
      </rPr>
      <t>リソース対応</t>
    </r>
    <r>
      <rPr>
        <sz val="8"/>
        <color rgb="FF000000"/>
        <rFont val="Arial"/>
        <family val="2"/>
      </rPr>
      <t>)</t>
    </r>
  </si>
  <si>
    <t>総括・引継ぎ</t>
  </si>
  <si>
    <r>
      <rPr>
        <sz val="8"/>
        <color rgb="FF000000"/>
        <rFont val="WenQuanYi Zen Hei"/>
        <family val="2"/>
      </rPr>
      <t>空港へ</t>
    </r>
    <r>
      <rPr>
        <sz val="8"/>
        <color rgb="FF000000"/>
        <rFont val="Arial"/>
        <family val="2"/>
      </rPr>
      <t>(NH844 22:20)</t>
    </r>
  </si>
  <si>
    <t>Exhibition Tour/Panel2</t>
  </si>
  <si>
    <t>参加者出発案内</t>
  </si>
  <si>
    <r>
      <rPr>
        <sz val="8"/>
        <color rgb="FF000000"/>
        <rFont val="WenQuanYi Zen Hei"/>
        <family val="2"/>
      </rPr>
      <t>空港へ</t>
    </r>
    <r>
      <rPr>
        <sz val="8"/>
        <color rgb="FF000000"/>
        <rFont val="Arial"/>
        <family val="2"/>
      </rPr>
      <t>(TK55 23:15)</t>
    </r>
  </si>
  <si>
    <r>
      <rPr>
        <sz val="8"/>
        <color rgb="FF000000"/>
        <rFont val="WenQuanYi Zen Hei"/>
        <family val="2"/>
      </rPr>
      <t>受付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清算</t>
    </r>
  </si>
  <si>
    <r>
      <rPr>
        <sz val="8"/>
        <color rgb="FF000000"/>
        <rFont val="WenQuanYi Zen Hei"/>
        <family val="2"/>
      </rPr>
      <t>会場</t>
    </r>
    <r>
      <rPr>
        <sz val="8"/>
        <color rgb="FF000000"/>
        <rFont val="Arial"/>
        <family val="2"/>
      </rPr>
      <t>(</t>
    </r>
    <r>
      <rPr>
        <sz val="8"/>
        <color rgb="FF000000"/>
        <rFont val="WenQuanYi Zen Hei"/>
        <family val="2"/>
      </rPr>
      <t>受付</t>
    </r>
    <r>
      <rPr>
        <sz val="8"/>
        <color rgb="FF000000"/>
        <rFont val="Arial"/>
        <family val="2"/>
      </rPr>
      <t>)</t>
    </r>
  </si>
  <si>
    <r>
      <rPr>
        <sz val="8"/>
        <color rgb="FF000000"/>
        <rFont val="Arial"/>
        <family val="2"/>
      </rPr>
      <t>Dorsett</t>
    </r>
    <r>
      <rPr>
        <sz val="8"/>
        <color rgb="FF000000"/>
        <rFont val="WenQuanYi Zen Hei"/>
        <family val="2"/>
      </rPr>
      <t>出発対応・支払</t>
    </r>
  </si>
  <si>
    <r>
      <rPr>
        <sz val="8"/>
        <color rgb="FF000000"/>
        <rFont val="Arial"/>
        <family val="2"/>
      </rPr>
      <t>Dorsett</t>
    </r>
    <r>
      <rPr>
        <sz val="8"/>
        <color rgb="FF000000"/>
        <rFont val="WenQuanYi Zen Hei"/>
        <family val="2"/>
      </rPr>
      <t>出発対応・送迎確認</t>
    </r>
  </si>
  <si>
    <r>
      <rPr>
        <sz val="8"/>
        <color rgb="FF000000"/>
        <rFont val="Arial"/>
        <family val="2"/>
      </rPr>
      <t>Exhibition Tour</t>
    </r>
    <r>
      <rPr>
        <sz val="8"/>
        <color rgb="FF000000"/>
        <rFont val="WenQuanYi Zen Hei"/>
        <family val="2"/>
      </rPr>
      <t>誘導</t>
    </r>
    <r>
      <rPr>
        <sz val="8"/>
        <color rgb="FF000000"/>
        <rFont val="Arial"/>
        <family val="2"/>
      </rPr>
      <t>(Japan Pavilion)</t>
    </r>
  </si>
  <si>
    <t>Panel2/Closing</t>
  </si>
  <si>
    <t>機材撤収</t>
  </si>
  <si>
    <r>
      <rPr>
        <sz val="8"/>
        <color rgb="FF000000"/>
        <rFont val="Arial"/>
        <family val="2"/>
      </rPr>
      <t>Keynote/Panel1/Summary</t>
    </r>
    <r>
      <rPr>
        <sz val="8"/>
        <color rgb="FF000000"/>
        <rFont val="WenQuanYi Zen Hei"/>
        <family val="2"/>
      </rPr>
      <t>最終化</t>
    </r>
  </si>
  <si>
    <r>
      <rPr>
        <sz val="8"/>
        <color rgb="FF000000"/>
        <rFont val="WenQuanYi Zen Hei"/>
        <family val="2"/>
      </rPr>
      <t>【推奨】</t>
    </r>
    <r>
      <rPr>
        <sz val="8"/>
        <color rgb="FF000000"/>
        <rFont val="Arial"/>
        <family val="2"/>
      </rPr>
      <t>Exhibition Tour</t>
    </r>
    <r>
      <rPr>
        <sz val="8"/>
        <color rgb="FF000000"/>
        <rFont val="WenQuanYi Zen Hei"/>
        <family val="2"/>
      </rPr>
      <t>誘導</t>
    </r>
    <r>
      <rPr>
        <sz val="8"/>
        <color rgb="FF000000"/>
        <rFont val="Arial"/>
        <family val="2"/>
      </rPr>
      <t>/</t>
    </r>
    <r>
      <rPr>
        <sz val="8"/>
        <color rgb="FF000000"/>
        <rFont val="WenQuanYi Zen Hei"/>
        <family val="2"/>
      </rPr>
      <t>写真</t>
    </r>
  </si>
  <si>
    <t>【推奨】出発対応</t>
  </si>
  <si>
    <r>
      <rPr>
        <sz val="8"/>
        <color rgb="FF000000"/>
        <rFont val="WenQuanYi Zen Hei"/>
        <family val="2"/>
      </rPr>
      <t>【推奨】</t>
    </r>
    <r>
      <rPr>
        <sz val="8"/>
        <color rgb="FF000000"/>
        <rFont val="Arial"/>
        <family val="2"/>
      </rPr>
      <t>Keynote</t>
    </r>
    <r>
      <rPr>
        <sz val="8"/>
        <color rgb="FF000000"/>
        <rFont val="WenQuanYi Zen Hei"/>
        <family val="2"/>
      </rPr>
      <t>記録</t>
    </r>
  </si>
  <si>
    <r>
      <rPr>
        <sz val="9"/>
        <color rgb="FFC00000"/>
        <rFont val="WenQuanYi Zen Hei"/>
        <family val="2"/>
      </rPr>
      <t>ギャップ</t>
    </r>
    <r>
      <rPr>
        <sz val="9"/>
        <color rgb="FFC00000"/>
        <rFont val="Arial"/>
        <family val="2"/>
      </rPr>
      <t>: (1) 10/30</t>
    </r>
    <r>
      <rPr>
        <sz val="9"/>
        <color rgb="FFC00000"/>
        <rFont val="WenQuanYi Zen Hei"/>
        <family val="2"/>
      </rPr>
      <t>夜〜</t>
    </r>
    <r>
      <rPr>
        <sz val="9"/>
        <color rgb="FFC00000"/>
        <rFont val="Arial"/>
        <family val="2"/>
      </rPr>
      <t>10/31</t>
    </r>
    <r>
      <rPr>
        <sz val="9"/>
        <color rgb="FFC00000"/>
        <rFont val="WenQuanYi Zen Hei"/>
        <family val="2"/>
      </rPr>
      <t>午前に出発が集中（メンバー国</t>
    </r>
    <r>
      <rPr>
        <sz val="9"/>
        <color rgb="FFC00000"/>
        <rFont val="Arial"/>
        <family val="2"/>
      </rPr>
      <t>15</t>
    </r>
    <r>
      <rPr>
        <sz val="9"/>
        <color rgb="FFC00000"/>
        <rFont val="WenQuanYi Zen Hei"/>
        <family val="2"/>
      </rPr>
      <t>組以上、役員</t>
    </r>
    <r>
      <rPr>
        <sz val="9"/>
        <color rgb="FFC00000"/>
        <rFont val="Arial"/>
        <family val="2"/>
      </rPr>
      <t>3</t>
    </r>
    <r>
      <rPr>
        <sz val="9"/>
        <color rgb="FFC00000"/>
        <rFont val="WenQuanYi Zen Hei"/>
        <family val="2"/>
      </rPr>
      <t>名）し、荒木田・吉田・北本・三浦が当夜に離脱。</t>
    </r>
    <r>
      <rPr>
        <sz val="9"/>
        <color rgb="FFC00000"/>
        <rFont val="Arial"/>
        <family val="2"/>
      </rPr>
      <t>10/31</t>
    </r>
    <r>
      <rPr>
        <sz val="9"/>
        <color rgb="FFC00000"/>
        <rFont val="WenQuanYi Zen Hei"/>
        <family val="2"/>
      </rPr>
      <t>朝の見送り・ホテル清算は藤中・田中・児玉・宮木・池田・</t>
    </r>
    <r>
      <rPr>
        <sz val="9"/>
        <color rgb="FFC00000"/>
        <rFont val="Arial"/>
        <family val="2"/>
      </rPr>
      <t>Gerry</t>
    </r>
    <r>
      <rPr>
        <sz val="9"/>
        <color rgb="FFC00000"/>
        <rFont val="WenQuanYi Zen Hei"/>
        <family val="2"/>
      </rPr>
      <t>で対応することになる。</t>
    </r>
    <r>
      <rPr>
        <sz val="9"/>
        <color rgb="FFC00000"/>
        <rFont val="Arial"/>
        <family val="2"/>
      </rPr>
      <t>(2) Exhibition Tour(13:50-14:50)</t>
    </r>
    <r>
      <rPr>
        <sz val="9"/>
        <color rgb="FFC00000"/>
        <rFont val="WenQuanYi Zen Hei"/>
        <family val="2"/>
      </rPr>
      <t>でメンバー国参加者を</t>
    </r>
    <r>
      <rPr>
        <sz val="9"/>
        <color rgb="FFC00000"/>
        <rFont val="Arial"/>
        <family val="2"/>
      </rPr>
      <t>Japan Pavilion</t>
    </r>
    <r>
      <rPr>
        <sz val="9"/>
        <color rgb="FFC00000"/>
        <rFont val="WenQuanYi Zen Hei"/>
        <family val="2"/>
      </rPr>
      <t>へ誘導する担当が池田</t>
    </r>
    <r>
      <rPr>
        <sz val="9"/>
        <color rgb="FFC00000"/>
        <rFont val="Arial"/>
        <family val="2"/>
      </rPr>
      <t>1</t>
    </r>
    <r>
      <rPr>
        <sz val="9"/>
        <color rgb="FFC00000"/>
        <rFont val="WenQuanYi Zen Hei"/>
        <family val="2"/>
      </rPr>
      <t>名。</t>
    </r>
  </si>
  <si>
    <t>機能別 必要人数と充足状況（現時点の確定・見込メンバーでの判定）</t>
  </si>
  <si>
    <r>
      <rPr>
        <i/>
        <sz val="9"/>
        <color rgb="FF555555"/>
        <rFont val="WenQuanYi Zen Hei"/>
        <family val="2"/>
      </rPr>
      <t>判定の前提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WenQuanYi Zen Hei"/>
        <family val="2"/>
      </rPr>
      <t>役員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WenQuanYi Zen Hei"/>
        <family val="2"/>
      </rPr>
      <t>名（三浦・北本・宮木）は</t>
    </r>
    <r>
      <rPr>
        <i/>
        <sz val="9"/>
        <color rgb="FF555555"/>
        <rFont val="Arial"/>
        <family val="2"/>
      </rPr>
      <t>VIP</t>
    </r>
    <r>
      <rPr>
        <i/>
        <sz val="9"/>
        <color rgb="FF555555"/>
        <rFont val="WenQuanYi Zen Hei"/>
        <family val="2"/>
      </rPr>
      <t>／代表として扱い運営要員に数えない。</t>
    </r>
    <r>
      <rPr>
        <i/>
        <sz val="9"/>
        <color rgb="FF555555"/>
        <rFont val="Arial"/>
        <family val="2"/>
      </rPr>
      <t>Mizan</t>
    </r>
    <r>
      <rPr>
        <i/>
        <sz val="9"/>
        <color rgb="FF555555"/>
        <rFont val="WenQuanYi Zen Hei"/>
        <family val="2"/>
      </rPr>
      <t>は</t>
    </r>
    <r>
      <rPr>
        <i/>
        <sz val="9"/>
        <color rgb="FF555555"/>
        <rFont val="Arial"/>
        <family val="2"/>
      </rPr>
      <t>Co-Chair</t>
    </r>
    <r>
      <rPr>
        <i/>
        <sz val="9"/>
        <color rgb="FF555555"/>
        <rFont val="WenQuanYi Zen Hei"/>
        <family val="2"/>
      </rPr>
      <t>前提で「見込」。</t>
    </r>
    <r>
      <rPr>
        <i/>
        <sz val="9"/>
        <color rgb="FF555555"/>
        <rFont val="Arial"/>
        <family val="2"/>
      </rPr>
      <t>SCDF/COSEM</t>
    </r>
    <r>
      <rPr>
        <i/>
        <sz val="9"/>
        <color rgb="FF555555"/>
        <rFont val="WenQuanYi Zen Hei"/>
        <family val="2"/>
      </rPr>
      <t>が</t>
    </r>
    <r>
      <rPr>
        <i/>
        <sz val="9"/>
        <color rgb="FF555555"/>
        <rFont val="Arial"/>
        <family val="2"/>
      </rPr>
      <t>MC</t>
    </r>
    <r>
      <rPr>
        <i/>
        <sz val="9"/>
        <color rgb="FF555555"/>
        <rFont val="WenQuanYi Zen Hei"/>
        <family val="2"/>
      </rPr>
      <t>・モデレーター・会場・バス・名札印刷・登録システムを担う（</t>
    </r>
    <r>
      <rPr>
        <i/>
        <sz val="9"/>
        <color rgb="FF555555"/>
        <rFont val="Arial"/>
        <family val="2"/>
      </rPr>
      <t>5</t>
    </r>
    <r>
      <rPr>
        <i/>
        <sz val="9"/>
        <color rgb="FF555555"/>
        <rFont val="WenQuanYi Zen Hei"/>
        <family val="2"/>
      </rPr>
      <t>月合同会議・</t>
    </r>
    <r>
      <rPr>
        <i/>
        <sz val="9"/>
        <color rgb="FF555555"/>
        <rFont val="Arial"/>
        <family val="2"/>
      </rPr>
      <t>8/6</t>
    </r>
    <r>
      <rPr>
        <i/>
        <sz val="9"/>
        <color rgb="FF555555"/>
        <rFont val="WenQuanYi Zen Hei"/>
        <family val="2"/>
      </rPr>
      <t>デマケ）。</t>
    </r>
  </si>
  <si>
    <t>機能</t>
  </si>
  <si>
    <t>ピーク時間帯</t>
  </si>
  <si>
    <r>
      <rPr>
        <b/>
        <sz val="10"/>
        <color rgb="FFFFFFFF"/>
        <rFont val="WenQuanYi Zen Hei"/>
        <family val="2"/>
      </rPr>
      <t>必要人数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WenQuanYi Zen Hei"/>
        <family val="2"/>
      </rPr>
      <t>目安</t>
    </r>
    <r>
      <rPr>
        <b/>
        <sz val="10"/>
        <color rgb="FFFFFFFF"/>
        <rFont val="Arial"/>
        <family val="2"/>
      </rPr>
      <t>)</t>
    </r>
  </si>
  <si>
    <t>現在の担当（確定・見込）</t>
  </si>
  <si>
    <t>充足</t>
  </si>
  <si>
    <t>ギャップ・リスク</t>
  </si>
  <si>
    <t>対応案（追加要員の配置）</t>
  </si>
  <si>
    <t>受付・参加者デスク（会場／公邸／ホテル）</t>
  </si>
  <si>
    <r>
      <rPr>
        <sz val="10"/>
        <color rgb="FF000000"/>
        <rFont val="Arial"/>
        <family val="2"/>
      </rPr>
      <t>10/26</t>
    </r>
    <r>
      <rPr>
        <sz val="10"/>
        <color rgb="FF000000"/>
        <rFont val="WenQuanYi Zen Hei"/>
        <family val="2"/>
      </rPr>
      <t>夕〜</t>
    </r>
    <r>
      <rPr>
        <sz val="10"/>
        <color rgb="FF000000"/>
        <rFont val="Arial"/>
        <family val="2"/>
      </rPr>
      <t>10/27</t>
    </r>
    <r>
      <rPr>
        <sz val="10"/>
        <color rgb="FF000000"/>
        <rFont val="WenQuanYi Zen Hei"/>
        <family val="2"/>
      </rPr>
      <t>（到着・名札配布）、</t>
    </r>
    <r>
      <rPr>
        <sz val="10"/>
        <color rgb="FF000000"/>
        <rFont val="Arial"/>
        <family val="2"/>
      </rPr>
      <t>10/28-29</t>
    </r>
    <r>
      <rPr>
        <sz val="10"/>
        <color rgb="FF000000"/>
        <rFont val="WenQuanYi Zen Hei"/>
        <family val="2"/>
      </rPr>
      <t>終日</t>
    </r>
  </si>
  <si>
    <t>3</t>
  </si>
  <si>
    <r>
      <rPr>
        <sz val="10"/>
        <color rgb="FF000000"/>
        <rFont val="WenQuanYi Zen Hei"/>
        <family val="2"/>
      </rPr>
      <t>藤中、田中（＋吉田は</t>
    </r>
    <r>
      <rPr>
        <sz val="10"/>
        <color rgb="FF000000"/>
        <rFont val="Arial"/>
        <family val="2"/>
      </rPr>
      <t>10/27</t>
    </r>
    <r>
      <rPr>
        <sz val="10"/>
        <color rgb="FF000000"/>
        <rFont val="WenQuanYi Zen Hei"/>
        <family val="2"/>
      </rPr>
      <t>夜・</t>
    </r>
    <r>
      <rPr>
        <sz val="10"/>
        <color rgb="FF000000"/>
        <rFont val="Arial"/>
        <family val="2"/>
      </rPr>
      <t>10/28</t>
    </r>
    <r>
      <rPr>
        <sz val="10"/>
        <color rgb="FF000000"/>
        <rFont val="WenQuanYi Zen Hei"/>
        <family val="2"/>
      </rPr>
      <t>午前のみ）</t>
    </r>
  </si>
  <si>
    <t>△</t>
  </si>
  <si>
    <r>
      <rPr>
        <sz val="10"/>
        <color rgb="FF000000"/>
        <rFont val="Arial"/>
        <family val="2"/>
      </rPr>
      <t>ACDR2023</t>
    </r>
    <r>
      <rPr>
        <sz val="10"/>
        <color rgb="FF000000"/>
        <rFont val="WenQuanYi Zen Hei"/>
        <family val="2"/>
      </rPr>
      <t>は</t>
    </r>
    <r>
      <rPr>
        <sz val="10"/>
        <color rgb="FF000000"/>
        <rFont val="Arial"/>
        <family val="2"/>
      </rPr>
      <t>3</t>
    </r>
    <r>
      <rPr>
        <sz val="10"/>
        <color rgb="FF000000"/>
        <rFont val="WenQuanYi Zen Hei"/>
        <family val="2"/>
      </rPr>
      <t>名体制（堀池・藤中・田中）。今回は名札セットの</t>
    </r>
    <r>
      <rPr>
        <sz val="10"/>
        <color rgb="FF000000"/>
        <rFont val="Arial"/>
        <family val="2"/>
      </rPr>
      <t>QR</t>
    </r>
    <r>
      <rPr>
        <sz val="10"/>
        <color rgb="FF000000"/>
        <rFont val="WenQuanYi Zen Hei"/>
        <family val="2"/>
      </rPr>
      <t>配布</t>
    </r>
    <r>
      <rPr>
        <sz val="10"/>
        <color rgb="FF000000"/>
        <rFont val="Arial"/>
        <family val="2"/>
      </rPr>
      <t>(100-120</t>
    </r>
    <r>
      <rPr>
        <sz val="10"/>
        <color rgb="FF000000"/>
        <rFont val="WenQuanYi Zen Hei"/>
        <family val="2"/>
      </rPr>
      <t>名</t>
    </r>
    <r>
      <rPr>
        <sz val="10"/>
        <color rgb="FF000000"/>
        <rFont val="Arial"/>
        <family val="2"/>
      </rPr>
      <t>)</t>
    </r>
    <r>
      <rPr>
        <sz val="10"/>
        <color rgb="FF000000"/>
        <rFont val="WenQuanYi Zen Hei"/>
        <family val="2"/>
      </rPr>
      <t>と宿泊</t>
    </r>
    <r>
      <rPr>
        <sz val="10"/>
        <color rgb="FF000000"/>
        <rFont val="Arial"/>
        <family val="2"/>
      </rPr>
      <t>37</t>
    </r>
    <r>
      <rPr>
        <sz val="10"/>
        <color rgb="FF000000"/>
        <rFont val="WenQuanYi Zen Hei"/>
        <family val="2"/>
      </rPr>
      <t>室</t>
    </r>
    <r>
      <rPr>
        <sz val="10"/>
        <color rgb="FF000000"/>
        <rFont val="Arial"/>
        <family val="2"/>
      </rPr>
      <t>/</t>
    </r>
    <r>
      <rPr>
        <sz val="10"/>
        <color rgb="FF000000"/>
        <rFont val="WenQuanYi Zen Hei"/>
        <family val="2"/>
      </rPr>
      <t>泊の対応が加わる。急病・遅延・ビザ問題が出ると即座に詰まる。</t>
    </r>
  </si>
  <si>
    <r>
      <rPr>
        <sz val="10"/>
        <color rgb="FF000000"/>
        <rFont val="WenQuanYi Zen Hei"/>
        <family val="2"/>
      </rPr>
      <t>藤本を</t>
    </r>
    <r>
      <rPr>
        <sz val="10"/>
        <color rgb="FF000000"/>
        <rFont val="Arial"/>
        <family val="2"/>
      </rPr>
      <t>3</t>
    </r>
    <r>
      <rPr>
        <sz val="10"/>
        <color rgb="FF000000"/>
        <rFont val="WenQuanYi Zen Hei"/>
        <family val="2"/>
      </rPr>
      <t>人目として配置（本人</t>
    </r>
    <r>
      <rPr>
        <sz val="10"/>
        <color rgb="FF000000"/>
        <rFont val="Arial"/>
        <family val="2"/>
      </rPr>
      <t>8/7</t>
    </r>
    <r>
      <rPr>
        <sz val="10"/>
        <color rgb="FF000000"/>
        <rFont val="WenQuanYi Zen Hei"/>
        <family val="2"/>
      </rPr>
      <t>『アドミサポート・会議補助なら可』）。または寺坂（デマケ上のリスト出力担当）。</t>
    </r>
  </si>
  <si>
    <r>
      <rPr>
        <sz val="10"/>
        <color rgb="FF000000"/>
        <rFont val="Arial"/>
        <family val="2"/>
      </rPr>
      <t>AV</t>
    </r>
    <r>
      <rPr>
        <sz val="10"/>
        <color rgb="FF000000"/>
        <rFont val="WenQuanYi Zen Hei"/>
        <family val="2"/>
      </rPr>
      <t>・</t>
    </r>
    <r>
      <rPr>
        <sz val="10"/>
        <color rgb="FF000000"/>
        <rFont val="Arial"/>
        <family val="2"/>
      </rPr>
      <t>PC</t>
    </r>
    <r>
      <rPr>
        <sz val="10"/>
        <color rgb="FF000000"/>
        <rFont val="WenQuanYi Zen Hei"/>
        <family val="2"/>
      </rPr>
      <t>・</t>
    </r>
    <r>
      <rPr>
        <sz val="10"/>
        <color rgb="FF000000"/>
        <rFont val="Arial"/>
        <family val="2"/>
      </rPr>
      <t>Zoom</t>
    </r>
    <r>
      <rPr>
        <sz val="10"/>
        <color rgb="FF000000"/>
        <rFont val="WenQuanYi Zen Hei"/>
        <family val="2"/>
      </rPr>
      <t>・</t>
    </r>
    <r>
      <rPr>
        <sz val="10"/>
        <color rgb="FF000000"/>
        <rFont val="Arial"/>
        <family val="2"/>
      </rPr>
      <t>AI</t>
    </r>
    <r>
      <rPr>
        <sz val="10"/>
        <color rgb="FF000000"/>
        <rFont val="WenQuanYi Zen Hei"/>
        <family val="2"/>
      </rPr>
      <t>翻訳オペレーション</t>
    </r>
  </si>
  <si>
    <r>
      <rPr>
        <sz val="10"/>
        <color rgb="FF000000"/>
        <rFont val="Arial"/>
        <family val="2"/>
      </rPr>
      <t>10/28 07:30-16:45</t>
    </r>
    <r>
      <rPr>
        <sz val="10"/>
        <color rgb="FF000000"/>
        <rFont val="WenQuanYi Zen Hei"/>
        <family val="2"/>
      </rPr>
      <t>、</t>
    </r>
    <r>
      <rPr>
        <sz val="10"/>
        <color rgb="FF000000"/>
        <rFont val="Arial"/>
        <family val="2"/>
      </rPr>
      <t>10/29 08:00-12:00</t>
    </r>
  </si>
  <si>
    <r>
      <rPr>
        <sz val="10"/>
        <color rgb="FF000000"/>
        <rFont val="Arial"/>
        <family val="2"/>
      </rPr>
      <t>2</t>
    </r>
    <r>
      <rPr>
        <sz val="10"/>
        <color rgb="FF000000"/>
        <rFont val="WenQuanYi Zen Hei"/>
        <family val="2"/>
      </rPr>
      <t>（うち</t>
    </r>
    <r>
      <rPr>
        <sz val="10"/>
        <color rgb="FF000000"/>
        <rFont val="Arial"/>
        <family val="2"/>
      </rPr>
      <t>1</t>
    </r>
    <r>
      <rPr>
        <sz val="10"/>
        <color rgb="FF000000"/>
        <rFont val="WenQuanYi Zen Hei"/>
        <family val="2"/>
      </rPr>
      <t>名は専任）</t>
    </r>
  </si>
  <si>
    <r>
      <rPr>
        <sz val="10"/>
        <color rgb="FF000000"/>
        <rFont val="WenQuanYi Zen Hei"/>
        <family val="2"/>
      </rPr>
      <t>荒木田、池田（デマケ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WenQuanYi Zen Hei"/>
        <family val="2"/>
      </rPr>
      <t>会場手配・機材・</t>
    </r>
    <r>
      <rPr>
        <sz val="10"/>
        <color rgb="FF000000"/>
        <rFont val="Arial"/>
        <family val="2"/>
      </rPr>
      <t>Zoom</t>
    </r>
    <r>
      <rPr>
        <sz val="10"/>
        <color rgb="FF000000"/>
        <rFont val="WenQuanYi Zen Hei"/>
        <family val="2"/>
      </rPr>
      <t>当日）</t>
    </r>
  </si>
  <si>
    <t>×</t>
  </si>
  <si>
    <r>
      <rPr>
        <sz val="10"/>
        <color rgb="FF000000"/>
        <rFont val="WenQuanYi Zen Hei"/>
        <family val="2"/>
      </rPr>
      <t>荒木田は</t>
    </r>
    <r>
      <rPr>
        <sz val="10"/>
        <color rgb="FF000000"/>
        <rFont val="Arial"/>
        <family val="2"/>
      </rPr>
      <t>Opening/Closing</t>
    </r>
    <r>
      <rPr>
        <sz val="10"/>
        <color rgb="FF000000"/>
        <rFont val="WenQuanYi Zen Hei"/>
        <family val="2"/>
      </rPr>
      <t>進行・</t>
    </r>
    <r>
      <rPr>
        <sz val="10"/>
        <color rgb="FF000000"/>
        <rFont val="Arial"/>
        <family val="2"/>
      </rPr>
      <t>VIP</t>
    </r>
    <r>
      <rPr>
        <sz val="10"/>
        <color rgb="FF000000"/>
        <rFont val="WenQuanYi Zen Hei"/>
        <family val="2"/>
      </rPr>
      <t>同行、池田は</t>
    </r>
    <r>
      <rPr>
        <sz val="10"/>
        <color rgb="FF000000"/>
        <rFont val="Arial"/>
        <family val="2"/>
      </rPr>
      <t>Tech Session PIC</t>
    </r>
    <r>
      <rPr>
        <sz val="10"/>
        <color rgb="FF000000"/>
        <rFont val="WenQuanYi Zen Hei"/>
        <family val="2"/>
      </rPr>
      <t>で、セッション中に専任オペが不在になる。</t>
    </r>
    <r>
      <rPr>
        <sz val="10"/>
        <color rgb="FF000000"/>
        <rFont val="Arial"/>
        <family val="2"/>
      </rPr>
      <t>AI</t>
    </r>
    <r>
      <rPr>
        <sz val="10"/>
        <color rgb="FF000000"/>
        <rFont val="WenQuanYi Zen Hei"/>
        <family val="2"/>
      </rPr>
      <t>翻訳ツールは今回初導入（</t>
    </r>
    <r>
      <rPr>
        <sz val="10"/>
        <color rgb="FF000000"/>
        <rFont val="Arial"/>
        <family val="2"/>
      </rPr>
      <t>GI</t>
    </r>
    <r>
      <rPr>
        <sz val="10"/>
        <color rgb="FF000000"/>
        <rFont val="WenQuanYi Zen Hei"/>
        <family val="2"/>
      </rPr>
      <t>記載）でトラブル対応要員が必要。</t>
    </r>
  </si>
  <si>
    <r>
      <rPr>
        <sz val="10"/>
        <color rgb="FF000000"/>
        <rFont val="WenQuanYi Zen Hei"/>
        <family val="2"/>
      </rPr>
      <t>藤本（デマケ上</t>
    </r>
    <r>
      <rPr>
        <sz val="10"/>
        <color rgb="FF000000"/>
        <rFont val="Arial"/>
        <family val="2"/>
      </rPr>
      <t>Zoom webinar</t>
    </r>
    <r>
      <rPr>
        <sz val="10"/>
        <color rgb="FF000000"/>
        <rFont val="WenQuanYi Zen Hei"/>
        <family val="2"/>
      </rPr>
      <t>設定担当）を現地で</t>
    </r>
    <r>
      <rPr>
        <sz val="10"/>
        <color rgb="FF000000"/>
        <rFont val="Arial"/>
        <family val="2"/>
      </rPr>
      <t>Zoom/AI</t>
    </r>
    <r>
      <rPr>
        <sz val="10"/>
        <color rgb="FF000000"/>
        <rFont val="WenQuanYi Zen Hei"/>
        <family val="2"/>
      </rPr>
      <t>翻訳専任に。会場</t>
    </r>
    <r>
      <rPr>
        <sz val="10"/>
        <color rgb="FF000000"/>
        <rFont val="Arial"/>
        <family val="2"/>
      </rPr>
      <t>AV</t>
    </r>
    <r>
      <rPr>
        <sz val="10"/>
        <color rgb="FF000000"/>
        <rFont val="WenQuanYi Zen Hei"/>
        <family val="2"/>
      </rPr>
      <t>は</t>
    </r>
    <r>
      <rPr>
        <sz val="10"/>
        <color rgb="FF000000"/>
        <rFont val="Arial"/>
        <family val="2"/>
      </rPr>
      <t>SCDF</t>
    </r>
    <r>
      <rPr>
        <sz val="10"/>
        <color rgb="FF000000"/>
        <rFont val="WenQuanYi Zen Hei"/>
        <family val="2"/>
      </rPr>
      <t>側スタッフに操作依頼できるか</t>
    </r>
    <r>
      <rPr>
        <sz val="10"/>
        <color rgb="FF000000"/>
        <rFont val="Arial"/>
        <family val="2"/>
      </rPr>
      <t>9</t>
    </r>
    <r>
      <rPr>
        <sz val="10"/>
        <color rgb="FF000000"/>
        <rFont val="WenQuanYi Zen Hei"/>
        <family val="2"/>
      </rPr>
      <t>月合同会議で確認。</t>
    </r>
  </si>
  <si>
    <r>
      <rPr>
        <sz val="10"/>
        <color rgb="FF000000"/>
        <rFont val="WenQuanYi Zen Hei"/>
        <family val="2"/>
      </rPr>
      <t>セッション運営（</t>
    </r>
    <r>
      <rPr>
        <sz val="10"/>
        <color rgb="FF000000"/>
        <rFont val="Arial"/>
        <family val="2"/>
      </rPr>
      <t>RT</t>
    </r>
    <r>
      <rPr>
        <sz val="10"/>
        <color rgb="FF000000"/>
        <rFont val="WenQuanYi Zen Hei"/>
        <family val="2"/>
      </rPr>
      <t>・</t>
    </r>
    <r>
      <rPr>
        <sz val="10"/>
        <color rgb="FF000000"/>
        <rFont val="Arial"/>
        <family val="2"/>
      </rPr>
      <t>Tech Session</t>
    </r>
    <r>
      <rPr>
        <sz val="10"/>
        <color rgb="FF000000"/>
        <rFont val="WenQuanYi Zen Hei"/>
        <family val="2"/>
      </rPr>
      <t>）</t>
    </r>
  </si>
  <si>
    <r>
      <rPr>
        <sz val="10"/>
        <color rgb="FF000000"/>
        <rFont val="Arial"/>
        <family val="2"/>
      </rPr>
      <t>10/28 13:00-15:30</t>
    </r>
    <r>
      <rPr>
        <sz val="10"/>
        <color rgb="FF000000"/>
        <rFont val="WenQuanYi Zen Hei"/>
        <family val="2"/>
      </rPr>
      <t>、</t>
    </r>
    <r>
      <rPr>
        <sz val="10"/>
        <color rgb="FF000000"/>
        <rFont val="Arial"/>
        <family val="2"/>
      </rPr>
      <t>10/29 09:30-12:00</t>
    </r>
  </si>
  <si>
    <r>
      <rPr>
        <sz val="10"/>
        <color rgb="FF000000"/>
        <rFont val="Arial"/>
        <family val="2"/>
      </rPr>
      <t>3</t>
    </r>
    <r>
      <rPr>
        <sz val="10"/>
        <color rgb="FF000000"/>
        <rFont val="WenQuanYi Zen Hei"/>
        <family val="2"/>
      </rPr>
      <t>（</t>
    </r>
    <r>
      <rPr>
        <sz val="10"/>
        <color rgb="FF000000"/>
        <rFont val="Arial"/>
        <family val="2"/>
      </rPr>
      <t>PIC</t>
    </r>
    <r>
      <rPr>
        <sz val="10"/>
        <color rgb="FF000000"/>
        <rFont val="WenQuanYi Zen Hei"/>
        <family val="2"/>
      </rPr>
      <t>・</t>
    </r>
    <r>
      <rPr>
        <sz val="10"/>
        <color rgb="FF000000"/>
        <rFont val="Arial"/>
        <family val="2"/>
      </rPr>
      <t>Co-Chair</t>
    </r>
    <r>
      <rPr>
        <sz val="10"/>
        <color rgb="FF000000"/>
        <rFont val="WenQuanYi Zen Hei"/>
        <family val="2"/>
      </rPr>
      <t>・フロア）</t>
    </r>
  </si>
  <si>
    <r>
      <rPr>
        <sz val="10"/>
        <color rgb="FF000000"/>
        <rFont val="Arial"/>
        <family val="2"/>
      </rPr>
      <t xml:space="preserve">RT: </t>
    </r>
    <r>
      <rPr>
        <sz val="10"/>
        <color rgb="FF000000"/>
        <rFont val="WenQuanYi Zen Hei"/>
        <family val="2"/>
      </rPr>
      <t>吉田・</t>
    </r>
    <r>
      <rPr>
        <sz val="10"/>
        <color rgb="FF000000"/>
        <rFont val="Arial"/>
        <family val="2"/>
      </rPr>
      <t>Gerry</t>
    </r>
    <r>
      <rPr>
        <sz val="10"/>
        <color rgb="FF000000"/>
        <rFont val="WenQuanYi Zen Hei"/>
        <family val="2"/>
      </rPr>
      <t>／</t>
    </r>
    <r>
      <rPr>
        <sz val="10"/>
        <color rgb="FF000000"/>
        <rFont val="Arial"/>
        <family val="2"/>
      </rPr>
      <t>TS: Mizan(Co-Chair)</t>
    </r>
    <r>
      <rPr>
        <sz val="10"/>
        <color rgb="FF000000"/>
        <rFont val="WenQuanYi Zen Hei"/>
        <family val="2"/>
      </rPr>
      <t>・池田</t>
    </r>
  </si>
  <si>
    <r>
      <rPr>
        <sz val="10"/>
        <color rgb="FF000000"/>
        <rFont val="Arial"/>
        <family val="2"/>
      </rPr>
      <t>TS</t>
    </r>
    <r>
      <rPr>
        <sz val="10"/>
        <color rgb="FF000000"/>
        <rFont val="WenQuanYi Zen Hei"/>
        <family val="2"/>
      </rPr>
      <t>は</t>
    </r>
    <r>
      <rPr>
        <sz val="10"/>
        <color rgb="FF000000"/>
        <rFont val="Arial"/>
        <family val="2"/>
      </rPr>
      <t>Mizan</t>
    </r>
    <r>
      <rPr>
        <sz val="10"/>
        <color rgb="FF000000"/>
        <rFont val="WenQuanYi Zen Hei"/>
        <family val="2"/>
      </rPr>
      <t>が登壇側に回ると、登壇者</t>
    </r>
    <r>
      <rPr>
        <sz val="10"/>
        <color rgb="FF000000"/>
        <rFont val="Arial"/>
        <family val="2"/>
      </rPr>
      <t>6</t>
    </r>
    <r>
      <rPr>
        <sz val="10"/>
        <color rgb="FF000000"/>
        <rFont val="WenQuanYi Zen Hei"/>
        <family val="2"/>
      </rPr>
      <t>名の誘導・時間管理・</t>
    </r>
    <r>
      <rPr>
        <sz val="10"/>
        <color rgb="FF000000"/>
        <rFont val="Arial"/>
        <family val="2"/>
      </rPr>
      <t>Q&amp;A</t>
    </r>
    <r>
      <rPr>
        <sz val="10"/>
        <color rgb="FF000000"/>
        <rFont val="WenQuanYi Zen Hei"/>
        <family val="2"/>
      </rPr>
      <t>取次を行うフロア担当が池田</t>
    </r>
    <r>
      <rPr>
        <sz val="10"/>
        <color rgb="FF000000"/>
        <rFont val="Arial"/>
        <family val="2"/>
      </rPr>
      <t>1</t>
    </r>
    <r>
      <rPr>
        <sz val="10"/>
        <color rgb="FF000000"/>
        <rFont val="WenQuanYi Zen Hei"/>
        <family val="2"/>
      </rPr>
      <t>名。</t>
    </r>
    <r>
      <rPr>
        <sz val="10"/>
        <color rgb="FF000000"/>
        <rFont val="Arial"/>
        <family val="2"/>
      </rPr>
      <t>Said Faisal</t>
    </r>
    <r>
      <rPr>
        <sz val="10"/>
        <color rgb="FF000000"/>
        <rFont val="WenQuanYi Zen Hei"/>
        <family val="2"/>
      </rPr>
      <t>辞退後の</t>
    </r>
    <r>
      <rPr>
        <sz val="10"/>
        <color rgb="FF000000"/>
        <rFont val="Arial"/>
        <family val="2"/>
      </rPr>
      <t>SCDF</t>
    </r>
    <r>
      <rPr>
        <sz val="10"/>
        <color rgb="FF000000"/>
        <rFont val="WenQuanYi Zen Hei"/>
        <family val="2"/>
      </rPr>
      <t>側モデレーターも未確定。</t>
    </r>
  </si>
  <si>
    <r>
      <rPr>
        <sz val="10"/>
        <color rgb="FF000000"/>
        <rFont val="WenQuanYi Zen Hei"/>
        <family val="2"/>
      </rPr>
      <t>記録・</t>
    </r>
    <r>
      <rPr>
        <sz val="10"/>
        <color rgb="FF000000"/>
        <rFont val="Arial"/>
        <family val="2"/>
      </rPr>
      <t>Draft Summary</t>
    </r>
    <r>
      <rPr>
        <sz val="10"/>
        <color rgb="FF000000"/>
        <rFont val="WenQuanYi Zen Hei"/>
        <family val="2"/>
      </rPr>
      <t>・</t>
    </r>
    <r>
      <rPr>
        <sz val="10"/>
        <color rgb="FF000000"/>
        <rFont val="Arial"/>
        <family val="2"/>
      </rPr>
      <t>Closing</t>
    </r>
    <r>
      <rPr>
        <sz val="10"/>
        <color rgb="FF000000"/>
        <rFont val="WenQuanYi Zen Hei"/>
        <family val="2"/>
      </rPr>
      <t>要約</t>
    </r>
  </si>
  <si>
    <r>
      <rPr>
        <sz val="10"/>
        <color rgb="FF000000"/>
        <rFont val="Arial"/>
        <family val="2"/>
      </rPr>
      <t>10/28</t>
    </r>
    <r>
      <rPr>
        <sz val="10"/>
        <color rgb="FF000000"/>
        <rFont val="WenQuanYi Zen Hei"/>
        <family val="2"/>
      </rPr>
      <t>夜〜</t>
    </r>
    <r>
      <rPr>
        <sz val="10"/>
        <color rgb="FF000000"/>
        <rFont val="Arial"/>
        <family val="2"/>
      </rPr>
      <t>10/29 11:45</t>
    </r>
  </si>
  <si>
    <t>2</t>
  </si>
  <si>
    <r>
      <rPr>
        <sz val="10"/>
        <color rgb="FF000000"/>
        <rFont val="Arial"/>
        <family val="2"/>
      </rPr>
      <t>Gerry</t>
    </r>
    <r>
      <rPr>
        <sz val="10"/>
        <color rgb="FF000000"/>
        <rFont val="WenQuanYi Zen Hei"/>
        <family val="2"/>
      </rPr>
      <t>、</t>
    </r>
    <r>
      <rPr>
        <sz val="10"/>
        <color rgb="FF000000"/>
        <rFont val="Arial"/>
        <family val="2"/>
      </rPr>
      <t>Mizan</t>
    </r>
    <r>
      <rPr>
        <sz val="10"/>
        <color rgb="FF000000"/>
        <rFont val="WenQuanYi Zen Hei"/>
        <family val="2"/>
      </rPr>
      <t>（デマケ</t>
    </r>
    <r>
      <rPr>
        <sz val="10"/>
        <color rgb="FF000000"/>
        <rFont val="Arial"/>
        <family val="2"/>
      </rPr>
      <t>: Draft Summary</t>
    </r>
    <r>
      <rPr>
        <sz val="10"/>
        <color rgb="FF000000"/>
        <rFont val="WenQuanYi Zen Hei"/>
        <family val="2"/>
      </rPr>
      <t>）</t>
    </r>
  </si>
  <si>
    <r>
      <rPr>
        <sz val="10"/>
        <color rgb="FF000000"/>
        <rFont val="Arial"/>
        <family val="2"/>
      </rPr>
      <t>VIP</t>
    </r>
    <r>
      <rPr>
        <sz val="10"/>
        <color rgb="FF000000"/>
        <rFont val="WenQuanYi Zen Hei"/>
        <family val="2"/>
      </rPr>
      <t>・内閣府随行（林統括官＋随行</t>
    </r>
    <r>
      <rPr>
        <sz val="10"/>
        <color rgb="FF000000"/>
        <rFont val="Arial"/>
        <family val="2"/>
      </rPr>
      <t>2</t>
    </r>
    <r>
      <rPr>
        <sz val="10"/>
        <color rgb="FF000000"/>
        <rFont val="WenQuanYi Zen Hei"/>
        <family val="2"/>
      </rPr>
      <t>名）</t>
    </r>
  </si>
  <si>
    <r>
      <rPr>
        <sz val="10"/>
        <color rgb="FF000000"/>
        <rFont val="Arial"/>
        <family val="2"/>
      </rPr>
      <t>10/27</t>
    </r>
    <r>
      <rPr>
        <sz val="10"/>
        <color rgb="FF000000"/>
        <rFont val="WenQuanYi Zen Hei"/>
        <family val="2"/>
      </rPr>
      <t>夕〜</t>
    </r>
    <r>
      <rPr>
        <sz val="10"/>
        <color rgb="FF000000"/>
        <rFont val="Arial"/>
        <family val="2"/>
      </rPr>
      <t>10/30</t>
    </r>
    <r>
      <rPr>
        <sz val="10"/>
        <color rgb="FF000000"/>
        <rFont val="WenQuanYi Zen Hei"/>
        <family val="2"/>
      </rPr>
      <t>終日</t>
    </r>
  </si>
  <si>
    <r>
      <rPr>
        <sz val="10"/>
        <color rgb="FF000000"/>
        <rFont val="Arial"/>
        <family val="2"/>
      </rPr>
      <t>1.5</t>
    </r>
    <r>
      <rPr>
        <sz val="10"/>
        <color rgb="FF000000"/>
        <rFont val="WenQuanYi Zen Hei"/>
        <family val="2"/>
      </rPr>
      <t>（常時</t>
    </r>
    <r>
      <rPr>
        <sz val="10"/>
        <color rgb="FF000000"/>
        <rFont val="Arial"/>
        <family val="2"/>
      </rPr>
      <t>1</t>
    </r>
    <r>
      <rPr>
        <sz val="10"/>
        <color rgb="FF000000"/>
        <rFont val="WenQuanYi Zen Hei"/>
        <family val="2"/>
      </rPr>
      <t>名＋バイ会談時</t>
    </r>
    <r>
      <rPr>
        <sz val="10"/>
        <color rgb="FF000000"/>
        <rFont val="Arial"/>
        <family val="2"/>
      </rPr>
      <t>+1</t>
    </r>
    <r>
      <rPr>
        <sz val="10"/>
        <color rgb="FF000000"/>
        <rFont val="WenQuanYi Zen Hei"/>
        <family val="2"/>
      </rPr>
      <t>）</t>
    </r>
  </si>
  <si>
    <r>
      <rPr>
        <sz val="10"/>
        <color rgb="FF000000"/>
        <rFont val="WenQuanYi Zen Hei"/>
        <family val="2"/>
      </rPr>
      <t>宮木、児玉（デマケ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WenQuanYi Zen Hei"/>
        <family val="2"/>
      </rPr>
      <t>内閣府連絡調整・</t>
    </r>
    <r>
      <rPr>
        <sz val="10"/>
        <color rgb="FF000000"/>
        <rFont val="Arial"/>
        <family val="2"/>
      </rPr>
      <t>Bi-meeting</t>
    </r>
    <r>
      <rPr>
        <sz val="10"/>
        <color rgb="FF000000"/>
        <rFont val="WenQuanYi Zen Hei"/>
        <family val="2"/>
      </rPr>
      <t>）</t>
    </r>
  </si>
  <si>
    <r>
      <rPr>
        <sz val="10"/>
        <color rgb="FF000000"/>
        <rFont val="WenQuanYi Zen Hei"/>
        <family val="2"/>
      </rPr>
      <t>写真・動画記録（</t>
    </r>
    <r>
      <rPr>
        <sz val="10"/>
        <color rgb="FF000000"/>
        <rFont val="Arial"/>
        <family val="2"/>
      </rPr>
      <t>Highlight Movie</t>
    </r>
    <r>
      <rPr>
        <sz val="10"/>
        <color rgb="FF000000"/>
        <rFont val="WenQuanYi Zen Hei"/>
        <family val="2"/>
      </rPr>
      <t>含む）</t>
    </r>
  </si>
  <si>
    <t>会期中全日</t>
  </si>
  <si>
    <t>1</t>
  </si>
  <si>
    <r>
      <rPr>
        <sz val="10"/>
        <color rgb="FF000000"/>
        <rFont val="WenQuanYi Zen Hei"/>
        <family val="2"/>
      </rPr>
      <t>担当なし（デマケ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WenQuanYi Zen Hei"/>
        <family val="2"/>
      </rPr>
      <t>広報</t>
    </r>
    <r>
      <rPr>
        <sz val="10"/>
        <color rgb="FF000000"/>
        <rFont val="Arial"/>
        <family val="2"/>
      </rPr>
      <t>=Gerry</t>
    </r>
    <r>
      <rPr>
        <sz val="10"/>
        <color rgb="FF000000"/>
        <rFont val="WenQuanYi Zen Hei"/>
        <family val="2"/>
      </rPr>
      <t>・藤本、撮影担当は</t>
    </r>
    <r>
      <rPr>
        <sz val="10"/>
        <color rgb="FF000000"/>
        <rFont val="Arial"/>
        <family val="2"/>
      </rPr>
      <t>5</t>
    </r>
    <r>
      <rPr>
        <sz val="10"/>
        <color rgb="FF000000"/>
        <rFont val="WenQuanYi Zen Hei"/>
        <family val="2"/>
      </rPr>
      <t>月チェックリストで『未対応』）</t>
    </r>
  </si>
  <si>
    <r>
      <rPr>
        <sz val="10"/>
        <color rgb="FF000000"/>
        <rFont val="WenQuanYi Zen Hei"/>
        <family val="2"/>
      </rPr>
      <t>公式記録写真・</t>
    </r>
    <r>
      <rPr>
        <sz val="10"/>
        <color rgb="FF000000"/>
        <rFont val="Arial"/>
        <family val="2"/>
      </rPr>
      <t>SNS</t>
    </r>
    <r>
      <rPr>
        <sz val="10"/>
        <color rgb="FF000000"/>
        <rFont val="WenQuanYi Zen Hei"/>
        <family val="2"/>
      </rPr>
      <t>・報告書用素材の撮影者が未定。</t>
    </r>
    <r>
      <rPr>
        <sz val="10"/>
        <color rgb="FF000000"/>
        <rFont val="Arial"/>
        <family val="2"/>
      </rPr>
      <t>COSEM</t>
    </r>
    <r>
      <rPr>
        <sz val="10"/>
        <color rgb="FF000000"/>
        <rFont val="WenQuanYi Zen Hei"/>
        <family val="2"/>
      </rPr>
      <t>カメラマンの有無も未確認。</t>
    </r>
  </si>
  <si>
    <r>
      <rPr>
        <sz val="10"/>
        <color rgb="FF000000"/>
        <rFont val="WenQuanYi Zen Hei"/>
        <family val="2"/>
      </rPr>
      <t>藤本が現地参加すれば写真担当を兼務。</t>
    </r>
    <r>
      <rPr>
        <sz val="10"/>
        <color rgb="FF000000"/>
        <rFont val="Arial"/>
        <family val="2"/>
      </rPr>
      <t>COSEM</t>
    </r>
    <r>
      <rPr>
        <sz val="10"/>
        <color rgb="FF000000"/>
        <rFont val="WenQuanYi Zen Hei"/>
        <family val="2"/>
      </rPr>
      <t>の公式カメラマン共有を</t>
    </r>
    <r>
      <rPr>
        <sz val="10"/>
        <color rgb="FF000000"/>
        <rFont val="Arial"/>
        <family val="2"/>
      </rPr>
      <t>9</t>
    </r>
    <r>
      <rPr>
        <sz val="10"/>
        <color rgb="FF000000"/>
        <rFont val="WenQuanYi Zen Hei"/>
        <family val="2"/>
      </rPr>
      <t>月に確認。</t>
    </r>
  </si>
  <si>
    <r>
      <rPr>
        <sz val="10"/>
        <color rgb="FF000000"/>
        <rFont val="Arial"/>
        <family val="2"/>
      </rPr>
      <t>SIDEX</t>
    </r>
    <r>
      <rPr>
        <sz val="10"/>
        <color rgb="FF000000"/>
        <rFont val="WenQuanYi Zen Hei"/>
        <family val="2"/>
      </rPr>
      <t>展示・</t>
    </r>
    <r>
      <rPr>
        <sz val="10"/>
        <color rgb="FF000000"/>
        <rFont val="Arial"/>
        <family val="2"/>
      </rPr>
      <t>Japan Pavilion</t>
    </r>
    <r>
      <rPr>
        <sz val="10"/>
        <color rgb="FF000000"/>
        <rFont val="WenQuanYi Zen Hei"/>
        <family val="2"/>
      </rPr>
      <t>連携／参加者誘導（</t>
    </r>
    <r>
      <rPr>
        <sz val="10"/>
        <color rgb="FF000000"/>
        <rFont val="Arial"/>
        <family val="2"/>
      </rPr>
      <t>Hall3⇔Peridot</t>
    </r>
    <r>
      <rPr>
        <sz val="10"/>
        <color rgb="FF000000"/>
        <rFont val="WenQuanYi Zen Hei"/>
        <family val="2"/>
      </rPr>
      <t>）</t>
    </r>
  </si>
  <si>
    <r>
      <rPr>
        <sz val="10"/>
        <color rgb="FF000000"/>
        <rFont val="Arial"/>
        <family val="2"/>
      </rPr>
      <t>10/28 10:30-12:45</t>
    </r>
    <r>
      <rPr>
        <sz val="10"/>
        <color rgb="FF000000"/>
        <rFont val="WenQuanYi Zen Hei"/>
        <family val="2"/>
      </rPr>
      <t>、</t>
    </r>
    <r>
      <rPr>
        <sz val="10"/>
        <color rgb="FF000000"/>
        <rFont val="Arial"/>
        <family val="2"/>
      </rPr>
      <t>10/29</t>
    </r>
    <r>
      <rPr>
        <sz val="10"/>
        <color rgb="FF000000"/>
        <rFont val="WenQuanYi Zen Hei"/>
        <family val="2"/>
      </rPr>
      <t>午後、</t>
    </r>
    <r>
      <rPr>
        <sz val="10"/>
        <color rgb="FF000000"/>
        <rFont val="Arial"/>
        <family val="2"/>
      </rPr>
      <t>10/30 13:50-14:50</t>
    </r>
  </si>
  <si>
    <r>
      <rPr>
        <sz val="10"/>
        <color rgb="FF000000"/>
        <rFont val="WenQuanYi Zen Hei"/>
        <family val="2"/>
      </rPr>
      <t>池田、</t>
    </r>
    <r>
      <rPr>
        <sz val="10"/>
        <color rgb="FF000000"/>
        <rFont val="Arial"/>
        <family val="2"/>
      </rPr>
      <t>Mizan</t>
    </r>
    <r>
      <rPr>
        <sz val="10"/>
        <color rgb="FF000000"/>
        <rFont val="WenQuanYi Zen Hei"/>
        <family val="2"/>
      </rPr>
      <t>（デマケ</t>
    </r>
    <r>
      <rPr>
        <sz val="10"/>
        <color rgb="FF000000"/>
        <rFont val="Arial"/>
        <family val="2"/>
      </rPr>
      <t>: SIDEX Exhibition</t>
    </r>
    <r>
      <rPr>
        <sz val="10"/>
        <color rgb="FF000000"/>
        <rFont val="WenQuanYi Zen Hei"/>
        <family val="2"/>
      </rPr>
      <t>）</t>
    </r>
  </si>
  <si>
    <r>
      <rPr>
        <sz val="10"/>
        <color rgb="FF000000"/>
        <rFont val="WenQuanYi Zen Hei"/>
        <family val="2"/>
      </rPr>
      <t>荒木田</t>
    </r>
    <r>
      <rPr>
        <sz val="10"/>
        <color rgb="FF000000"/>
        <rFont val="Arial"/>
        <family val="2"/>
      </rPr>
      <t>8/6</t>
    </r>
    <r>
      <rPr>
        <sz val="10"/>
        <color rgb="FF000000"/>
        <rFont val="WenQuanYi Zen Hei"/>
        <family val="2"/>
      </rPr>
      <t>『もう一人か二人必要』と認識済み。</t>
    </r>
    <r>
      <rPr>
        <sz val="10"/>
        <color rgb="FF000000"/>
        <rFont val="Arial"/>
        <family val="2"/>
      </rPr>
      <t>Mizan</t>
    </r>
    <r>
      <rPr>
        <sz val="10"/>
        <color rgb="FF000000"/>
        <rFont val="WenQuanYi Zen Hei"/>
        <family val="2"/>
      </rPr>
      <t>は</t>
    </r>
    <r>
      <rPr>
        <sz val="10"/>
        <color rgb="FF000000"/>
        <rFont val="Arial"/>
        <family val="2"/>
      </rPr>
      <t>10/29</t>
    </r>
    <r>
      <rPr>
        <sz val="10"/>
        <color rgb="FF000000"/>
        <rFont val="WenQuanYi Zen Hei"/>
        <family val="2"/>
      </rPr>
      <t>午前</t>
    </r>
    <r>
      <rPr>
        <sz val="10"/>
        <color rgb="FF000000"/>
        <rFont val="Arial"/>
        <family val="2"/>
      </rPr>
      <t>Co-Chair</t>
    </r>
    <r>
      <rPr>
        <sz val="10"/>
        <color rgb="FF000000"/>
        <rFont val="WenQuanYi Zen Hei"/>
        <family val="2"/>
      </rPr>
      <t>、池田は</t>
    </r>
    <r>
      <rPr>
        <sz val="10"/>
        <color rgb="FF000000"/>
        <rFont val="Arial"/>
        <family val="2"/>
      </rPr>
      <t>TS PIC</t>
    </r>
    <r>
      <rPr>
        <sz val="10"/>
        <color rgb="FF000000"/>
        <rFont val="WenQuanYi Zen Hei"/>
        <family val="2"/>
      </rPr>
      <t>で同時間帯に動けない。</t>
    </r>
  </si>
  <si>
    <r>
      <rPr>
        <sz val="10"/>
        <color rgb="FF000000"/>
        <rFont val="WenQuanYi Zen Hei"/>
        <family val="2"/>
      </rPr>
      <t>藤本または塩見を誘導担当に。</t>
    </r>
    <r>
      <rPr>
        <sz val="10"/>
        <color rgb="FF000000"/>
        <rFont val="Arial"/>
        <family val="2"/>
      </rPr>
      <t>SCDF</t>
    </r>
    <r>
      <rPr>
        <sz val="10"/>
        <color rgb="FF000000"/>
        <rFont val="WenQuanYi Zen Hei"/>
        <family val="2"/>
      </rPr>
      <t>のリエゾン配置も要請。</t>
    </r>
  </si>
  <si>
    <r>
      <rPr>
        <sz val="10"/>
        <color rgb="FF000000"/>
        <rFont val="Arial"/>
        <family val="2"/>
      </rPr>
      <t>Field Trip</t>
    </r>
    <r>
      <rPr>
        <sz val="10"/>
        <color rgb="FF000000"/>
        <rFont val="WenQuanYi Zen Hei"/>
        <family val="2"/>
      </rPr>
      <t>引率（</t>
    </r>
    <r>
      <rPr>
        <sz val="10"/>
        <color rgb="FF000000"/>
        <rFont val="Arial"/>
        <family val="2"/>
      </rPr>
      <t>CDA</t>
    </r>
    <r>
      <rPr>
        <sz val="10"/>
        <color rgb="FF000000"/>
        <rFont val="WenQuanYi Zen Hei"/>
        <family val="2"/>
      </rPr>
      <t>、バス点呼）</t>
    </r>
  </si>
  <si>
    <t>10/29 13:00-17:15</t>
  </si>
  <si>
    <t>2-3</t>
  </si>
  <si>
    <t>荒木田、吉田（デマケ）、田中（名簿）</t>
  </si>
  <si>
    <t>○</t>
  </si>
  <si>
    <r>
      <rPr>
        <sz val="10"/>
        <color rgb="FF000000"/>
        <rFont val="WenQuanYi Zen Hei"/>
        <family val="2"/>
      </rPr>
      <t>引率自体は足りるが、同時刻に会場撤収・</t>
    </r>
    <r>
      <rPr>
        <sz val="10"/>
        <color rgb="FF000000"/>
        <rFont val="Arial"/>
        <family val="2"/>
      </rPr>
      <t>Day3</t>
    </r>
    <r>
      <rPr>
        <sz val="10"/>
        <color rgb="FF000000"/>
        <rFont val="WenQuanYi Zen Hei"/>
        <family val="2"/>
      </rPr>
      <t>準備・バイ会談が残る（児玉・藤中・池田）。</t>
    </r>
  </si>
  <si>
    <t>到着・出発対応（空港・ホテル）</t>
  </si>
  <si>
    <r>
      <rPr>
        <sz val="10"/>
        <color rgb="FF000000"/>
        <rFont val="Arial"/>
        <family val="2"/>
      </rPr>
      <t>10/26 15:00-24:00</t>
    </r>
    <r>
      <rPr>
        <sz val="10"/>
        <color rgb="FF000000"/>
        <rFont val="WenQuanYi Zen Hei"/>
        <family val="2"/>
      </rPr>
      <t>、</t>
    </r>
    <r>
      <rPr>
        <sz val="10"/>
        <color rgb="FF000000"/>
        <rFont val="Arial"/>
        <family val="2"/>
      </rPr>
      <t>10/27</t>
    </r>
    <r>
      <rPr>
        <sz val="10"/>
        <color rgb="FF000000"/>
        <rFont val="WenQuanYi Zen Hei"/>
        <family val="2"/>
      </rPr>
      <t>午前、</t>
    </r>
    <r>
      <rPr>
        <sz val="10"/>
        <color rgb="FF000000"/>
        <rFont val="Arial"/>
        <family val="2"/>
      </rPr>
      <t>10/30</t>
    </r>
    <r>
      <rPr>
        <sz val="10"/>
        <color rgb="FF000000"/>
        <rFont val="WenQuanYi Zen Hei"/>
        <family val="2"/>
      </rPr>
      <t>夜〜</t>
    </r>
    <r>
      <rPr>
        <sz val="10"/>
        <color rgb="FF000000"/>
        <rFont val="Arial"/>
        <family val="2"/>
      </rPr>
      <t>10/31</t>
    </r>
    <r>
      <rPr>
        <sz val="10"/>
        <color rgb="FF000000"/>
        <rFont val="WenQuanYi Zen Hei"/>
        <family val="2"/>
      </rPr>
      <t>午前</t>
    </r>
  </si>
  <si>
    <r>
      <rPr>
        <sz val="10"/>
        <color rgb="FF000000"/>
        <rFont val="WenQuanYi Zen Hei"/>
        <family val="2"/>
      </rPr>
      <t>藤中、田中（</t>
    </r>
    <r>
      <rPr>
        <sz val="10"/>
        <color rgb="FF000000"/>
        <rFont val="Arial"/>
        <family val="2"/>
      </rPr>
      <t>COSEM</t>
    </r>
    <r>
      <rPr>
        <sz val="10"/>
        <color rgb="FF000000"/>
        <rFont val="WenQuanYi Zen Hei"/>
        <family val="2"/>
      </rPr>
      <t>が空港送迎）</t>
    </r>
  </si>
  <si>
    <t>結論（案）</t>
  </si>
  <si>
    <r>
      <rPr>
        <sz val="10"/>
        <color rgb="FF000000"/>
        <rFont val="Arial"/>
        <family val="2"/>
      </rPr>
      <t xml:space="preserve">2. </t>
    </r>
    <r>
      <rPr>
        <sz val="10"/>
        <color rgb="FF000000"/>
        <rFont val="WenQuanYi Zen Hei"/>
        <family val="2"/>
      </rPr>
      <t>運営</t>
    </r>
    <r>
      <rPr>
        <sz val="10"/>
        <color rgb="FF000000"/>
        <rFont val="Arial"/>
        <family val="2"/>
      </rPr>
      <t>8</t>
    </r>
    <r>
      <rPr>
        <sz val="10"/>
        <color rgb="FF000000"/>
        <rFont val="WenQuanYi Zen Hei"/>
        <family val="2"/>
      </rPr>
      <t>名でも、受付</t>
    </r>
    <r>
      <rPr>
        <sz val="10"/>
        <color rgb="FF000000"/>
        <rFont val="Arial"/>
        <family val="2"/>
      </rPr>
      <t>3</t>
    </r>
    <r>
      <rPr>
        <sz val="10"/>
        <color rgb="FF000000"/>
        <rFont val="WenQuanYi Zen Hei"/>
        <family val="2"/>
      </rPr>
      <t>人目・</t>
    </r>
    <r>
      <rPr>
        <sz val="10"/>
        <color rgb="FF000000"/>
        <rFont val="Arial"/>
        <family val="2"/>
      </rPr>
      <t>AV/Zoom</t>
    </r>
    <r>
      <rPr>
        <sz val="10"/>
        <color rgb="FF000000"/>
        <rFont val="WenQuanYi Zen Hei"/>
        <family val="2"/>
      </rPr>
      <t>専任・記録</t>
    </r>
    <r>
      <rPr>
        <sz val="10"/>
        <color rgb="FF000000"/>
        <rFont val="Arial"/>
        <family val="2"/>
      </rPr>
      <t>/</t>
    </r>
    <r>
      <rPr>
        <sz val="10"/>
        <color rgb="FF000000"/>
        <rFont val="WenQuanYi Zen Hei"/>
        <family val="2"/>
      </rPr>
      <t>サマリー・写真・誘導の</t>
    </r>
    <r>
      <rPr>
        <sz val="10"/>
        <color rgb="FF000000"/>
        <rFont val="Arial"/>
        <family val="2"/>
      </rPr>
      <t>5</t>
    </r>
    <r>
      <rPr>
        <sz val="10"/>
        <color rgb="FF000000"/>
        <rFont val="WenQuanYi Zen Hei"/>
        <family val="2"/>
      </rPr>
      <t>機能が同時に空くため、最低</t>
    </r>
    <r>
      <rPr>
        <sz val="10"/>
        <color rgb="FF000000"/>
        <rFont val="Arial"/>
        <family val="2"/>
      </rPr>
      <t>1</t>
    </r>
    <r>
      <rPr>
        <sz val="10"/>
        <color rgb="FF000000"/>
        <rFont val="WenQuanYi Zen Hei"/>
        <family val="2"/>
      </rPr>
      <t>名、望ましくは</t>
    </r>
    <r>
      <rPr>
        <sz val="10"/>
        <color rgb="FF000000"/>
        <rFont val="Arial"/>
        <family val="2"/>
      </rPr>
      <t>2</t>
    </r>
    <r>
      <rPr>
        <sz val="10"/>
        <color rgb="FF000000"/>
        <rFont val="WenQuanYi Zen Hei"/>
        <family val="2"/>
      </rPr>
      <t>名の追加が必要。</t>
    </r>
  </si>
  <si>
    <r>
      <rPr>
        <sz val="10"/>
        <color rgb="FF000000"/>
        <rFont val="Arial"/>
        <family val="2"/>
      </rPr>
      <t xml:space="preserve">4. </t>
    </r>
    <r>
      <rPr>
        <sz val="10"/>
        <color rgb="FF000000"/>
        <rFont val="WenQuanYi Zen Hei"/>
        <family val="2"/>
      </rPr>
      <t>追加</t>
    </r>
    <r>
      <rPr>
        <sz val="10"/>
        <color rgb="FF000000"/>
        <rFont val="Arial"/>
        <family val="2"/>
      </rPr>
      <t>2</t>
    </r>
    <r>
      <rPr>
        <sz val="10"/>
        <color rgb="FF000000"/>
        <rFont val="WenQuanYi Zen Hei"/>
        <family val="2"/>
      </rPr>
      <t>名の概算増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WenQuanYi Zen Hei"/>
        <family val="2"/>
      </rPr>
      <t>航空券（関空</t>
    </r>
    <r>
      <rPr>
        <sz val="10"/>
        <color rgb="FF000000"/>
        <rFont val="Arial"/>
        <family val="2"/>
      </rPr>
      <t>LCC</t>
    </r>
    <r>
      <rPr>
        <sz val="10"/>
        <color rgb="FF000000"/>
        <rFont val="WenQuanYi Zen Hei"/>
        <family val="2"/>
      </rPr>
      <t>）約</t>
    </r>
    <r>
      <rPr>
        <sz val="10"/>
        <color rgb="FF000000"/>
        <rFont val="Arial"/>
        <family val="2"/>
      </rPr>
      <t>15</t>
    </r>
    <r>
      <rPr>
        <sz val="10"/>
        <color rgb="FF000000"/>
        <rFont val="WenQuanYi Zen Hei"/>
        <family val="2"/>
      </rPr>
      <t>万円</t>
    </r>
    <r>
      <rPr>
        <sz val="10"/>
        <color rgb="FF000000"/>
        <rFont val="Arial"/>
        <family val="2"/>
      </rPr>
      <t>×2</t>
    </r>
    <r>
      <rPr>
        <sz val="10"/>
        <color rgb="FF000000"/>
        <rFont val="WenQuanYi Zen Hei"/>
        <family val="2"/>
      </rPr>
      <t>＋</t>
    </r>
    <r>
      <rPr>
        <sz val="10"/>
        <color rgb="FF000000"/>
        <rFont val="Arial"/>
        <family val="2"/>
      </rPr>
      <t>Hotel Mi 6</t>
    </r>
    <r>
      <rPr>
        <sz val="10"/>
        <color rgb="FF000000"/>
        <rFont val="WenQuanYi Zen Hei"/>
        <family val="2"/>
      </rPr>
      <t>泊約</t>
    </r>
    <r>
      <rPr>
        <sz val="10"/>
        <color rgb="FF000000"/>
        <rFont val="Arial"/>
        <family val="2"/>
      </rPr>
      <t>10</t>
    </r>
    <r>
      <rPr>
        <sz val="10"/>
        <color rgb="FF000000"/>
        <rFont val="WenQuanYi Zen Hei"/>
        <family val="2"/>
      </rPr>
      <t>万円</t>
    </r>
    <r>
      <rPr>
        <sz val="10"/>
        <color rgb="FF000000"/>
        <rFont val="Arial"/>
        <family val="2"/>
      </rPr>
      <t>×2</t>
    </r>
    <r>
      <rPr>
        <sz val="10"/>
        <color rgb="FF000000"/>
        <rFont val="WenQuanYi Zen Hei"/>
        <family val="2"/>
      </rPr>
      <t xml:space="preserve">＋日当 ≒ </t>
    </r>
    <r>
      <rPr>
        <sz val="10"/>
        <color rgb="FF000000"/>
        <rFont val="Arial"/>
        <family val="2"/>
      </rPr>
      <t>55-60</t>
    </r>
    <r>
      <rPr>
        <sz val="10"/>
        <color rgb="FF000000"/>
        <rFont val="WenQuanYi Zen Hei"/>
        <family val="2"/>
      </rPr>
      <t>万円。</t>
    </r>
    <r>
      <rPr>
        <sz val="10"/>
        <color rgb="FF000000"/>
        <rFont val="Arial"/>
        <family val="2"/>
      </rPr>
      <t>ACDR2026</t>
    </r>
    <r>
      <rPr>
        <sz val="10"/>
        <color rgb="FF000000"/>
        <rFont val="WenQuanYi Zen Hei"/>
        <family val="2"/>
      </rPr>
      <t>予算</t>
    </r>
    <r>
      <rPr>
        <sz val="10"/>
        <color rgb="FF000000"/>
        <rFont val="Arial"/>
        <family val="2"/>
      </rPr>
      <t>.xlsx(8/21)</t>
    </r>
    <r>
      <rPr>
        <sz val="10"/>
        <color rgb="FF000000"/>
        <rFont val="WenQuanYi Zen Hei"/>
        <family val="2"/>
      </rPr>
      <t xml:space="preserve">の『スタッフ宿泊 </t>
    </r>
    <r>
      <rPr>
        <sz val="10"/>
        <color rgb="FF000000"/>
        <rFont val="Arial"/>
        <family val="2"/>
      </rPr>
      <t>1,120,000</t>
    </r>
    <r>
      <rPr>
        <sz val="10"/>
        <color rgb="FF000000"/>
        <rFont val="WenQuanYi Zen Hei"/>
        <family val="2"/>
      </rPr>
      <t>円』は</t>
    </r>
    <r>
      <rPr>
        <sz val="10"/>
        <color rgb="FF000000"/>
        <rFont val="Arial"/>
        <family val="2"/>
      </rPr>
      <t>70</t>
    </r>
    <r>
      <rPr>
        <sz val="10"/>
        <color rgb="FF000000"/>
        <rFont val="WenQuanYi Zen Hei"/>
        <family val="2"/>
      </rPr>
      <t>泊分で、現在の確定分（約</t>
    </r>
    <r>
      <rPr>
        <sz val="10"/>
        <color rgb="FF000000"/>
        <rFont val="Arial"/>
        <family val="2"/>
      </rPr>
      <t>45</t>
    </r>
    <r>
      <rPr>
        <sz val="10"/>
        <color rgb="FF000000"/>
        <rFont val="WenQuanYi Zen Hei"/>
        <family val="2"/>
      </rPr>
      <t>泊）に対し余裕あり。一方、藤中は既に総額</t>
    </r>
    <r>
      <rPr>
        <sz val="10"/>
        <color rgb="FF000000"/>
        <rFont val="Arial"/>
        <family val="2"/>
      </rPr>
      <t>1,695</t>
    </r>
    <r>
      <rPr>
        <sz val="10"/>
        <color rgb="FF000000"/>
        <rFont val="WenQuanYi Zen Hei"/>
        <family val="2"/>
      </rPr>
      <t>万円で</t>
    </r>
    <r>
      <rPr>
        <sz val="10"/>
        <color rgb="FF000000"/>
        <rFont val="Arial"/>
        <family val="2"/>
      </rPr>
      <t>2</t>
    </r>
    <r>
      <rPr>
        <sz val="10"/>
        <color rgb="FF000000"/>
        <rFont val="WenQuanYi Zen Hei"/>
        <family val="2"/>
      </rPr>
      <t>月見積</t>
    </r>
    <r>
      <rPr>
        <sz val="10"/>
        <color rgb="FF000000"/>
        <rFont val="Arial"/>
        <family val="2"/>
      </rPr>
      <t>(1,664</t>
    </r>
    <r>
      <rPr>
        <sz val="10"/>
        <color rgb="FF000000"/>
        <rFont val="WenQuanYi Zen Hei"/>
        <family val="2"/>
      </rPr>
      <t>万円</t>
    </r>
    <r>
      <rPr>
        <sz val="10"/>
        <color rgb="FF000000"/>
        <rFont val="Arial"/>
        <family val="2"/>
      </rPr>
      <t>)</t>
    </r>
    <r>
      <rPr>
        <sz val="10"/>
        <color rgb="FF000000"/>
        <rFont val="WenQuanYi Zen Hei"/>
        <family val="2"/>
      </rPr>
      <t>超過を指摘しており、メンバー国参加が</t>
    </r>
    <r>
      <rPr>
        <sz val="10"/>
        <color rgb="FF000000"/>
        <rFont val="Arial"/>
        <family val="2"/>
      </rPr>
      <t>20</t>
    </r>
    <r>
      <rPr>
        <sz val="10"/>
        <color rgb="FF000000"/>
        <rFont val="WenQuanYi Zen Hei"/>
        <family val="2"/>
      </rPr>
      <t>か国未満で収まるか（現状</t>
    </r>
    <r>
      <rPr>
        <sz val="10"/>
        <color rgb="FF000000"/>
        <rFont val="Arial"/>
        <family val="2"/>
      </rPr>
      <t>17</t>
    </r>
    <r>
      <rPr>
        <sz val="10"/>
        <color rgb="FF000000"/>
        <rFont val="WenQuanYi Zen Hei"/>
        <family val="2"/>
      </rPr>
      <t>か国程度）が財源の鍵。</t>
    </r>
  </si>
  <si>
    <r>
      <rPr>
        <sz val="10"/>
        <color rgb="FF000000"/>
        <rFont val="Arial"/>
        <family val="2"/>
      </rPr>
      <t xml:space="preserve">5. </t>
    </r>
    <r>
      <rPr>
        <sz val="10"/>
        <color rgb="FF000000"/>
        <rFont val="WenQuanYi Zen Hei"/>
        <family val="2"/>
      </rPr>
      <t>追加派遣を決める前に確認すべきこと</t>
    </r>
    <r>
      <rPr>
        <sz val="10"/>
        <color rgb="FF000000"/>
        <rFont val="Arial"/>
        <family val="2"/>
      </rPr>
      <t>: ①</t>
    </r>
    <r>
      <rPr>
        <sz val="10"/>
        <color rgb="FF000000"/>
        <rFont val="WenQuanYi Zen Hei"/>
        <family val="2"/>
      </rPr>
      <t>宮木・児玉の航空券と宿泊先（</t>
    </r>
    <r>
      <rPr>
        <sz val="10"/>
        <color rgb="FF000000"/>
        <rFont val="Arial"/>
        <family val="2"/>
      </rPr>
      <t>Dorsett/Hotel Mi</t>
    </r>
    <r>
      <rPr>
        <sz val="10"/>
        <color rgb="FF000000"/>
        <rFont val="WenQuanYi Zen Hei"/>
        <family val="2"/>
      </rPr>
      <t>の二重記載）、②池田・</t>
    </r>
    <r>
      <rPr>
        <sz val="10"/>
        <color rgb="FF000000"/>
        <rFont val="Arial"/>
        <family val="2"/>
      </rPr>
      <t>Gerry</t>
    </r>
    <r>
      <rPr>
        <sz val="10"/>
        <color rgb="FF000000"/>
        <rFont val="WenQuanYi Zen Hei"/>
        <family val="2"/>
      </rPr>
      <t>の最終便名（</t>
    </r>
    <r>
      <rPr>
        <sz val="10"/>
        <color rgb="FF000000"/>
        <rFont val="Arial"/>
        <family val="2"/>
      </rPr>
      <t>SQ619/622</t>
    </r>
    <r>
      <rPr>
        <sz val="10"/>
        <color rgb="FF000000"/>
        <rFont val="WenQuanYi Zen Hei"/>
        <family val="2"/>
      </rPr>
      <t>か</t>
    </r>
    <r>
      <rPr>
        <sz val="10"/>
        <color rgb="FF000000"/>
        <rFont val="Arial"/>
        <family val="2"/>
      </rPr>
      <t>Scoot</t>
    </r>
    <r>
      <rPr>
        <sz val="10"/>
        <color rgb="FF000000"/>
        <rFont val="WenQuanYi Zen Hei"/>
        <family val="2"/>
      </rPr>
      <t>）、③</t>
    </r>
    <r>
      <rPr>
        <sz val="10"/>
        <color rgb="FF000000"/>
        <rFont val="Arial"/>
        <family val="2"/>
      </rPr>
      <t>Mizan</t>
    </r>
    <r>
      <rPr>
        <sz val="10"/>
        <color rgb="FF000000"/>
        <rFont val="WenQuanYi Zen Hei"/>
        <family val="2"/>
      </rPr>
      <t>の手配状況、④</t>
    </r>
    <r>
      <rPr>
        <sz val="10"/>
        <color rgb="FF000000"/>
        <rFont val="Arial"/>
        <family val="2"/>
      </rPr>
      <t>SCDF</t>
    </r>
    <r>
      <rPr>
        <sz val="10"/>
        <color rgb="FF000000"/>
        <rFont val="WenQuanYi Zen Hei"/>
        <family val="2"/>
      </rPr>
      <t>側モデレーター・カメラマン・</t>
    </r>
    <r>
      <rPr>
        <sz val="10"/>
        <color rgb="FF000000"/>
        <rFont val="Arial"/>
        <family val="2"/>
      </rPr>
      <t>AV</t>
    </r>
    <r>
      <rPr>
        <sz val="10"/>
        <color rgb="FF000000"/>
        <rFont val="WenQuanYi Zen Hei"/>
        <family val="2"/>
      </rPr>
      <t>操作者の有無（</t>
    </r>
    <r>
      <rPr>
        <sz val="10"/>
        <color rgb="FF000000"/>
        <rFont val="Arial"/>
        <family val="2"/>
      </rPr>
      <t>9</t>
    </r>
    <r>
      <rPr>
        <sz val="10"/>
        <color rgb="FF000000"/>
        <rFont val="WenQuanYi Zen Hei"/>
        <family val="2"/>
      </rPr>
      <t>月合同会議）、⑤森口の現地派遣の要否（予算</t>
    </r>
    <r>
      <rPr>
        <sz val="10"/>
        <color rgb="FF000000"/>
        <rFont val="Arial"/>
        <family val="2"/>
      </rPr>
      <t>14</t>
    </r>
    <r>
      <rPr>
        <sz val="10"/>
        <color rgb="FF000000"/>
        <rFont val="WenQuanYi Zen Hei"/>
        <family val="2"/>
      </rPr>
      <t>名に含まれるが根拠なし）。</t>
    </r>
  </si>
  <si>
    <r>
      <rPr>
        <b/>
        <sz val="12"/>
        <color rgb="FF1F4E78"/>
        <rFont val="WenQuanYi Zen Hei"/>
        <family val="2"/>
      </rPr>
      <t>メンバー国等 到着・出発予定（ホテル部屋数検討用リスト</t>
    </r>
    <r>
      <rPr>
        <b/>
        <sz val="12"/>
        <color rgb="FF1F4E78"/>
        <rFont val="Arial"/>
        <family val="2"/>
      </rPr>
      <t>_tt.xlsx Dorsett</t>
    </r>
    <r>
      <rPr>
        <b/>
        <sz val="12"/>
        <color rgb="FF1F4E78"/>
        <rFont val="WenQuanYi Zen Hei"/>
        <family val="2"/>
      </rPr>
      <t>シート</t>
    </r>
    <r>
      <rPr>
        <b/>
        <sz val="12"/>
        <color rgb="FF1F4E78"/>
        <rFont val="Arial"/>
        <family val="2"/>
      </rPr>
      <t>, as of 2026/8/25-28</t>
    </r>
    <r>
      <rPr>
        <b/>
        <sz val="12"/>
        <color rgb="FF1F4E78"/>
        <rFont val="WenQuanYi Zen Hei"/>
        <family val="2"/>
      </rPr>
      <t>）</t>
    </r>
  </si>
  <si>
    <r>
      <rPr>
        <i/>
        <sz val="9"/>
        <color rgb="FF555555"/>
        <rFont val="Arial"/>
        <family val="2"/>
      </rPr>
      <t>※TBD</t>
    </r>
    <r>
      <rPr>
        <i/>
        <sz val="9"/>
        <color rgb="FF555555"/>
        <rFont val="WenQuanYi Zen Hei"/>
        <family val="2"/>
      </rPr>
      <t>は招待済みで人選未定。</t>
    </r>
    <r>
      <rPr>
        <i/>
        <sz val="9"/>
        <color rgb="FF555555"/>
        <rFont val="Arial"/>
        <family val="2"/>
      </rPr>
      <t>DS=Dorsett</t>
    </r>
    <r>
      <rPr>
        <i/>
        <sz val="9"/>
        <color rgb="FF555555"/>
        <rFont val="WenQuanYi Zen Hei"/>
        <family val="2"/>
      </rPr>
      <t>自己負担。到着時刻は</t>
    </r>
    <r>
      <rPr>
        <i/>
        <sz val="9"/>
        <color rgb="FF555555"/>
        <rFont val="Arial"/>
        <family val="2"/>
      </rPr>
      <t>COSEM</t>
    </r>
    <r>
      <rPr>
        <i/>
        <sz val="9"/>
        <color rgb="FF555555"/>
        <rFont val="WenQuanYi Zen Hei"/>
        <family val="2"/>
      </rPr>
      <t>送迎・</t>
    </r>
    <r>
      <rPr>
        <i/>
        <sz val="9"/>
        <color rgb="FF555555"/>
        <rFont val="Arial"/>
        <family val="2"/>
      </rPr>
      <t>Dorsett</t>
    </r>
    <r>
      <rPr>
        <i/>
        <sz val="9"/>
        <color rgb="FF555555"/>
        <rFont val="WenQuanYi Zen Hei"/>
        <family val="2"/>
      </rPr>
      <t>受付配置の検討用。</t>
    </r>
  </si>
  <si>
    <t>国・組織</t>
  </si>
  <si>
    <t>到着日</t>
  </si>
  <si>
    <t>到着時刻</t>
  </si>
  <si>
    <t>出発日</t>
  </si>
  <si>
    <t>出発時刻</t>
  </si>
  <si>
    <r>
      <rPr>
        <b/>
        <sz val="10"/>
        <color rgb="FFFFFFFF"/>
        <rFont val="WenQuanYi Zen Hei"/>
        <family val="2"/>
      </rPr>
      <t>便名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WenQuanYi Zen Hei"/>
        <family val="2"/>
      </rPr>
      <t>到着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WenQuanYi Zen Hei"/>
        <family val="2"/>
      </rPr>
      <t>出発</t>
    </r>
    <r>
      <rPr>
        <b/>
        <sz val="10"/>
        <color rgb="FFFFFFFF"/>
        <rFont val="Arial"/>
        <family val="2"/>
      </rPr>
      <t>)</t>
    </r>
  </si>
  <si>
    <t>備考</t>
  </si>
  <si>
    <t>モルディブ</t>
  </si>
  <si>
    <t>Hassan Hisan (Chief Executive, NDMA)</t>
  </si>
  <si>
    <t>10/27</t>
  </si>
  <si>
    <t>07:15</t>
  </si>
  <si>
    <t>10/31</t>
  </si>
  <si>
    <t>10:25</t>
  </si>
  <si>
    <t>D</t>
  </si>
  <si>
    <t>Yes</t>
  </si>
  <si>
    <t>Halal</t>
  </si>
  <si>
    <t>アルメニア</t>
  </si>
  <si>
    <t>Syuzanna Vardazari Kakoyan</t>
  </si>
  <si>
    <t>08:45</t>
  </si>
  <si>
    <t>11/1</t>
  </si>
  <si>
    <t>TK208/TK209</t>
  </si>
  <si>
    <t>D(+10/31 DS)</t>
  </si>
  <si>
    <r>
      <rPr>
        <b/>
        <sz val="10"/>
        <color rgb="FF000000"/>
        <rFont val="WenQuanYi Zen Hei"/>
        <family val="2"/>
      </rPr>
      <t>本人希望で</t>
    </r>
    <r>
      <rPr>
        <b/>
        <sz val="10"/>
        <color rgb="FF000000"/>
        <rFont val="Arial"/>
        <family val="2"/>
      </rPr>
      <t>1</t>
    </r>
    <r>
      <rPr>
        <b/>
        <sz val="10"/>
        <color rgb="FF000000"/>
        <rFont val="WenQuanYi Zen Hei"/>
        <family val="2"/>
      </rPr>
      <t>泊延長</t>
    </r>
  </si>
  <si>
    <t>アゼルバイジャン</t>
  </si>
  <si>
    <t>Zamanov Niyazi</t>
  </si>
  <si>
    <t>10/26</t>
  </si>
  <si>
    <t>17:40</t>
  </si>
  <si>
    <t>10/30</t>
  </si>
  <si>
    <t>23:15</t>
  </si>
  <si>
    <t>TK335/TK54</t>
  </si>
  <si>
    <t>Rustamzade Kamran</t>
  </si>
  <si>
    <t>DS</t>
  </si>
  <si>
    <t>トルコ</t>
  </si>
  <si>
    <t>Pehlivan Ali Hamza (Governor/Head of AFAD)</t>
  </si>
  <si>
    <t>―/TK209</t>
  </si>
  <si>
    <t>Yaman Muhammet Maruf</t>
  </si>
  <si>
    <t>モンゴル</t>
  </si>
  <si>
    <t>Nyambayar Tsedev (Director, NEMA)</t>
  </si>
  <si>
    <t>21:55</t>
  </si>
  <si>
    <t>23:55</t>
  </si>
  <si>
    <t>CA969/CA970</t>
  </si>
  <si>
    <r>
      <rPr>
        <b/>
        <sz val="10"/>
        <color rgb="FF000000"/>
        <rFont val="WenQuanYi Zen Hei"/>
        <family val="2"/>
      </rPr>
      <t>中国国際航空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WenQuanYi Zen Hei"/>
        <family val="2"/>
      </rPr>
      <t>北京経由</t>
    </r>
    <r>
      <rPr>
        <b/>
        <sz val="10"/>
        <color rgb="FF000000"/>
        <rFont val="Arial"/>
        <family val="2"/>
      </rPr>
      <t>)</t>
    </r>
  </si>
  <si>
    <t>フィジー</t>
  </si>
  <si>
    <t>Naipolioni Dabea Boseiwaqa (Director, NDRMO)</t>
  </si>
  <si>
    <t>21:35</t>
  </si>
  <si>
    <t>13:40</t>
  </si>
  <si>
    <t>No</t>
  </si>
  <si>
    <t>スリランカ</t>
  </si>
  <si>
    <t>Maj.Gen.(Retd.) Kotuwegoda (DG, DMC)</t>
  </si>
  <si>
    <t>08:10</t>
  </si>
  <si>
    <t>09:40</t>
  </si>
  <si>
    <t>マレーシア</t>
  </si>
  <si>
    <t>Ezrin Rozani Bin Rosli (NADMA)</t>
  </si>
  <si>
    <t>12:20</t>
  </si>
  <si>
    <t>12:45</t>
  </si>
  <si>
    <t>D(10/27-)</t>
  </si>
  <si>
    <t>韓国</t>
  </si>
  <si>
    <t>Byungim So (MOIS)</t>
  </si>
  <si>
    <t>20:25</t>
  </si>
  <si>
    <t>01:35</t>
  </si>
  <si>
    <t>TBD ×2</t>
  </si>
  <si>
    <t>ベトナム</t>
  </si>
  <si>
    <r>
      <rPr>
        <b/>
        <sz val="10"/>
        <color rgb="FF000000"/>
        <rFont val="Arial"/>
        <family val="2"/>
      </rPr>
      <t xml:space="preserve">Doan Thi Tuyet Nga </t>
    </r>
    <r>
      <rPr>
        <b/>
        <sz val="10"/>
        <color rgb="FF000000"/>
        <rFont val="WenQuanYi Zen Hei"/>
        <family val="2"/>
      </rPr>
      <t>ほか</t>
    </r>
    <r>
      <rPr>
        <b/>
        <sz val="10"/>
        <color rgb="FF000000"/>
        <rFont val="Arial"/>
        <family val="2"/>
      </rPr>
      <t>TBD</t>
    </r>
  </si>
  <si>
    <t>17:20</t>
  </si>
  <si>
    <t>12:35</t>
  </si>
  <si>
    <t>D/DS</t>
  </si>
  <si>
    <r>
      <rPr>
        <b/>
        <sz val="10"/>
        <color rgb="FF000000"/>
        <rFont val="Arial"/>
        <family val="2"/>
      </rPr>
      <t>8/27</t>
    </r>
    <r>
      <rPr>
        <b/>
        <sz val="10"/>
        <color rgb="FF000000"/>
        <rFont val="WenQuanYi Zen Hei"/>
        <family val="2"/>
      </rPr>
      <t>登録、</t>
    </r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WenQuanYi Zen Hei"/>
        <family val="2"/>
      </rPr>
      <t>人目の可能性</t>
    </r>
  </si>
  <si>
    <t>ウズベキスタン</t>
  </si>
  <si>
    <r>
      <rPr>
        <b/>
        <sz val="10"/>
        <color rgb="FF000000"/>
        <rFont val="Arial"/>
        <family val="2"/>
      </rPr>
      <t>TBD ×2</t>
    </r>
    <r>
      <rPr>
        <b/>
        <sz val="10"/>
        <color rgb="FF000000"/>
        <rFont val="WenQuanYi Zen Hei"/>
        <family val="2"/>
      </rPr>
      <t>（</t>
    </r>
    <r>
      <rPr>
        <b/>
        <sz val="10"/>
        <color rgb="FF000000"/>
        <rFont val="Arial"/>
        <family val="2"/>
      </rPr>
      <t>1</t>
    </r>
    <r>
      <rPr>
        <b/>
        <sz val="10"/>
        <color rgb="FF000000"/>
        <rFont val="WenQuanYi Zen Hei"/>
        <family val="2"/>
      </rPr>
      <t>名は</t>
    </r>
    <r>
      <rPr>
        <b/>
        <sz val="10"/>
        <color rgb="FF000000"/>
        <rFont val="Arial"/>
        <family val="2"/>
      </rPr>
      <t>TS</t>
    </r>
    <r>
      <rPr>
        <b/>
        <sz val="10"/>
        <color rgb="FF000000"/>
        <rFont val="WenQuanYi Zen Hei"/>
        <family val="2"/>
      </rPr>
      <t>スピーカー）</t>
    </r>
  </si>
  <si>
    <t>D×2</t>
  </si>
  <si>
    <r>
      <rPr>
        <b/>
        <sz val="10"/>
        <color rgb="FF000000"/>
        <rFont val="WenQuanYi Zen Hei"/>
        <family val="2"/>
      </rPr>
      <t>宿泊負担の整理未了（田中</t>
    </r>
    <r>
      <rPr>
        <b/>
        <sz val="10"/>
        <color rgb="FF000000"/>
        <rFont val="Arial"/>
        <family val="2"/>
      </rPr>
      <t>8/31</t>
    </r>
    <r>
      <rPr>
        <b/>
        <sz val="10"/>
        <color rgb="FF000000"/>
        <rFont val="WenQuanYi Zen Hei"/>
        <family val="2"/>
      </rPr>
      <t>）</t>
    </r>
  </si>
  <si>
    <t>フィリピン</t>
  </si>
  <si>
    <t>12:10</t>
  </si>
  <si>
    <t>ブルネイ</t>
  </si>
  <si>
    <t>14:30</t>
  </si>
  <si>
    <t>09:00</t>
  </si>
  <si>
    <t>ブータン</t>
  </si>
  <si>
    <t>TBD</t>
  </si>
  <si>
    <t>19:30</t>
  </si>
  <si>
    <t>12:30</t>
  </si>
  <si>
    <t>PNG</t>
  </si>
  <si>
    <t>20:40</t>
  </si>
  <si>
    <t>タイ</t>
  </si>
  <si>
    <t>14:50</t>
  </si>
  <si>
    <t>12:25</t>
  </si>
  <si>
    <t>カンボジア</t>
  </si>
  <si>
    <r>
      <rPr>
        <b/>
        <sz val="10"/>
        <color rgb="FF000000"/>
        <rFont val="Arial"/>
        <family val="2"/>
      </rPr>
      <t>9/1</t>
    </r>
    <r>
      <rPr>
        <b/>
        <sz val="10"/>
        <color rgb="FF000000"/>
        <rFont val="WenQuanYi Zen Hei"/>
        <family val="2"/>
      </rPr>
      <t>登録あり</t>
    </r>
  </si>
  <si>
    <t>ミャンマー</t>
  </si>
  <si>
    <t>15:10</t>
  </si>
  <si>
    <t>13:45</t>
  </si>
  <si>
    <t>インドネシア</t>
  </si>
  <si>
    <t>11:20</t>
  </si>
  <si>
    <t>22:40</t>
  </si>
  <si>
    <t>パキスタン</t>
  </si>
  <si>
    <t>11:15</t>
  </si>
  <si>
    <t>インド</t>
  </si>
  <si>
    <r>
      <rPr>
        <b/>
        <sz val="10"/>
        <color rgb="FF000000"/>
        <rFont val="Arial"/>
        <family val="2"/>
      </rPr>
      <t>3</t>
    </r>
    <r>
      <rPr>
        <b/>
        <sz val="10"/>
        <color rgb="FF000000"/>
        <rFont val="WenQuanYi Zen Hei"/>
        <family val="2"/>
      </rPr>
      <t>名（</t>
    </r>
    <r>
      <rPr>
        <b/>
        <sz val="10"/>
        <color rgb="FF000000"/>
        <rFont val="Arial"/>
        <family val="2"/>
      </rPr>
      <t>8/28</t>
    </r>
    <r>
      <rPr>
        <b/>
        <sz val="10"/>
        <color rgb="FF000000"/>
        <rFont val="WenQuanYi Zen Hei"/>
        <family val="2"/>
      </rPr>
      <t>登録、</t>
    </r>
    <r>
      <rPr>
        <b/>
        <sz val="10"/>
        <color rgb="FF000000"/>
        <rFont val="Arial"/>
        <family val="2"/>
      </rPr>
      <t>9/3</t>
    </r>
    <r>
      <rPr>
        <b/>
        <sz val="10"/>
        <color rgb="FF000000"/>
        <rFont val="WenQuanYi Zen Hei"/>
        <family val="2"/>
      </rPr>
      <t>に</t>
    </r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WenQuanYi Zen Hei"/>
        <family val="2"/>
      </rPr>
      <t>人目確認）</t>
    </r>
  </si>
  <si>
    <t>16:40</t>
  </si>
  <si>
    <t>D+DS×2</t>
  </si>
  <si>
    <t>内閣府（日本）</t>
  </si>
  <si>
    <r>
      <rPr>
        <b/>
        <sz val="10"/>
        <color rgb="FF000000"/>
        <rFont val="WenQuanYi Zen Hei"/>
        <family val="2"/>
      </rPr>
      <t>林 正道 政策統括官 ＋随行</t>
    </r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WenQuanYi Zen Hei"/>
        <family val="2"/>
      </rPr>
      <t>名</t>
    </r>
  </si>
  <si>
    <t>01:20</t>
  </si>
  <si>
    <r>
      <rPr>
        <b/>
        <sz val="10"/>
        <color rgb="FF000000"/>
        <rFont val="Arial"/>
        <family val="2"/>
      </rPr>
      <t>DS×2(+</t>
    </r>
    <r>
      <rPr>
        <b/>
        <sz val="10"/>
        <color rgb="FF000000"/>
        <rFont val="WenQuanYi Zen Hei"/>
        <family val="2"/>
      </rPr>
      <t>林氏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</si>
  <si>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Arial"/>
        <family val="2"/>
      </rPr>
      <t>CV</t>
    </r>
    <r>
      <rPr>
        <b/>
        <sz val="10"/>
        <color rgb="FF000000"/>
        <rFont val="WenQuanYi Zen Hei"/>
        <family val="2"/>
      </rPr>
      <t>準備中。英語サポート要</t>
    </r>
  </si>
  <si>
    <t>リソース</t>
  </si>
  <si>
    <r>
      <rPr>
        <b/>
        <sz val="10"/>
        <color rgb="FF000000"/>
        <rFont val="Arial"/>
        <family val="2"/>
      </rPr>
      <t>TS</t>
    </r>
    <r>
      <rPr>
        <b/>
        <sz val="10"/>
        <color rgb="FF000000"/>
        <rFont val="WenQuanYi Zen Hei"/>
        <family val="2"/>
      </rPr>
      <t>スピーカー</t>
    </r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WenQuanYi Zen Hei"/>
        <family val="2"/>
      </rPr>
      <t>名（海外）</t>
    </r>
  </si>
  <si>
    <r>
      <rPr>
        <b/>
        <sz val="10"/>
        <color rgb="FF000000"/>
        <rFont val="Arial"/>
        <family val="2"/>
      </rPr>
      <t>JAXA</t>
    </r>
    <r>
      <rPr>
        <b/>
        <sz val="10"/>
        <color rgb="FF000000"/>
        <rFont val="WenQuanYi Zen Hei"/>
        <family val="2"/>
      </rPr>
      <t>川北氏確定、他調整中</t>
    </r>
  </si>
  <si>
    <t>観察者・一般</t>
  </si>
  <si>
    <r>
      <rPr>
        <b/>
        <sz val="10"/>
        <color rgb="FF000000"/>
        <rFont val="Arial"/>
        <family val="2"/>
      </rPr>
      <t>ADPC 2</t>
    </r>
    <r>
      <rPr>
        <b/>
        <sz val="10"/>
        <color rgb="FF000000"/>
        <rFont val="WenQuanYi Zen Hei"/>
        <family val="2"/>
      </rPr>
      <t>名、</t>
    </r>
    <r>
      <rPr>
        <b/>
        <sz val="10"/>
        <color rgb="FF000000"/>
        <rFont val="Arial"/>
        <family val="2"/>
      </rPr>
      <t>AHA Centre</t>
    </r>
    <r>
      <rPr>
        <b/>
        <sz val="10"/>
        <color rgb="FF000000"/>
        <rFont val="WenQuanYi Zen Hei"/>
        <family val="2"/>
      </rPr>
      <t>、</t>
    </r>
    <r>
      <rPr>
        <b/>
        <sz val="10"/>
        <color rgb="FF000000"/>
        <rFont val="Arial"/>
        <family val="2"/>
      </rPr>
      <t>JICA</t>
    </r>
    <r>
      <rPr>
        <b/>
        <sz val="10"/>
        <color rgb="FF000000"/>
        <rFont val="WenQuanYi Zen Hei"/>
        <family val="2"/>
      </rPr>
      <t>フィジー、東北大小野教授、仙台市</t>
    </r>
    <r>
      <rPr>
        <b/>
        <sz val="10"/>
        <color rgb="FF000000"/>
        <rFont val="Arial"/>
        <family val="2"/>
      </rPr>
      <t>3</t>
    </r>
    <r>
      <rPr>
        <b/>
        <sz val="10"/>
        <color rgb="FF000000"/>
        <rFont val="WenQuanYi Zen Hei"/>
        <family val="2"/>
      </rPr>
      <t>名、</t>
    </r>
    <r>
      <rPr>
        <b/>
        <sz val="10"/>
        <color rgb="FF000000"/>
        <rFont val="Arial"/>
        <family val="2"/>
      </rPr>
      <t>Mercy Malaysia</t>
    </r>
    <r>
      <rPr>
        <b/>
        <sz val="10"/>
        <color rgb="FF000000"/>
        <rFont val="WenQuanYi Zen Hei"/>
        <family val="2"/>
      </rPr>
      <t>、大学関係 等</t>
    </r>
  </si>
  <si>
    <t>自己手配</t>
  </si>
  <si>
    <t>昼食提供対象</t>
  </si>
  <si>
    <r>
      <rPr>
        <sz val="9"/>
        <color rgb="FFC00000"/>
        <rFont val="Arial"/>
        <family val="2"/>
      </rPr>
      <t>Dorsett</t>
    </r>
    <r>
      <rPr>
        <sz val="9"/>
        <color rgb="FFC00000"/>
        <rFont val="WenQuanYi Zen Hei"/>
        <family val="2"/>
      </rPr>
      <t>確保数（</t>
    </r>
    <r>
      <rPr>
        <sz val="9"/>
        <color rgb="FFC00000"/>
        <rFont val="Arial"/>
        <family val="2"/>
      </rPr>
      <t>8/28</t>
    </r>
    <r>
      <rPr>
        <sz val="9"/>
        <color rgb="FFC00000"/>
        <rFont val="WenQuanYi Zen Hei"/>
        <family val="2"/>
      </rPr>
      <t>に</t>
    </r>
    <r>
      <rPr>
        <sz val="9"/>
        <color rgb="FFC00000"/>
        <rFont val="Arial"/>
        <family val="2"/>
      </rPr>
      <t>COSEM</t>
    </r>
    <r>
      <rPr>
        <sz val="9"/>
        <color rgb="FFC00000"/>
        <rFont val="WenQuanYi Zen Hei"/>
        <family val="2"/>
      </rPr>
      <t>へ通知）</t>
    </r>
    <r>
      <rPr>
        <sz val="9"/>
        <color rgb="FFC00000"/>
        <rFont val="Arial"/>
        <family val="2"/>
      </rPr>
      <t>: 10/26 29</t>
    </r>
    <r>
      <rPr>
        <sz val="9"/>
        <color rgb="FFC00000"/>
        <rFont val="WenQuanYi Zen Hei"/>
        <family val="2"/>
      </rPr>
      <t>室、</t>
    </r>
    <r>
      <rPr>
        <sz val="9"/>
        <color rgb="FFC00000"/>
        <rFont val="Arial"/>
        <family val="2"/>
      </rPr>
      <t>10/27-30 37</t>
    </r>
    <r>
      <rPr>
        <sz val="9"/>
        <color rgb="FFC00000"/>
        <rFont val="WenQuanYi Zen Hei"/>
        <family val="2"/>
      </rPr>
      <t>室</t>
    </r>
    <r>
      <rPr>
        <sz val="9"/>
        <color rgb="FFC00000"/>
        <rFont val="Arial"/>
        <family val="2"/>
      </rPr>
      <t>/</t>
    </r>
    <r>
      <rPr>
        <sz val="9"/>
        <color rgb="FFC00000"/>
        <rFont val="WenQuanYi Zen Hei"/>
        <family val="2"/>
      </rPr>
      <t>泊、</t>
    </r>
    <r>
      <rPr>
        <sz val="9"/>
        <color rgb="FFC00000"/>
        <rFont val="Arial"/>
        <family val="2"/>
      </rPr>
      <t>10/31 2</t>
    </r>
    <r>
      <rPr>
        <sz val="9"/>
        <color rgb="FFC00000"/>
        <rFont val="WenQuanYi Zen Hei"/>
        <family val="2"/>
      </rPr>
      <t>室、計</t>
    </r>
    <r>
      <rPr>
        <sz val="9"/>
        <color rgb="FFC00000"/>
        <rFont val="Arial"/>
        <family val="2"/>
      </rPr>
      <t>180 room nights</t>
    </r>
    <r>
      <rPr>
        <sz val="9"/>
        <color rgb="FFC00000"/>
        <rFont val="WenQuanYi Zen Hei"/>
        <family val="2"/>
      </rPr>
      <t>。</t>
    </r>
    <r>
      <rPr>
        <sz val="9"/>
        <color rgb="FFC00000"/>
        <rFont val="Arial"/>
        <family val="2"/>
      </rPr>
      <t>9/28</t>
    </r>
    <r>
      <rPr>
        <sz val="9"/>
        <color rgb="FFC00000"/>
        <rFont val="WenQuanYi Zen Hei"/>
        <family val="2"/>
      </rPr>
      <t>に</t>
    </r>
    <r>
      <rPr>
        <sz val="9"/>
        <color rgb="FFC00000"/>
        <rFont val="Arial"/>
        <family val="2"/>
      </rPr>
      <t>10%</t>
    </r>
    <r>
      <rPr>
        <sz val="9"/>
        <color rgb="FFC00000"/>
        <rFont val="WenQuanYi Zen Hei"/>
        <family val="2"/>
      </rPr>
      <t>リリース可、以後</t>
    </r>
    <r>
      <rPr>
        <sz val="9"/>
        <color rgb="FFC00000"/>
        <rFont val="Arial"/>
        <family val="2"/>
      </rPr>
      <t>100%</t>
    </r>
    <r>
      <rPr>
        <sz val="9"/>
        <color rgb="FFC00000"/>
        <rFont val="WenQuanYi Zen Hei"/>
        <family val="2"/>
      </rPr>
      <t>課金。</t>
    </r>
  </si>
  <si>
    <r>
      <rPr>
        <b/>
        <sz val="12"/>
        <color rgb="FF1F4E78"/>
        <rFont val="WenQuanYi Zen Hei"/>
        <family val="2"/>
      </rPr>
      <t>出典と前提（本表は</t>
    </r>
    <r>
      <rPr>
        <b/>
        <sz val="12"/>
        <color rgb="FF1F4E78"/>
        <rFont val="Arial"/>
        <family val="2"/>
      </rPr>
      <t>2026/9/4</t>
    </r>
    <r>
      <rPr>
        <b/>
        <sz val="12"/>
        <color rgb="FF1F4E78"/>
        <rFont val="WenQuanYi Zen Hei"/>
        <family val="2"/>
      </rPr>
      <t>時点の一次資料から作成。未確認事項は各シートに明記）</t>
    </r>
  </si>
  <si>
    <t>#</t>
  </si>
  <si>
    <t>資料</t>
  </si>
  <si>
    <t>本表での使用箇所</t>
  </si>
  <si>
    <r>
      <rPr>
        <b/>
        <sz val="10"/>
        <color rgb="FF000000"/>
        <rFont val="Arial"/>
        <family val="2"/>
      </rPr>
      <t xml:space="preserve">Gmail: </t>
    </r>
    <r>
      <rPr>
        <b/>
        <sz val="10"/>
        <color rgb="FF000000"/>
        <rFont val="WenQuanYi Zen Hei"/>
        <family val="2"/>
      </rPr>
      <t xml:space="preserve">荒木田→研究部・事務局 </t>
    </r>
    <r>
      <rPr>
        <b/>
        <sz val="10"/>
        <color rgb="FF000000"/>
        <rFont val="Arial"/>
        <family val="2"/>
      </rPr>
      <t>2026/9/2</t>
    </r>
    <r>
      <rPr>
        <b/>
        <sz val="10"/>
        <color rgb="FF000000"/>
        <rFont val="WenQuanYi Zen Hei"/>
        <family val="2"/>
      </rPr>
      <t>「</t>
    </r>
    <r>
      <rPr>
        <b/>
        <sz val="10"/>
        <color rgb="FF000000"/>
        <rFont val="Arial"/>
        <family val="2"/>
      </rPr>
      <t>ACDR2026</t>
    </r>
    <r>
      <rPr>
        <b/>
        <sz val="10"/>
        <color rgb="FF000000"/>
        <rFont val="WenQuanYi Zen Hei"/>
        <family val="2"/>
      </rPr>
      <t>打合せ」</t>
    </r>
    <r>
      <rPr>
        <b/>
        <sz val="10"/>
        <color rgb="FF000000"/>
        <rFont val="Arial"/>
        <family val="2"/>
      </rPr>
      <t>(9/4 15-16</t>
    </r>
    <r>
      <rPr>
        <b/>
        <sz val="10"/>
        <color rgb="FF000000"/>
        <rFont val="WenQuanYi Zen Hei"/>
        <family val="2"/>
      </rPr>
      <t>時所内打合せ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</si>
  <si>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WenQuanYi Zen Hei"/>
        <family val="2"/>
      </rPr>
      <t>児玉</t>
    </r>
    <r>
      <rPr>
        <b/>
        <sz val="10"/>
        <color rgb="FF000000"/>
        <rFont val="Arial"/>
        <family val="2"/>
      </rPr>
      <t>9/3</t>
    </r>
    <r>
      <rPr>
        <b/>
        <sz val="10"/>
        <color rgb="FF000000"/>
        <rFont val="WenQuanYi Zen Hei"/>
        <family val="2"/>
      </rPr>
      <t>『役割分担等再確認』の指示</t>
    </r>
  </si>
  <si>
    <r>
      <rPr>
        <b/>
        <sz val="10"/>
        <color rgb="FF000000"/>
        <rFont val="Arial"/>
        <family val="2"/>
      </rPr>
      <t xml:space="preserve">Gmail: </t>
    </r>
    <r>
      <rPr>
        <b/>
        <sz val="10"/>
        <color rgb="FF000000"/>
        <rFont val="WenQuanYi Zen Hei"/>
        <family val="2"/>
      </rPr>
      <t xml:space="preserve">荒木田→塩見 </t>
    </r>
    <r>
      <rPr>
        <b/>
        <sz val="10"/>
        <color rgb="FF000000"/>
        <rFont val="Arial"/>
        <family val="2"/>
      </rPr>
      <t>2026/9/4</t>
    </r>
    <r>
      <rPr>
        <b/>
        <sz val="10"/>
        <color rgb="FF000000"/>
        <rFont val="WenQuanYi Zen Hei"/>
        <family val="2"/>
      </rPr>
      <t>「日程について」返信</t>
    </r>
  </si>
  <si>
    <t>塩見への現地参加打診（未回答）</t>
  </si>
  <si>
    <r>
      <rPr>
        <b/>
        <sz val="10"/>
        <color rgb="FF000000"/>
        <rFont val="Arial"/>
        <family val="2"/>
      </rPr>
      <t xml:space="preserve">Gmail: </t>
    </r>
    <r>
      <rPr>
        <b/>
        <sz val="10"/>
        <color rgb="FF000000"/>
        <rFont val="WenQuanYi Zen Hei"/>
        <family val="2"/>
      </rPr>
      <t xml:space="preserve">荒木田→藤本 </t>
    </r>
    <r>
      <rPr>
        <b/>
        <sz val="10"/>
        <color rgb="FF000000"/>
        <rFont val="Arial"/>
        <family val="2"/>
      </rPr>
      <t>2026/8/6</t>
    </r>
    <r>
      <rPr>
        <b/>
        <sz val="10"/>
        <color rgb="FF000000"/>
        <rFont val="WenQuanYi Zen Hei"/>
        <family val="2"/>
      </rPr>
      <t>「</t>
    </r>
    <r>
      <rPr>
        <b/>
        <sz val="10"/>
        <color rgb="FF000000"/>
        <rFont val="Arial"/>
        <family val="2"/>
      </rPr>
      <t>ACDR2026</t>
    </r>
    <r>
      <rPr>
        <b/>
        <sz val="10"/>
        <color rgb="FF000000"/>
        <rFont val="WenQuanYi Zen Hei"/>
        <family val="2"/>
      </rPr>
      <t xml:space="preserve">に行きませんか」／藤本 </t>
    </r>
    <r>
      <rPr>
        <b/>
        <sz val="10"/>
        <color rgb="FF000000"/>
        <rFont val="Arial"/>
        <family val="2"/>
      </rPr>
      <t>8/7</t>
    </r>
    <r>
      <rPr>
        <b/>
        <sz val="10"/>
        <color rgb="FF000000"/>
        <rFont val="WenQuanYi Zen Hei"/>
        <family val="2"/>
      </rPr>
      <t>返信</t>
    </r>
  </si>
  <si>
    <r>
      <rPr>
        <b/>
        <sz val="10"/>
        <color rgb="FF000000"/>
        <rFont val="WenQuanYi Zen Hei"/>
        <family val="2"/>
      </rPr>
      <t>追加要員</t>
    </r>
    <r>
      <rPr>
        <b/>
        <sz val="10"/>
        <color rgb="FF000000"/>
        <rFont val="Arial"/>
        <family val="2"/>
      </rPr>
      <t>1-2</t>
    </r>
    <r>
      <rPr>
        <b/>
        <sz val="10"/>
        <color rgb="FF000000"/>
        <rFont val="WenQuanYi Zen Hei"/>
        <family val="2"/>
      </rPr>
      <t>名の必要性、藤本の参加可否</t>
    </r>
  </si>
  <si>
    <t>4</t>
  </si>
  <si>
    <r>
      <rPr>
        <b/>
        <sz val="10"/>
        <color rgb="FF000000"/>
        <rFont val="Arial"/>
        <family val="2"/>
      </rPr>
      <t>Gmail</t>
    </r>
    <r>
      <rPr>
        <b/>
        <sz val="10"/>
        <color rgb="FF000000"/>
        <rFont val="WenQuanYi Zen Hei"/>
        <family val="2"/>
      </rPr>
      <t>添付</t>
    </r>
    <r>
      <rPr>
        <b/>
        <sz val="10"/>
        <color rgb="FF000000"/>
        <rFont val="Arial"/>
        <family val="2"/>
      </rPr>
      <t>: ACDR2026_Demarcation_asof0805.pptx</t>
    </r>
    <r>
      <rPr>
        <b/>
        <sz val="10"/>
        <color rgb="FF000000"/>
        <rFont val="WenQuanYi Zen Hei"/>
        <family val="2"/>
      </rPr>
      <t xml:space="preserve">（荒木田→藤本 </t>
    </r>
    <r>
      <rPr>
        <b/>
        <sz val="10"/>
        <color rgb="FF000000"/>
        <rFont val="Arial"/>
        <family val="2"/>
      </rPr>
      <t>8/6</t>
    </r>
    <r>
      <rPr>
        <b/>
        <sz val="10"/>
        <color rgb="FF000000"/>
        <rFont val="WenQuanYi Zen Hei"/>
        <family val="2"/>
      </rPr>
      <t>）</t>
    </r>
  </si>
  <si>
    <r>
      <rPr>
        <b/>
        <sz val="10"/>
        <color rgb="FF000000"/>
        <rFont val="WenQuanYi Zen Hei"/>
        <family val="2"/>
      </rPr>
      <t>役割分担（</t>
    </r>
    <r>
      <rPr>
        <b/>
        <sz val="10"/>
        <color rgb="FF000000"/>
        <rFont val="Arial"/>
        <family val="2"/>
      </rPr>
      <t>8/6</t>
    </r>
    <r>
      <rPr>
        <b/>
        <sz val="10"/>
        <color rgb="FF000000"/>
        <rFont val="WenQuanYi Zen Hei"/>
        <family val="2"/>
      </rPr>
      <t>版）</t>
    </r>
  </si>
  <si>
    <t>5</t>
  </si>
  <si>
    <r>
      <rPr>
        <b/>
        <sz val="10"/>
        <color rgb="FF000000"/>
        <rFont val="Arial"/>
        <family val="2"/>
      </rPr>
      <t>Gmail</t>
    </r>
    <r>
      <rPr>
        <b/>
        <sz val="10"/>
        <color rgb="FF000000"/>
        <rFont val="WenQuanYi Zen Hei"/>
        <family val="2"/>
      </rPr>
      <t>添付</t>
    </r>
    <r>
      <rPr>
        <b/>
        <sz val="10"/>
        <color rgb="FF000000"/>
        <rFont val="Arial"/>
        <family val="2"/>
      </rPr>
      <t xml:space="preserve">: </t>
    </r>
    <r>
      <rPr>
        <b/>
        <sz val="10"/>
        <color rgb="FF000000"/>
        <rFont val="WenQuanYi Zen Hei"/>
        <family val="2"/>
      </rPr>
      <t xml:space="preserve">ホテル部屋数検討用リスト </t>
    </r>
    <r>
      <rPr>
        <b/>
        <sz val="10"/>
        <color rgb="FF000000"/>
        <rFont val="Arial"/>
        <family val="2"/>
      </rPr>
      <t>_tt.xlsx</t>
    </r>
    <r>
      <rPr>
        <b/>
        <sz val="10"/>
        <color rgb="FF000000"/>
        <rFont val="WenQuanYi Zen Hei"/>
        <family val="2"/>
      </rPr>
      <t xml:space="preserve">（田中→藤中・荒木田・児玉 </t>
    </r>
    <r>
      <rPr>
        <b/>
        <sz val="10"/>
        <color rgb="FF000000"/>
        <rFont val="Arial"/>
        <family val="2"/>
      </rPr>
      <t>8/28</t>
    </r>
    <r>
      <rPr>
        <b/>
        <sz val="10"/>
        <color rgb="FF000000"/>
        <rFont val="WenQuanYi Zen Hei"/>
        <family val="2"/>
      </rPr>
      <t>）</t>
    </r>
  </si>
  <si>
    <r>
      <rPr>
        <b/>
        <sz val="10"/>
        <color rgb="FF000000"/>
        <rFont val="WenQuanYi Zen Hei"/>
        <family val="2"/>
      </rPr>
      <t>スタッフ・参加者の到着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WenQuanYi Zen Hei"/>
        <family val="2"/>
      </rPr>
      <t>出発・宿泊</t>
    </r>
  </si>
  <si>
    <t>6</t>
  </si>
  <si>
    <r>
      <rPr>
        <b/>
        <sz val="10"/>
        <color rgb="FF000000"/>
        <rFont val="Arial"/>
        <family val="2"/>
      </rPr>
      <t xml:space="preserve">Gmail: </t>
    </r>
    <r>
      <rPr>
        <b/>
        <sz val="10"/>
        <color rgb="FF000000"/>
        <rFont val="WenQuanYi Zen Hei"/>
        <family val="2"/>
      </rPr>
      <t>事務局→</t>
    </r>
    <r>
      <rPr>
        <b/>
        <sz val="10"/>
        <color rgb="FF000000"/>
        <rFont val="Arial"/>
        <family val="2"/>
      </rPr>
      <t>Sylvia(COSEM) 8/28</t>
    </r>
    <r>
      <rPr>
        <b/>
        <sz val="10"/>
        <color rgb="FF000000"/>
        <rFont val="WenQuanYi Zen Hei"/>
        <family val="2"/>
      </rPr>
      <t>「</t>
    </r>
    <r>
      <rPr>
        <b/>
        <sz val="10"/>
        <color rgb="FF000000"/>
        <rFont val="Arial"/>
        <family val="2"/>
      </rPr>
      <t>Hotel Guest Rooms as of 28 August</t>
    </r>
    <r>
      <rPr>
        <b/>
        <sz val="10"/>
        <color rgb="FF000000"/>
        <rFont val="WenQuanYi Zen Hei"/>
        <family val="2"/>
      </rPr>
      <t xml:space="preserve">」／藤中 </t>
    </r>
    <r>
      <rPr>
        <b/>
        <sz val="10"/>
        <color rgb="FF000000"/>
        <rFont val="Arial"/>
        <family val="2"/>
      </rPr>
      <t>9/1</t>
    </r>
    <r>
      <rPr>
        <b/>
        <sz val="10"/>
        <color rgb="FF000000"/>
        <rFont val="WenQuanYi Zen Hei"/>
        <family val="2"/>
      </rPr>
      <t>返信</t>
    </r>
  </si>
  <si>
    <t>Dorsett 180 room nights</t>
  </si>
  <si>
    <t>7</t>
  </si>
  <si>
    <r>
      <rPr>
        <b/>
        <sz val="10"/>
        <color rgb="FF000000"/>
        <rFont val="Arial"/>
        <family val="2"/>
      </rPr>
      <t>Gmail</t>
    </r>
    <r>
      <rPr>
        <b/>
        <sz val="10"/>
        <color rgb="FF000000"/>
        <rFont val="WenQuanYi Zen Hei"/>
        <family val="2"/>
      </rPr>
      <t>添付</t>
    </r>
    <r>
      <rPr>
        <b/>
        <sz val="10"/>
        <color rgb="FF000000"/>
        <rFont val="Arial"/>
        <family val="2"/>
      </rPr>
      <t>: ACDR2026</t>
    </r>
    <r>
      <rPr>
        <b/>
        <sz val="10"/>
        <color rgb="FF000000"/>
        <rFont val="WenQuanYi Zen Hei"/>
        <family val="2"/>
      </rPr>
      <t>予算</t>
    </r>
    <r>
      <rPr>
        <b/>
        <sz val="10"/>
        <color rgb="FF000000"/>
        <rFont val="Arial"/>
        <family val="2"/>
      </rPr>
      <t>.xlsx</t>
    </r>
    <r>
      <rPr>
        <b/>
        <sz val="10"/>
        <color rgb="FF000000"/>
        <rFont val="WenQuanYi Zen Hei"/>
        <family val="2"/>
      </rPr>
      <t xml:space="preserve">（藤中→荒木田・児玉 </t>
    </r>
    <r>
      <rPr>
        <b/>
        <sz val="10"/>
        <color rgb="FF000000"/>
        <rFont val="Arial"/>
        <family val="2"/>
      </rPr>
      <t>8/21</t>
    </r>
    <r>
      <rPr>
        <b/>
        <sz val="10"/>
        <color rgb="FF000000"/>
        <rFont val="WenQuanYi Zen Hei"/>
        <family val="2"/>
      </rPr>
      <t>）</t>
    </r>
  </si>
  <si>
    <r>
      <rPr>
        <b/>
        <sz val="10"/>
        <color rgb="FF000000"/>
        <rFont val="WenQuanYi Zen Hei"/>
        <family val="2"/>
      </rPr>
      <t>スタッフ</t>
    </r>
    <r>
      <rPr>
        <b/>
        <sz val="10"/>
        <color rgb="FF000000"/>
        <rFont val="Arial"/>
        <family val="2"/>
      </rPr>
      <t>14</t>
    </r>
    <r>
      <rPr>
        <b/>
        <sz val="10"/>
        <color rgb="FF000000"/>
        <rFont val="WenQuanYi Zen Hei"/>
        <family val="2"/>
      </rPr>
      <t>名リスト、旅費・宿泊予算、超過見込み</t>
    </r>
  </si>
  <si>
    <t>8</t>
  </si>
  <si>
    <r>
      <rPr>
        <b/>
        <sz val="10"/>
        <color rgb="FF000000"/>
        <rFont val="Arial"/>
        <family val="2"/>
      </rPr>
      <t>Gmail</t>
    </r>
    <r>
      <rPr>
        <b/>
        <sz val="10"/>
        <color rgb="FF000000"/>
        <rFont val="WenQuanYi Zen Hei"/>
        <family val="2"/>
      </rPr>
      <t>添付</t>
    </r>
    <r>
      <rPr>
        <b/>
        <sz val="10"/>
        <color rgb="FF000000"/>
        <rFont val="Arial"/>
        <family val="2"/>
      </rPr>
      <t>: ACDR2026_Draft_Agenda_EN_0805r.docx</t>
    </r>
    <r>
      <rPr>
        <b/>
        <sz val="10"/>
        <color rgb="FF000000"/>
        <rFont val="WenQuanYi Zen Hei"/>
        <family val="2"/>
      </rPr>
      <t xml:space="preserve">（児玉 </t>
    </r>
    <r>
      <rPr>
        <b/>
        <sz val="10"/>
        <color rgb="FF000000"/>
        <rFont val="Arial"/>
        <family val="2"/>
      </rPr>
      <t>8/5</t>
    </r>
    <r>
      <rPr>
        <b/>
        <sz val="10"/>
        <color rgb="FF000000"/>
        <rFont val="WenQuanYi Zen Hei"/>
        <family val="2"/>
      </rPr>
      <t>）＋</t>
    </r>
    <r>
      <rPr>
        <b/>
        <sz val="10"/>
        <color rgb="FF000000"/>
        <rFont val="Arial"/>
        <family val="2"/>
      </rPr>
      <t>Flyer 8/26</t>
    </r>
    <r>
      <rPr>
        <b/>
        <sz val="10"/>
        <color rgb="FF000000"/>
        <rFont val="WenQuanYi Zen Hei"/>
        <family val="2"/>
      </rPr>
      <t>版（</t>
    </r>
    <r>
      <rPr>
        <b/>
        <sz val="10"/>
        <color rgb="FF000000"/>
        <rFont val="Arial"/>
        <family val="2"/>
      </rPr>
      <t>Field Trip 13:00</t>
    </r>
    <r>
      <rPr>
        <b/>
        <sz val="10"/>
        <color rgb="FF000000"/>
        <rFont val="WenQuanYi Zen Hei"/>
        <family val="2"/>
      </rPr>
      <t>）</t>
    </r>
  </si>
  <si>
    <t>会期プログラム</t>
  </si>
  <si>
    <t>9</t>
  </si>
  <si>
    <r>
      <rPr>
        <b/>
        <sz val="10"/>
        <color rgb="FF000000"/>
        <rFont val="Arial"/>
        <family val="2"/>
      </rPr>
      <t xml:space="preserve">Gmail: </t>
    </r>
    <r>
      <rPr>
        <b/>
        <sz val="10"/>
        <color rgb="FF000000"/>
        <rFont val="WenQuanYi Zen Hei"/>
        <family val="2"/>
      </rPr>
      <t xml:space="preserve">藤中 </t>
    </r>
    <r>
      <rPr>
        <b/>
        <sz val="10"/>
        <color rgb="FF000000"/>
        <rFont val="Arial"/>
        <family val="2"/>
      </rPr>
      <t>7/15</t>
    </r>
    <r>
      <rPr>
        <b/>
        <sz val="10"/>
        <color rgb="FF000000"/>
        <rFont val="WenQuanYi Zen Hei"/>
        <family val="2"/>
      </rPr>
      <t>「三浦センター長のフライト」／</t>
    </r>
    <r>
      <rPr>
        <b/>
        <sz val="10"/>
        <color rgb="FF000000"/>
        <rFont val="Arial"/>
        <family val="2"/>
      </rPr>
      <t>7/29-31</t>
    </r>
    <r>
      <rPr>
        <b/>
        <sz val="10"/>
        <color rgb="FF000000"/>
        <rFont val="WenQuanYi Zen Hei"/>
        <family val="2"/>
      </rPr>
      <t>「シンガポール行きのフライト【</t>
    </r>
    <r>
      <rPr>
        <b/>
        <sz val="10"/>
        <color rgb="FF000000"/>
        <rFont val="Arial"/>
        <family val="2"/>
      </rPr>
      <t>ACDR2026</t>
    </r>
    <r>
      <rPr>
        <b/>
        <sz val="10"/>
        <color rgb="FF000000"/>
        <rFont val="WenQuanYi Zen Hei"/>
        <family val="2"/>
      </rPr>
      <t>】」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WenQuanYi Zen Hei"/>
        <family val="2"/>
      </rPr>
      <t>北本</t>
    </r>
    <r>
      <rPr>
        <b/>
        <sz val="10"/>
        <color rgb="FF000000"/>
        <rFont val="Arial"/>
        <family val="2"/>
      </rPr>
      <t>)</t>
    </r>
    <r>
      <rPr>
        <b/>
        <sz val="10"/>
        <color rgb="FF000000"/>
        <rFont val="WenQuanYi Zen Hei"/>
        <family val="2"/>
      </rPr>
      <t>／</t>
    </r>
    <r>
      <rPr>
        <b/>
        <sz val="10"/>
        <color rgb="FF000000"/>
        <rFont val="Arial"/>
        <family val="2"/>
      </rPr>
      <t>7/10</t>
    </r>
    <r>
      <rPr>
        <b/>
        <sz val="10"/>
        <color rgb="FF000000"/>
        <rFont val="WenQuanYi Zen Hei"/>
        <family val="2"/>
      </rPr>
      <t>「田中・藤中のフライト」／</t>
    </r>
    <r>
      <rPr>
        <b/>
        <sz val="10"/>
        <color rgb="FF000000"/>
        <rFont val="Arial"/>
        <family val="2"/>
      </rPr>
      <t>7/21</t>
    </r>
    <r>
      <rPr>
        <b/>
        <sz val="10"/>
        <color rgb="FF000000"/>
        <rFont val="WenQuanYi Zen Hei"/>
        <family val="2"/>
      </rPr>
      <t>「スイス発着のフライト」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WenQuanYi Zen Hei"/>
        <family val="2"/>
      </rPr>
      <t>吉田</t>
    </r>
    <r>
      <rPr>
        <b/>
        <sz val="10"/>
        <color rgb="FF000000"/>
        <rFont val="Arial"/>
        <family val="2"/>
      </rPr>
      <t>)</t>
    </r>
    <r>
      <rPr>
        <b/>
        <sz val="10"/>
        <color rgb="FF000000"/>
        <rFont val="WenQuanYi Zen Hei"/>
        <family val="2"/>
      </rPr>
      <t>／</t>
    </r>
    <r>
      <rPr>
        <b/>
        <sz val="10"/>
        <color rgb="FF000000"/>
        <rFont val="Arial"/>
        <family val="2"/>
      </rPr>
      <t>7/29</t>
    </r>
    <r>
      <rPr>
        <b/>
        <sz val="10"/>
        <color rgb="FF000000"/>
        <rFont val="WenQuanYi Zen Hei"/>
        <family val="2"/>
      </rPr>
      <t>「</t>
    </r>
    <r>
      <rPr>
        <b/>
        <sz val="10"/>
        <color rgb="FF000000"/>
        <rFont val="Arial"/>
        <family val="2"/>
      </rPr>
      <t>Flight to Singapore for ACDR2026</t>
    </r>
    <r>
      <rPr>
        <b/>
        <sz val="10"/>
        <color rgb="FF000000"/>
        <rFont val="WenQuanYi Zen Hei"/>
        <family val="2"/>
      </rPr>
      <t>」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WenQuanYi Zen Hei"/>
        <family val="2"/>
      </rPr>
      <t>池田・</t>
    </r>
    <r>
      <rPr>
        <b/>
        <sz val="10"/>
        <color rgb="FF000000"/>
        <rFont val="Arial"/>
        <family val="2"/>
      </rPr>
      <t>Gerry)</t>
    </r>
    <r>
      <rPr>
        <b/>
        <sz val="10"/>
        <color rgb="FF000000"/>
        <rFont val="WenQuanYi Zen Hei"/>
        <family val="2"/>
      </rPr>
      <t>／</t>
    </r>
    <r>
      <rPr>
        <b/>
        <sz val="10"/>
        <color rgb="FF000000"/>
        <rFont val="Arial"/>
        <family val="2"/>
      </rPr>
      <t>7/31</t>
    </r>
    <r>
      <rPr>
        <b/>
        <sz val="10"/>
        <color rgb="FF000000"/>
        <rFont val="WenQuanYi Zen Hei"/>
        <family val="2"/>
      </rPr>
      <t>「池田さん、</t>
    </r>
    <r>
      <rPr>
        <b/>
        <sz val="10"/>
        <color rgb="FF000000"/>
        <rFont val="Arial"/>
        <family val="2"/>
      </rPr>
      <t>Gerry</t>
    </r>
    <r>
      <rPr>
        <b/>
        <sz val="10"/>
        <color rgb="FF000000"/>
        <rFont val="WenQuanYi Zen Hei"/>
        <family val="2"/>
      </rPr>
      <t>さんのふらいとについて」</t>
    </r>
  </si>
  <si>
    <t>各人のフライト</t>
  </si>
  <si>
    <t>10</t>
  </si>
  <si>
    <r>
      <rPr>
        <b/>
        <sz val="10"/>
        <color rgb="FF000000"/>
        <rFont val="Arial"/>
        <family val="2"/>
      </rPr>
      <t xml:space="preserve">Gmail: </t>
    </r>
    <r>
      <rPr>
        <b/>
        <sz val="10"/>
        <color rgb="FF000000"/>
        <rFont val="WenQuanYi Zen Hei"/>
        <family val="2"/>
      </rPr>
      <t xml:space="preserve">児玉→宮木・荒木田 </t>
    </r>
    <r>
      <rPr>
        <b/>
        <sz val="10"/>
        <color rgb="FF000000"/>
        <rFont val="Arial"/>
        <family val="2"/>
      </rPr>
      <t>8/28</t>
    </r>
    <r>
      <rPr>
        <b/>
        <sz val="10"/>
        <color rgb="FF000000"/>
        <rFont val="WenQuanYi Zen Hei"/>
        <family val="2"/>
      </rPr>
      <t>「</t>
    </r>
    <r>
      <rPr>
        <b/>
        <sz val="10"/>
        <color rgb="FF000000"/>
        <rFont val="Arial"/>
        <family val="2"/>
      </rPr>
      <t xml:space="preserve">SIDEX-ACDR2026: </t>
    </r>
    <r>
      <rPr>
        <b/>
        <sz val="10"/>
        <color rgb="FF000000"/>
        <rFont val="WenQuanYi Zen Hei"/>
        <family val="2"/>
      </rPr>
      <t>日本（内閣府）からの出席者決定」</t>
    </r>
  </si>
  <si>
    <t>林正道氏出席、英語サポート要</t>
  </si>
  <si>
    <t>11</t>
  </si>
  <si>
    <r>
      <rPr>
        <b/>
        <sz val="10"/>
        <color rgb="FF000000"/>
        <rFont val="Arial"/>
        <family val="2"/>
      </rPr>
      <t xml:space="preserve">Gmail: </t>
    </r>
    <r>
      <rPr>
        <b/>
        <sz val="10"/>
        <color rgb="FF000000"/>
        <rFont val="WenQuanYi Zen Hei"/>
        <family val="2"/>
      </rPr>
      <t>児玉→荒木田・池田・</t>
    </r>
    <r>
      <rPr>
        <b/>
        <sz val="10"/>
        <color rgb="FF000000"/>
        <rFont val="Arial"/>
        <family val="2"/>
      </rPr>
      <t>Mizan 8/28</t>
    </r>
    <r>
      <rPr>
        <b/>
        <sz val="10"/>
        <color rgb="FF000000"/>
        <rFont val="WenQuanYi Zen Hei"/>
        <family val="2"/>
      </rPr>
      <t>／</t>
    </r>
    <r>
      <rPr>
        <b/>
        <sz val="10"/>
        <color rgb="FF000000"/>
        <rFont val="Arial"/>
        <family val="2"/>
      </rPr>
      <t>Mizan 8/31</t>
    </r>
    <r>
      <rPr>
        <b/>
        <sz val="10"/>
        <color rgb="FF000000"/>
        <rFont val="WenQuanYi Zen Hei"/>
        <family val="2"/>
      </rPr>
      <t xml:space="preserve">／荒木田 </t>
    </r>
    <r>
      <rPr>
        <b/>
        <sz val="10"/>
        <color rgb="FF000000"/>
        <rFont val="Arial"/>
        <family val="2"/>
      </rPr>
      <t>8/31</t>
    </r>
    <r>
      <rPr>
        <b/>
        <sz val="10"/>
        <color rgb="FF000000"/>
        <rFont val="WenQuanYi Zen Hei"/>
        <family val="2"/>
      </rPr>
      <t>「テクニカルセッション準備状況」</t>
    </r>
  </si>
  <si>
    <r>
      <rPr>
        <b/>
        <sz val="10"/>
        <color rgb="FF000000"/>
        <rFont val="Arial"/>
        <family val="2"/>
      </rPr>
      <t>Co-Chair</t>
    </r>
    <r>
      <rPr>
        <b/>
        <sz val="10"/>
        <color rgb="FF000000"/>
        <rFont val="WenQuanYi Zen Hei"/>
        <family val="2"/>
      </rPr>
      <t>人選、登壇者状況、期限設定</t>
    </r>
  </si>
  <si>
    <t>12</t>
  </si>
  <si>
    <r>
      <rPr>
        <b/>
        <sz val="10"/>
        <color rgb="FF000000"/>
        <rFont val="Arial"/>
        <family val="2"/>
      </rPr>
      <t>Google</t>
    </r>
    <r>
      <rPr>
        <b/>
        <sz val="10"/>
        <color rgb="FF000000"/>
        <rFont val="WenQuanYi Zen Hei"/>
        <family val="2"/>
      </rPr>
      <t>ドライブ</t>
    </r>
    <r>
      <rPr>
        <b/>
        <sz val="10"/>
        <color rgb="FF000000"/>
        <rFont val="Arial"/>
        <family val="2"/>
      </rPr>
      <t>: ACDR2026</t>
    </r>
    <r>
      <rPr>
        <b/>
        <sz val="10"/>
        <color rgb="FF000000"/>
        <rFont val="WenQuanYi Zen Hei"/>
        <family val="2"/>
      </rPr>
      <t>シンガポール事前協議チェックリスト回答状況（</t>
    </r>
    <r>
      <rPr>
        <b/>
        <sz val="10"/>
        <color rgb="FF000000"/>
        <rFont val="Arial"/>
        <family val="2"/>
      </rPr>
      <t>5/18</t>
    </r>
    <r>
      <rPr>
        <b/>
        <sz val="10"/>
        <color rgb="FF000000"/>
        <rFont val="WenQuanYi Zen Hei"/>
        <family val="2"/>
      </rPr>
      <t>）／</t>
    </r>
    <r>
      <rPr>
        <b/>
        <sz val="10"/>
        <color rgb="FF000000"/>
        <rFont val="Arial"/>
        <family val="2"/>
      </rPr>
      <t xml:space="preserve">SIDEX-ACDR 2026 </t>
    </r>
    <r>
      <rPr>
        <b/>
        <sz val="10"/>
        <color rgb="FF000000"/>
        <rFont val="WenQuanYi Zen Hei"/>
        <family val="2"/>
      </rPr>
      <t>開催準備月次</t>
    </r>
    <r>
      <rPr>
        <b/>
        <sz val="10"/>
        <color rgb="FF000000"/>
        <rFont val="Arial"/>
        <family val="2"/>
      </rPr>
      <t>ToDo</t>
    </r>
    <r>
      <rPr>
        <b/>
        <sz val="10"/>
        <color rgb="FF000000"/>
        <rFont val="WenQuanYi Zen Hei"/>
        <family val="2"/>
      </rPr>
      <t>リスト</t>
    </r>
    <r>
      <rPr>
        <b/>
        <sz val="10"/>
        <color rgb="FF000000"/>
        <rFont val="Arial"/>
        <family val="2"/>
      </rPr>
      <t>_V1</t>
    </r>
    <r>
      <rPr>
        <b/>
        <sz val="10"/>
        <color rgb="FF000000"/>
        <rFont val="WenQuanYi Zen Hei"/>
        <family val="2"/>
      </rPr>
      <t>（</t>
    </r>
    <r>
      <rPr>
        <b/>
        <sz val="10"/>
        <color rgb="FF000000"/>
        <rFont val="Arial"/>
        <family val="2"/>
      </rPr>
      <t>5/19</t>
    </r>
    <r>
      <rPr>
        <b/>
        <sz val="10"/>
        <color rgb="FF000000"/>
        <rFont val="WenQuanYi Zen Hei"/>
        <family val="2"/>
      </rPr>
      <t>）／</t>
    </r>
    <r>
      <rPr>
        <b/>
        <sz val="10"/>
        <color rgb="FF000000"/>
        <rFont val="Arial"/>
        <family val="2"/>
      </rPr>
      <t>ACDR 2026 Mission to Singapore Checklist</t>
    </r>
  </si>
  <si>
    <r>
      <rPr>
        <b/>
        <sz val="10"/>
        <color rgb="FF000000"/>
        <rFont val="WenQuanYi Zen Hei"/>
        <family val="2"/>
      </rPr>
      <t>レセプション運営（</t>
    </r>
    <r>
      <rPr>
        <b/>
        <sz val="10"/>
        <color rgb="FF000000"/>
        <rFont val="Arial"/>
        <family val="2"/>
      </rPr>
      <t>16:00</t>
    </r>
    <r>
      <rPr>
        <b/>
        <sz val="10"/>
        <color rgb="FF000000"/>
        <rFont val="WenQuanYi Zen Hei"/>
        <family val="2"/>
      </rPr>
      <t>設営・</t>
    </r>
    <r>
      <rPr>
        <b/>
        <sz val="10"/>
        <color rgb="FF000000"/>
        <rFont val="Arial"/>
        <family val="2"/>
      </rPr>
      <t>18:30</t>
    </r>
    <r>
      <rPr>
        <b/>
        <sz val="10"/>
        <color rgb="FF000000"/>
        <rFont val="WenQuanYi Zen Hei"/>
        <family val="2"/>
      </rPr>
      <t>開始・受付</t>
    </r>
    <r>
      <rPr>
        <b/>
        <sz val="10"/>
        <color rgb="FF000000"/>
        <rFont val="Arial"/>
        <family val="2"/>
      </rPr>
      <t>ADRC</t>
    </r>
    <r>
      <rPr>
        <b/>
        <sz val="10"/>
        <color rgb="FF000000"/>
        <rFont val="WenQuanYi Zen Hei"/>
        <family val="2"/>
      </rPr>
      <t>）、未対応事項</t>
    </r>
  </si>
  <si>
    <t>13</t>
  </si>
  <si>
    <r>
      <rPr>
        <b/>
        <sz val="10"/>
        <color rgb="FF000000"/>
        <rFont val="Arial"/>
        <family val="2"/>
      </rPr>
      <t>Google</t>
    </r>
    <r>
      <rPr>
        <b/>
        <sz val="10"/>
        <color rgb="FF000000"/>
        <rFont val="WenQuanYi Zen Hei"/>
        <family val="2"/>
      </rPr>
      <t>ドライブ</t>
    </r>
    <r>
      <rPr>
        <b/>
        <sz val="10"/>
        <color rgb="FF000000"/>
        <rFont val="Arial"/>
        <family val="2"/>
      </rPr>
      <t xml:space="preserve">: </t>
    </r>
    <r>
      <rPr>
        <b/>
        <sz val="10"/>
        <color rgb="FF000000"/>
        <rFont val="WenQuanYi Zen Hei"/>
        <family val="2"/>
      </rPr>
      <t xml:space="preserve">動態表 </t>
    </r>
    <r>
      <rPr>
        <b/>
        <sz val="10"/>
        <color rgb="FF000000"/>
        <rFont val="Arial"/>
        <family val="2"/>
      </rPr>
      <t>ACDR2023 as of 17 Oct.xlsx</t>
    </r>
  </si>
  <si>
    <r>
      <rPr>
        <b/>
        <sz val="10"/>
        <color rgb="FF000000"/>
        <rFont val="WenQuanYi Zen Hei"/>
        <family val="2"/>
      </rPr>
      <t>書式（日別</t>
    </r>
    <r>
      <rPr>
        <b/>
        <sz val="10"/>
        <color rgb="FF000000"/>
        <rFont val="Arial"/>
        <family val="2"/>
      </rPr>
      <t>AM/PM</t>
    </r>
    <r>
      <rPr>
        <b/>
        <sz val="10"/>
        <color rgb="FF000000"/>
        <rFont val="WenQuanYi Zen Hei"/>
        <family val="2"/>
      </rPr>
      <t>＋時間帯別）と</t>
    </r>
    <r>
      <rPr>
        <b/>
        <sz val="10"/>
        <color rgb="FF000000"/>
        <rFont val="Arial"/>
        <family val="2"/>
      </rPr>
      <t>2023</t>
    </r>
    <r>
      <rPr>
        <b/>
        <sz val="10"/>
        <color rgb="FF000000"/>
        <rFont val="WenQuanYi Zen Hei"/>
        <family val="2"/>
      </rPr>
      <t>年の人員配置の比較基準</t>
    </r>
  </si>
  <si>
    <t>14</t>
  </si>
  <si>
    <r>
      <rPr>
        <b/>
        <sz val="10"/>
        <color rgb="FF000000"/>
        <rFont val="Arial"/>
        <family val="2"/>
      </rPr>
      <t>Google</t>
    </r>
    <r>
      <rPr>
        <b/>
        <sz val="10"/>
        <color rgb="FF000000"/>
        <rFont val="WenQuanYi Zen Hei"/>
        <family val="2"/>
      </rPr>
      <t>ドライブ</t>
    </r>
    <r>
      <rPr>
        <b/>
        <sz val="10"/>
        <color rgb="FF000000"/>
        <rFont val="Arial"/>
        <family val="2"/>
      </rPr>
      <t>: ACDR2026_General Information (UNDRR).pdf</t>
    </r>
  </si>
  <si>
    <r>
      <rPr>
        <b/>
        <sz val="10"/>
        <color rgb="FF000000"/>
        <rFont val="WenQuanYi Zen Hei"/>
        <family val="2"/>
      </rPr>
      <t>日程・会場・</t>
    </r>
    <r>
      <rPr>
        <b/>
        <sz val="10"/>
        <color rgb="FF000000"/>
        <rFont val="Arial"/>
        <family val="2"/>
      </rPr>
      <t>AI</t>
    </r>
    <r>
      <rPr>
        <b/>
        <sz val="10"/>
        <color rgb="FF000000"/>
        <rFont val="WenQuanYi Zen Hei"/>
        <family val="2"/>
      </rPr>
      <t>翻訳ツール試行・登録期限</t>
    </r>
    <r>
      <rPr>
        <b/>
        <sz val="10"/>
        <color rgb="FF000000"/>
        <rFont val="Arial"/>
        <family val="2"/>
      </rPr>
      <t>9/20</t>
    </r>
  </si>
  <si>
    <t>前提・限界</t>
  </si>
  <si>
    <r>
      <rPr>
        <b/>
        <sz val="10"/>
        <color rgb="FF000000"/>
        <rFont val="WenQuanYi Zen Hei"/>
        <family val="2"/>
      </rPr>
      <t>・指定された</t>
    </r>
    <r>
      <rPr>
        <b/>
        <sz val="10"/>
        <color rgb="FF000000"/>
        <rFont val="Arial"/>
        <family val="2"/>
      </rPr>
      <t>Dropbox</t>
    </r>
    <r>
      <rPr>
        <b/>
        <sz val="10"/>
        <color rgb="FF000000"/>
        <rFont val="WenQuanYi Zen Hei"/>
        <family val="2"/>
      </rPr>
      <t>フォルダ（</t>
    </r>
    <r>
      <rPr>
        <b/>
        <sz val="10"/>
        <color rgb="FF000000"/>
        <rFont val="Arial"/>
        <family val="2"/>
      </rPr>
      <t>C:\Users\arakida\Dropbox\araarashare\JOB\ADRC\ACDR\</t>
    </r>
    <r>
      <rPr>
        <b/>
        <sz val="10"/>
        <color rgb="FF000000"/>
        <rFont val="WenQuanYi Zen Hei"/>
        <family val="2"/>
      </rPr>
      <t>）およびダウンロードフォルダは、この作業環境（クラウド上の</t>
    </r>
    <r>
      <rPr>
        <b/>
        <sz val="10"/>
        <color rgb="FF000000"/>
        <rFont val="Arial"/>
        <family val="2"/>
      </rPr>
      <t>Linux</t>
    </r>
    <r>
      <rPr>
        <b/>
        <sz val="10"/>
        <color rgb="FF000000"/>
        <rFont val="WenQuanYi Zen Hei"/>
        <family val="2"/>
      </rPr>
      <t>コンテナ）から参照できないため未使用。同フォルダにある最新のデマケ・動態表があれば本表と突合が必要。</t>
    </r>
  </si>
  <si>
    <r>
      <rPr>
        <b/>
        <sz val="10"/>
        <color rgb="FF000000"/>
        <rFont val="WenQuanYi Zen Hei"/>
        <family val="2"/>
      </rPr>
      <t>・宮木・児玉の航空券は個人メールに記録がなく（管理部手配の可能性）、到着日は</t>
    </r>
    <r>
      <rPr>
        <b/>
        <sz val="10"/>
        <color rgb="FF000000"/>
        <rFont val="Arial"/>
        <family val="2"/>
      </rPr>
      <t>8/28</t>
    </r>
    <r>
      <rPr>
        <b/>
        <sz val="10"/>
        <color rgb="FF000000"/>
        <rFont val="WenQuanYi Zen Hei"/>
        <family val="2"/>
      </rPr>
      <t>リストの記載（</t>
    </r>
    <r>
      <rPr>
        <b/>
        <sz val="10"/>
        <color rgb="FF000000"/>
        <rFont val="Arial"/>
        <family val="2"/>
      </rPr>
      <t>10/27</t>
    </r>
    <r>
      <rPr>
        <b/>
        <sz val="10"/>
        <color rgb="FF000000"/>
        <rFont val="WenQuanYi Zen Hei"/>
        <family val="2"/>
      </rPr>
      <t>）をそのまま載せた。</t>
    </r>
  </si>
  <si>
    <r>
      <rPr>
        <b/>
        <sz val="10"/>
        <color rgb="FF000000"/>
        <rFont val="WenQuanYi Zen Hei"/>
        <family val="2"/>
      </rPr>
      <t>・時間帯別シートの担当割当は、</t>
    </r>
    <r>
      <rPr>
        <b/>
        <sz val="10"/>
        <color rgb="FF000000"/>
        <rFont val="Arial"/>
        <family val="2"/>
      </rPr>
      <t>8/6</t>
    </r>
    <r>
      <rPr>
        <b/>
        <sz val="10"/>
        <color rgb="FF000000"/>
        <rFont val="WenQuanYi Zen Hei"/>
        <family val="2"/>
      </rPr>
      <t>デマケと</t>
    </r>
    <r>
      <rPr>
        <b/>
        <sz val="10"/>
        <color rgb="FF000000"/>
        <rFont val="Arial"/>
        <family val="2"/>
      </rPr>
      <t>2023</t>
    </r>
    <r>
      <rPr>
        <b/>
        <sz val="10"/>
        <color rgb="FF000000"/>
        <rFont val="WenQuanYi Zen Hei"/>
        <family val="2"/>
      </rPr>
      <t>年の動態表を基にした『第</t>
    </r>
    <r>
      <rPr>
        <b/>
        <sz val="10"/>
        <color rgb="FF000000"/>
        <rFont val="Arial"/>
        <family val="2"/>
      </rPr>
      <t>1</t>
    </r>
    <r>
      <rPr>
        <b/>
        <sz val="10"/>
        <color rgb="FF000000"/>
        <rFont val="WenQuanYi Zen Hei"/>
        <family val="2"/>
      </rPr>
      <t>案』であり、所内打合せで調整する前提。</t>
    </r>
  </si>
  <si>
    <t>・藤本・塩見の行は追加推奨の仮置きで、本人の承諾・手配は未了。</t>
  </si>
  <si>
    <t>・稼働人数の自動計算は、結合セルの先頭列のみを数える簡易指標。</t>
  </si>
  <si>
    <r>
      <t>SIDEX-ACDR2026</t>
    </r>
    <r>
      <rPr>
        <b/>
        <sz val="14"/>
        <color rgb="FF1F4E78"/>
        <rFont val="ＭＳ ゴシック"/>
        <family val="3"/>
        <charset val="128"/>
      </rPr>
      <t>（シンガポール</t>
    </r>
    <r>
      <rPr>
        <b/>
        <sz val="14"/>
        <color rgb="FF1F4E78"/>
        <rFont val="Arial"/>
        <family val="2"/>
      </rPr>
      <t>, 2026/10/27-30</t>
    </r>
    <r>
      <rPr>
        <b/>
        <sz val="14"/>
        <color rgb="FF1F4E78"/>
        <rFont val="ＭＳ ゴシック"/>
        <family val="3"/>
        <charset val="128"/>
      </rPr>
      <t>）</t>
    </r>
    <r>
      <rPr>
        <b/>
        <sz val="14"/>
        <color rgb="FF1F4E78"/>
        <rFont val="Arial"/>
        <family val="2"/>
      </rPr>
      <t>ADRC</t>
    </r>
    <r>
      <rPr>
        <b/>
        <sz val="14"/>
        <color rgb="FF1F4E78"/>
        <rFont val="ＭＳ ゴシック"/>
        <family val="3"/>
        <charset val="128"/>
      </rPr>
      <t>派遣スタッフ一覧と判定</t>
    </r>
    <phoneticPr fontId="25"/>
  </si>
  <si>
    <t>立部　知保里</t>
    <phoneticPr fontId="25"/>
  </si>
  <si>
    <t>寺坂　佳津子</t>
    <phoneticPr fontId="25"/>
  </si>
  <si>
    <t>森口　芳隆</t>
    <phoneticPr fontId="25"/>
  </si>
  <si>
    <t>MORIGUCHI Yoshitaka</t>
    <phoneticPr fontId="25"/>
  </si>
  <si>
    <t>主任</t>
    <phoneticPr fontId="25"/>
  </si>
  <si>
    <t>ジェラルド・エヘム・ポトゥタン</t>
    <phoneticPr fontId="25"/>
  </si>
  <si>
    <t>ミザン　ビスリ</t>
    <phoneticPr fontId="25"/>
  </si>
  <si>
    <t>Gerald Ejem Potutan</t>
    <phoneticPr fontId="25"/>
  </si>
  <si>
    <t>Mizan Bisri</t>
    <phoneticPr fontId="25"/>
  </si>
  <si>
    <t>池田　誠</t>
    <phoneticPr fontId="25"/>
  </si>
  <si>
    <r>
      <rPr>
        <sz val="10"/>
        <color rgb="FF000000"/>
        <rFont val="ＭＳ ゴシック"/>
        <family val="3"/>
        <charset val="128"/>
      </rPr>
      <t>吉田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ＭＳ ゴシック"/>
        <family val="3"/>
        <charset val="128"/>
      </rPr>
      <t>真紀</t>
    </r>
    <phoneticPr fontId="25"/>
  </si>
  <si>
    <t>所長</t>
    <phoneticPr fontId="25"/>
  </si>
  <si>
    <r>
      <t>10/26</t>
    </r>
    <r>
      <rPr>
        <sz val="10"/>
        <color rgb="FF000000"/>
        <rFont val="ＭＳ ゴシック"/>
        <family val="3"/>
        <charset val="128"/>
      </rPr>
      <t>は先発</t>
    </r>
    <r>
      <rPr>
        <sz val="10"/>
        <color rgb="FF000000"/>
        <rFont val="Arial"/>
        <family val="2"/>
      </rPr>
      <t>2</t>
    </r>
    <r>
      <rPr>
        <sz val="10"/>
        <color rgb="FF000000"/>
        <rFont val="ＭＳ ゴシック"/>
        <family val="3"/>
        <charset val="128"/>
      </rPr>
      <t>名＋当日到着組で対応するが、荒木田は早朝着、池田・</t>
    </r>
    <r>
      <rPr>
        <sz val="10"/>
        <color rgb="FF000000"/>
        <rFont val="Arial"/>
        <family val="2"/>
      </rPr>
      <t>Gerry</t>
    </r>
    <r>
      <rPr>
        <sz val="10"/>
        <color rgb="FF000000"/>
        <rFont val="ＭＳ ゴシック"/>
        <family val="3"/>
        <charset val="128"/>
      </rPr>
      <t>は夕方着。</t>
    </r>
    <r>
      <rPr>
        <sz val="10"/>
        <color rgb="FF000000"/>
        <rFont val="Arial"/>
        <family val="2"/>
      </rPr>
      <t>10/31</t>
    </r>
    <r>
      <rPr>
        <sz val="10"/>
        <color rgb="FF000000"/>
        <rFont val="ＭＳ ゴシック"/>
        <family val="3"/>
        <charset val="128"/>
      </rPr>
      <t>朝は荒木田・吉田・北本・三浦が既に帰国。</t>
    </r>
    <rPh sb="66" eb="68">
      <t>キコク</t>
    </rPh>
    <phoneticPr fontId="25"/>
  </si>
  <si>
    <r>
      <t>10/26</t>
    </r>
    <r>
      <rPr>
        <sz val="10"/>
        <color rgb="FF000000"/>
        <rFont val="ＭＳ ゴシック"/>
        <family val="3"/>
        <charset val="128"/>
      </rPr>
      <t>夕方の</t>
    </r>
    <r>
      <rPr>
        <sz val="10"/>
        <color rgb="FF000000"/>
        <rFont val="Arial"/>
        <family val="2"/>
      </rPr>
      <t>Dorsett</t>
    </r>
    <r>
      <rPr>
        <sz val="10"/>
        <color rgb="FF000000"/>
        <rFont val="ＭＳ ゴシック"/>
        <family val="3"/>
        <charset val="128"/>
      </rPr>
      <t>詰めに藤本を追加。必要であれば</t>
    </r>
    <r>
      <rPr>
        <sz val="10"/>
        <color rgb="FF000000"/>
        <rFont val="Arial"/>
        <family val="2"/>
      </rPr>
      <t>10/31</t>
    </r>
    <r>
      <rPr>
        <sz val="10"/>
        <color rgb="FF000000"/>
        <rFont val="ＭＳ ゴシック"/>
        <family val="3"/>
        <charset val="128"/>
      </rPr>
      <t>は児玉・宮木・池田・</t>
    </r>
    <r>
      <rPr>
        <sz val="10"/>
        <color rgb="FF000000"/>
        <rFont val="Arial"/>
        <family val="2"/>
      </rPr>
      <t>Gerry</t>
    </r>
    <r>
      <rPr>
        <sz val="10"/>
        <color rgb="FF000000"/>
        <rFont val="ＭＳ ゴシック"/>
        <family val="3"/>
        <charset val="128"/>
      </rPr>
      <t>が見送りを分担。</t>
    </r>
    <rPh sb="24" eb="26">
      <t>ヒツヨウ</t>
    </rPh>
    <phoneticPr fontId="25"/>
  </si>
  <si>
    <r>
      <rPr>
        <sz val="10"/>
        <color rgb="FF000000"/>
        <rFont val="ＭＳ ゴシック"/>
        <family val="3"/>
        <charset val="128"/>
      </rPr>
      <t>塩見を</t>
    </r>
    <r>
      <rPr>
        <sz val="10"/>
        <color rgb="FF000000"/>
        <rFont val="Arial"/>
        <family val="2"/>
      </rPr>
      <t>RT/TS</t>
    </r>
    <r>
      <rPr>
        <sz val="10"/>
        <color rgb="FF000000"/>
        <rFont val="ＭＳ ゴシック"/>
        <family val="3"/>
        <charset val="128"/>
      </rPr>
      <t>の記録・フロア補助に配置。</t>
    </r>
    <r>
      <rPr>
        <sz val="10"/>
        <color rgb="FF000000"/>
        <rFont val="Arial"/>
        <family val="2"/>
      </rPr>
      <t>SCDF</t>
    </r>
    <r>
      <rPr>
        <sz val="10"/>
        <color rgb="FF000000"/>
        <rFont val="ＭＳ ゴシック"/>
        <family val="3"/>
        <charset val="128"/>
      </rPr>
      <t>側モデレーター確定を</t>
    </r>
    <r>
      <rPr>
        <sz val="10"/>
        <color rgb="FF000000"/>
        <rFont val="Arial"/>
        <family val="2"/>
      </rPr>
      <t>Sylvia</t>
    </r>
    <r>
      <rPr>
        <sz val="10"/>
        <color rgb="FF000000"/>
        <rFont val="ＭＳ ゴシック"/>
        <family val="3"/>
        <charset val="128"/>
      </rPr>
      <t>へ再確認。</t>
    </r>
    <phoneticPr fontId="25"/>
  </si>
  <si>
    <r>
      <t>Mizan</t>
    </r>
    <r>
      <rPr>
        <sz val="10"/>
        <color rgb="FF000000"/>
        <rFont val="ＭＳ ゴシック"/>
        <family val="3"/>
        <charset val="128"/>
      </rPr>
      <t>が</t>
    </r>
    <r>
      <rPr>
        <sz val="10"/>
        <color rgb="FF000000"/>
        <rFont val="Arial"/>
        <family val="2"/>
      </rPr>
      <t>Co-Chair</t>
    </r>
    <r>
      <rPr>
        <sz val="10"/>
        <color rgb="FF000000"/>
        <rFont val="ＭＳ ゴシック"/>
        <family val="3"/>
        <charset val="128"/>
      </rPr>
      <t>なら実質</t>
    </r>
    <r>
      <rPr>
        <sz val="10"/>
        <color rgb="FF000000"/>
        <rFont val="Arial"/>
        <family val="2"/>
      </rPr>
      <t>Gerry1</t>
    </r>
    <r>
      <rPr>
        <sz val="10"/>
        <color rgb="FF000000"/>
        <rFont val="ＭＳ ゴシック"/>
        <family val="3"/>
        <charset val="128"/>
      </rPr>
      <t>名。</t>
    </r>
    <r>
      <rPr>
        <sz val="10"/>
        <color rgb="FF000000"/>
        <rFont val="Arial"/>
        <family val="2"/>
      </rPr>
      <t>RT(2.5h)</t>
    </r>
    <r>
      <rPr>
        <sz val="10"/>
        <color rgb="FF000000"/>
        <rFont val="ＭＳ ゴシック"/>
        <family val="3"/>
        <charset val="128"/>
      </rPr>
      <t>＋</t>
    </r>
    <r>
      <rPr>
        <sz val="10"/>
        <color rgb="FF000000"/>
        <rFont val="Arial"/>
        <family val="2"/>
      </rPr>
      <t>TS(2h)</t>
    </r>
    <r>
      <rPr>
        <sz val="10"/>
        <color rgb="FF000000"/>
        <rFont val="ＭＳ ゴシック"/>
        <family val="3"/>
        <charset val="128"/>
      </rPr>
      <t>の要約を当日昼までに出すことが難しい。</t>
    </r>
    <rPh sb="56" eb="57">
      <t>ムズカ</t>
    </rPh>
    <phoneticPr fontId="25"/>
  </si>
  <si>
    <t>塩見を記録・サマリー補助に。</t>
    <phoneticPr fontId="25"/>
  </si>
  <si>
    <r>
      <rPr>
        <sz val="10"/>
        <color rgb="FF000000"/>
        <rFont val="ＭＳ ゴシック"/>
        <family val="3"/>
        <charset val="128"/>
      </rPr>
      <t>林氏は『英語はすべて忘れた』（児玉</t>
    </r>
    <r>
      <rPr>
        <sz val="10"/>
        <color rgb="FF000000"/>
        <rFont val="Arial"/>
        <family val="2"/>
      </rPr>
      <t>8/28</t>
    </r>
    <r>
      <rPr>
        <sz val="10"/>
        <color rgb="FF000000"/>
        <rFont val="ＭＳ ゴシック"/>
        <family val="3"/>
        <charset val="128"/>
      </rPr>
      <t>）。表敬・</t>
    </r>
    <r>
      <rPr>
        <sz val="10"/>
        <color rgb="FF000000"/>
        <rFont val="Arial"/>
        <family val="2"/>
      </rPr>
      <t>VIP Tour</t>
    </r>
    <r>
      <rPr>
        <sz val="10"/>
        <color rgb="FF000000"/>
        <rFont val="ＭＳ ゴシック"/>
        <family val="3"/>
        <charset val="128"/>
      </rPr>
      <t>・バイ会談・</t>
    </r>
    <r>
      <rPr>
        <sz val="10"/>
        <color rgb="FF000000"/>
        <rFont val="Arial"/>
        <family val="2"/>
      </rPr>
      <t>Gala</t>
    </r>
    <r>
      <rPr>
        <sz val="10"/>
        <color rgb="FF000000"/>
        <rFont val="ＭＳ ゴシック"/>
        <family val="3"/>
        <charset val="128"/>
      </rPr>
      <t>・</t>
    </r>
    <r>
      <rPr>
        <sz val="10"/>
        <color rgb="FF000000"/>
        <rFont val="Arial"/>
        <family val="2"/>
      </rPr>
      <t>SCDF Parade</t>
    </r>
    <r>
      <rPr>
        <sz val="10"/>
        <color rgb="FF000000"/>
        <rFont val="ＭＳ ゴシック"/>
        <family val="3"/>
        <charset val="128"/>
      </rPr>
      <t>全てに日英サポートが必要で、もし児玉が張り付くと現場統括とレセプション</t>
    </r>
    <r>
      <rPr>
        <sz val="10"/>
        <color rgb="FF000000"/>
        <rFont val="Arial"/>
        <family val="2"/>
      </rPr>
      <t>MC</t>
    </r>
    <r>
      <rPr>
        <sz val="10"/>
        <color rgb="FF000000"/>
        <rFont val="ＭＳ ゴシック"/>
        <family val="3"/>
        <charset val="128"/>
      </rPr>
      <t>が空く。</t>
    </r>
    <phoneticPr fontId="25"/>
  </si>
  <si>
    <r>
      <rPr>
        <sz val="10"/>
        <color rgb="FF000000"/>
        <rFont val="ＭＳ ゴシック"/>
        <family val="3"/>
        <charset val="128"/>
      </rPr>
      <t>内閣府対応を考慮し児玉を特定業務に配置せず、レセプション</t>
    </r>
    <r>
      <rPr>
        <sz val="10"/>
        <color rgb="FF000000"/>
        <rFont val="Arial"/>
        <family val="2"/>
      </rPr>
      <t>MC</t>
    </r>
    <r>
      <rPr>
        <sz val="10"/>
        <color rgb="FF000000"/>
        <rFont val="ＭＳ ゴシック"/>
        <family val="3"/>
        <charset val="128"/>
      </rPr>
      <t>を吉田、現場統括の実務を藤中・田中に寄せる。</t>
    </r>
    <r>
      <rPr>
        <sz val="10"/>
        <color rgb="FF000000"/>
        <rFont val="Arial"/>
        <family val="2"/>
      </rPr>
      <t>Day0-1</t>
    </r>
    <r>
      <rPr>
        <sz val="10"/>
        <color rgb="FF000000"/>
        <rFont val="ＭＳ ゴシック"/>
        <family val="3"/>
        <charset val="128"/>
      </rPr>
      <t>は通訳手配（内閣府側予算）も要検討。</t>
    </r>
    <rPh sb="0" eb="5">
      <t>ナイカクフタイオウ</t>
    </rPh>
    <rPh sb="6" eb="8">
      <t>コウリョ</t>
    </rPh>
    <rPh sb="12" eb="16">
      <t>トクテイギョウム</t>
    </rPh>
    <rPh sb="17" eb="19">
      <t>ハイチ</t>
    </rPh>
    <phoneticPr fontId="25"/>
  </si>
  <si>
    <r>
      <rPr>
        <sz val="10"/>
        <color rgb="FF000000"/>
        <rFont val="ＭＳ ゴシック"/>
        <family val="3"/>
        <charset val="128"/>
      </rPr>
      <t>現状維持。塩見参加で引率を</t>
    </r>
    <r>
      <rPr>
        <sz val="10"/>
        <color rgb="FF000000"/>
        <rFont val="Arial"/>
        <family val="2"/>
      </rPr>
      <t>1</t>
    </r>
    <r>
      <rPr>
        <sz val="10"/>
        <color rgb="FF000000"/>
        <rFont val="ＭＳ ゴシック"/>
        <family val="3"/>
        <charset val="128"/>
      </rPr>
      <t>名追加可能。</t>
    </r>
    <rPh sb="10" eb="12">
      <t>インソツ</t>
    </rPh>
    <rPh sb="15" eb="19">
      <t>ツイカカノウ</t>
    </rPh>
    <phoneticPr fontId="25"/>
  </si>
  <si>
    <r>
      <t xml:space="preserve">1. </t>
    </r>
    <r>
      <rPr>
        <sz val="10"/>
        <color rgb="FF000000"/>
        <rFont val="ＭＳ ゴシック"/>
        <family val="3"/>
        <charset val="128"/>
      </rPr>
      <t>現時点の現地要員は役員</t>
    </r>
    <r>
      <rPr>
        <sz val="10"/>
        <color rgb="FF000000"/>
        <rFont val="Arial"/>
        <family val="2"/>
      </rPr>
      <t>3</t>
    </r>
    <r>
      <rPr>
        <sz val="10"/>
        <color rgb="FF000000"/>
        <rFont val="ＭＳ ゴシック"/>
        <family val="3"/>
        <charset val="128"/>
      </rPr>
      <t>名＋運営</t>
    </r>
    <r>
      <rPr>
        <sz val="10"/>
        <color rgb="FF000000"/>
        <rFont val="Arial"/>
        <family val="2"/>
      </rPr>
      <t>8</t>
    </r>
    <r>
      <rPr>
        <sz val="10"/>
        <color rgb="FF000000"/>
        <rFont val="ＭＳ ゴシック"/>
        <family val="3"/>
        <charset val="128"/>
      </rPr>
      <t>名（荒木田・児玉・吉田・藤中・田中・池田・</t>
    </r>
    <r>
      <rPr>
        <sz val="10"/>
        <color rgb="FF000000"/>
        <rFont val="Arial"/>
        <family val="2"/>
      </rPr>
      <t>Gerry</t>
    </r>
    <r>
      <rPr>
        <sz val="10"/>
        <color rgb="FF000000"/>
        <rFont val="ＭＳ ゴシック"/>
        <family val="3"/>
        <charset val="128"/>
      </rPr>
      <t>・</t>
    </r>
    <r>
      <rPr>
        <sz val="10"/>
        <color rgb="FF000000"/>
        <rFont val="Arial"/>
        <family val="2"/>
      </rPr>
      <t>Mizan</t>
    </r>
    <r>
      <rPr>
        <sz val="10"/>
        <color rgb="FF000000"/>
        <rFont val="ＭＳ ゴシック"/>
        <family val="3"/>
        <charset val="128"/>
      </rPr>
      <t>）。</t>
    </r>
    <phoneticPr fontId="25"/>
  </si>
  <si>
    <r>
      <t xml:space="preserve">3. </t>
    </r>
    <r>
      <rPr>
        <sz val="10"/>
        <color rgb="FF000000"/>
        <rFont val="ＭＳ ゴシック"/>
        <family val="3"/>
        <charset val="128"/>
      </rPr>
      <t>追加候補は</t>
    </r>
    <r>
      <rPr>
        <sz val="10"/>
        <color rgb="FF000000"/>
        <rFont val="Arial"/>
        <family val="2"/>
      </rPr>
      <t xml:space="preserve"> (a) </t>
    </r>
    <r>
      <rPr>
        <sz val="10"/>
        <color rgb="FF000000"/>
        <rFont val="ＭＳ ゴシック"/>
        <family val="3"/>
        <charset val="128"/>
      </rPr>
      <t>藤本：</t>
    </r>
    <r>
      <rPr>
        <sz val="10"/>
        <color rgb="FF000000"/>
        <rFont val="Arial"/>
        <family val="2"/>
      </rPr>
      <t>Zoom</t>
    </r>
    <r>
      <rPr>
        <sz val="10"/>
        <color rgb="FF000000"/>
        <rFont val="ＭＳ ゴシック"/>
        <family val="3"/>
        <charset val="128"/>
      </rPr>
      <t>設定・広報・リスト出力担当で受付</t>
    </r>
    <r>
      <rPr>
        <sz val="10"/>
        <color rgb="FF000000"/>
        <rFont val="Arial"/>
        <family val="2"/>
      </rPr>
      <t>/AV/</t>
    </r>
    <r>
      <rPr>
        <sz val="10"/>
        <color rgb="FF000000"/>
        <rFont val="ＭＳ ゴシック"/>
        <family val="3"/>
        <charset val="128"/>
      </rPr>
      <t>写真を兼務できる。</t>
    </r>
    <r>
      <rPr>
        <sz val="10"/>
        <color rgb="FF000000"/>
        <rFont val="Arial"/>
        <family val="2"/>
      </rPr>
      <t xml:space="preserve">(b) </t>
    </r>
    <r>
      <rPr>
        <sz val="10"/>
        <color rgb="FF000000"/>
        <rFont val="ＭＳ ゴシック"/>
        <family val="3"/>
        <charset val="128"/>
      </rPr>
      <t>塩見：サマリー担当、セッション補助。</t>
    </r>
    <phoneticPr fontId="25"/>
  </si>
  <si>
    <t>プロジェクト研究員（ジュネーブ）</t>
    <phoneticPr fontId="25"/>
  </si>
  <si>
    <t>神戸</t>
    <phoneticPr fontId="25"/>
  </si>
  <si>
    <r>
      <t>10</t>
    </r>
    <r>
      <rPr>
        <sz val="10"/>
        <color rgb="FF000000"/>
        <rFont val="ＭＳ ゴシック"/>
        <family val="3"/>
        <charset val="128"/>
      </rPr>
      <t>月は</t>
    </r>
    <r>
      <rPr>
        <sz val="10"/>
        <color rgb="FF000000"/>
        <rFont val="Arial"/>
        <family val="2"/>
      </rPr>
      <t>VR</t>
    </r>
    <r>
      <rPr>
        <sz val="10"/>
        <color rgb="FF000000"/>
        <rFont val="ＭＳ ゴシック"/>
        <family val="3"/>
        <charset val="128"/>
      </rPr>
      <t>準備あり。</t>
    </r>
    <phoneticPr fontId="25"/>
  </si>
  <si>
    <r>
      <rPr>
        <sz val="10"/>
        <color rgb="FF000000"/>
        <rFont val="ＭＳ ゴシック"/>
        <family val="3"/>
        <charset val="128"/>
      </rPr>
      <t>。出張が多く（</t>
    </r>
    <r>
      <rPr>
        <sz val="10"/>
        <color rgb="FF000000"/>
        <rFont val="Arial"/>
        <family val="2"/>
      </rPr>
      <t>8/23-29</t>
    </r>
    <r>
      <rPr>
        <sz val="10"/>
        <color rgb="FF000000"/>
        <rFont val="ＭＳ ゴシック"/>
        <family val="3"/>
        <charset val="128"/>
      </rPr>
      <t>フィジー等）日程確保を至急確認</t>
    </r>
    <phoneticPr fontId="25"/>
  </si>
  <si>
    <t>先発隊。</t>
    <phoneticPr fontId="25"/>
  </si>
  <si>
    <r>
      <t>10/30 22:20</t>
    </r>
    <r>
      <rPr>
        <sz val="10"/>
        <color rgb="FF000000"/>
        <rFont val="ＭＳ ゴシック"/>
        <family val="3"/>
        <charset val="128"/>
      </rPr>
      <t>発のため</t>
    </r>
    <r>
      <rPr>
        <sz val="10"/>
        <color rgb="FF000000"/>
        <rFont val="Arial"/>
        <family val="2"/>
      </rPr>
      <t>Closing</t>
    </r>
    <r>
      <rPr>
        <sz val="10"/>
        <color rgb="FF000000"/>
        <rFont val="ＭＳ ゴシック"/>
        <family val="3"/>
        <charset val="128"/>
      </rPr>
      <t>後〜</t>
    </r>
    <r>
      <rPr>
        <sz val="10"/>
        <color rgb="FF000000"/>
        <rFont val="Arial"/>
        <family val="2"/>
      </rPr>
      <t>Day3</t>
    </r>
    <r>
      <rPr>
        <sz val="10"/>
        <color rgb="FF000000"/>
        <rFont val="ＭＳ ゴシック"/>
        <family val="3"/>
        <charset val="128"/>
      </rPr>
      <t>午後まで在場。</t>
    </r>
    <phoneticPr fontId="25"/>
  </si>
  <si>
    <r>
      <rPr>
        <sz val="10"/>
        <color rgb="FF000000"/>
        <rFont val="ＭＳ ゴシック"/>
        <family val="3"/>
        <charset val="128"/>
      </rPr>
      <t>航空券手配メールが見当たらない。宿泊先が</t>
    </r>
    <r>
      <rPr>
        <sz val="10"/>
        <color rgb="FF000000"/>
        <rFont val="Arial"/>
        <family val="2"/>
      </rPr>
      <t>2</t>
    </r>
    <r>
      <rPr>
        <sz val="10"/>
        <color rgb="FF000000"/>
        <rFont val="ＭＳ ゴシック"/>
        <family val="3"/>
        <charset val="128"/>
      </rPr>
      <t>シートで矛盾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WenQuanYi Zen Hei"/>
        <family val="2"/>
        <charset val="128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ＭＳ ゴシック"/>
        <family val="3"/>
        <charset val="128"/>
      </rPr>
      <t>要確認</t>
    </r>
    <phoneticPr fontId="2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</si>
</sst>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i/>
      <sz val="9"/>
      <color rgb="FF555555"/>
      <name val="WenQuanYi Zen Hei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WenQuanYi Zen Hei"/>
      <family val="2"/>
    </font>
    <font>
      <sz val="10"/>
      <color rgb="FF000000"/>
      <name val="Arial"/>
      <family val="2"/>
    </font>
    <font>
      <sz val="10"/>
      <color rgb="FF000000"/>
      <name val="WenQuanYi Zen Hei"/>
      <family val="2"/>
    </font>
    <font>
      <b/>
      <sz val="10"/>
      <color rgb="FF000000"/>
      <name val="WenQuanYi Zen Hei"/>
      <family val="2"/>
    </font>
    <font>
      <sz val="11"/>
      <color theme="1"/>
      <name val="WenQuanYi Zen Hei"/>
      <family val="2"/>
    </font>
    <font>
      <b/>
      <sz val="10"/>
      <color rgb="FF0000FF"/>
      <name val="Arial"/>
      <family val="2"/>
    </font>
    <font>
      <sz val="9"/>
      <color rgb="FF000000"/>
      <name val="WenQuanYi Zen Hei"/>
      <family val="2"/>
    </font>
    <font>
      <b/>
      <sz val="12"/>
      <color rgb="FF1F4E78"/>
      <name val="Arial"/>
      <family val="2"/>
    </font>
    <font>
      <b/>
      <sz val="12"/>
      <color rgb="FF1F4E78"/>
      <name val="WenQuanYi Zen Hei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WenQuanYi Zen Hei"/>
      <family val="2"/>
    </font>
    <font>
      <b/>
      <sz val="10"/>
      <color rgb="FFC0000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WenQuanYi Zen Hei"/>
      <family val="2"/>
    </font>
    <font>
      <i/>
      <sz val="8"/>
      <color rgb="FF555555"/>
      <name val="WenQuanYi Zen Hei"/>
      <family val="2"/>
    </font>
    <font>
      <i/>
      <sz val="8"/>
      <color rgb="FF555555"/>
      <name val="Arial"/>
      <family val="2"/>
    </font>
    <font>
      <sz val="9"/>
      <color rgb="FFC00000"/>
      <name val="WenQuanYi Zen Hei"/>
      <family val="2"/>
    </font>
    <font>
      <sz val="9"/>
      <color rgb="FFC00000"/>
      <name val="Arial"/>
      <family val="2"/>
    </font>
    <font>
      <b/>
      <sz val="11"/>
      <color rgb="FF1F4E78"/>
      <name val="WenQuanYi Zen Hei"/>
      <family val="2"/>
    </font>
    <font>
      <sz val="6"/>
      <name val="ＭＳ Ｐゴシック"/>
      <family val="3"/>
      <charset val="128"/>
    </font>
    <font>
      <b/>
      <sz val="14"/>
      <color rgb="FF1F4E78"/>
      <name val="ＭＳ ゴシック"/>
      <family val="3"/>
      <charset val="128"/>
    </font>
    <font>
      <sz val="10"/>
      <color rgb="FF000000"/>
      <name val="ＭＳ ゴシック"/>
      <family val="3"/>
      <charset val="128"/>
    </font>
    <font>
      <sz val="10"/>
      <color rgb="FF000000"/>
      <name val="WenQuanYi Zen Hei"/>
      <family val="3"/>
      <charset val="128"/>
    </font>
    <font>
      <sz val="10"/>
      <color rgb="FF000000"/>
      <name val="游ゴシック"/>
      <family val="2"/>
      <charset val="128"/>
    </font>
    <font>
      <sz val="10"/>
      <color rgb="FF000000"/>
      <name val="WenQuanYi Zen Hei"/>
      <family val="2"/>
      <charset val="128"/>
    </font>
  </fonts>
  <fills count="1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6E0B4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8CBAD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B4C6E7"/>
      </patternFill>
    </fill>
    <fill>
      <patternFill patternType="solid">
        <fgColor rgb="FFFFF2CC"/>
        <bgColor rgb="FFFCE4D6"/>
      </patternFill>
    </fill>
    <fill>
      <patternFill patternType="solid">
        <fgColor rgb="FFC6E0B4"/>
        <bgColor rgb="FFC6EFCE"/>
      </patternFill>
    </fill>
    <fill>
      <patternFill patternType="solid">
        <fgColor rgb="FFF8CBAD"/>
        <bgColor rgb="FFFFC7CE"/>
      </patternFill>
    </fill>
    <fill>
      <patternFill patternType="solid">
        <fgColor rgb="FFD9D2E9"/>
        <bgColor rgb="FFBDD7EE"/>
      </patternFill>
    </fill>
    <fill>
      <patternFill patternType="solid">
        <fgColor rgb="FFB4C6E7"/>
        <bgColor rgb="FFBDD7EE"/>
      </patternFill>
    </fill>
    <fill>
      <patternFill patternType="solid">
        <fgColor rgb="FFE2EFDA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5" fillId="12" borderId="1" xfId="0" applyFont="1" applyFill="1" applyBorder="1" applyAlignment="1">
      <alignment vertical="center"/>
    </xf>
    <xf numFmtId="0" fontId="15" fillId="14" borderId="1" xfId="0" applyFont="1" applyFill="1" applyBorder="1" applyAlignment="1">
      <alignment vertical="center"/>
    </xf>
    <xf numFmtId="0" fontId="15" fillId="9" borderId="1" xfId="0" applyFont="1" applyFill="1" applyBorder="1" applyAlignment="1">
      <alignment vertical="center"/>
    </xf>
    <xf numFmtId="0" fontId="22" fillId="0" borderId="0" xfId="0" applyFont="1" applyAlignment="1">
      <alignment vertical="top" wrapText="1"/>
    </xf>
    <xf numFmtId="0" fontId="15" fillId="13" borderId="1" xfId="0" applyFont="1" applyFill="1" applyBorder="1" applyAlignment="1">
      <alignment vertical="center"/>
    </xf>
    <xf numFmtId="0" fontId="16" fillId="13" borderId="1" xfId="0" applyFont="1" applyFill="1" applyBorder="1" applyAlignment="1">
      <alignment vertical="center"/>
    </xf>
    <xf numFmtId="0" fontId="15" fillId="11" borderId="1" xfId="0" applyFont="1" applyFill="1" applyBorder="1" applyAlignment="1">
      <alignment vertical="center"/>
    </xf>
    <xf numFmtId="0" fontId="15" fillId="15" borderId="1" xfId="0" applyFont="1" applyFill="1" applyBorder="1" applyAlignment="1">
      <alignment vertical="center"/>
    </xf>
    <xf numFmtId="0" fontId="16" fillId="15" borderId="1" xfId="0" applyFont="1" applyFill="1" applyBorder="1" applyAlignment="1">
      <alignment vertical="center"/>
    </xf>
    <xf numFmtId="0" fontId="16" fillId="11" borderId="1" xfId="0" applyFont="1" applyFill="1" applyBorder="1" applyAlignment="1">
      <alignment vertical="center"/>
    </xf>
    <xf numFmtId="0" fontId="16" fillId="14" borderId="1" xfId="0" applyFont="1" applyFill="1" applyBorder="1" applyAlignment="1">
      <alignment vertical="center"/>
    </xf>
    <xf numFmtId="0" fontId="16" fillId="9" borderId="1" xfId="0" applyFont="1" applyFill="1" applyBorder="1" applyAlignment="1">
      <alignment vertical="center"/>
    </xf>
    <xf numFmtId="0" fontId="14" fillId="7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0" borderId="0" xfId="0" applyFont="1"/>
    <xf numFmtId="0" fontId="2" fillId="0" borderId="0" xfId="0" applyFont="1"/>
    <xf numFmtId="0" fontId="0" fillId="3" borderId="0" xfId="0" applyFill="1"/>
    <xf numFmtId="0" fontId="11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2" fillId="0" borderId="0" xfId="0" applyFont="1"/>
    <xf numFmtId="0" fontId="14" fillId="0" borderId="0" xfId="0" applyFont="1"/>
    <xf numFmtId="0" fontId="0" fillId="0" borderId="0" xfId="0" applyAlignment="1">
      <alignment horizontal="center" vertical="center" wrapText="1"/>
    </xf>
    <xf numFmtId="0" fontId="15" fillId="8" borderId="0" xfId="0" applyFont="1" applyFill="1" applyAlignment="1">
      <alignment vertical="top" wrapText="1"/>
    </xf>
    <xf numFmtId="0" fontId="16" fillId="9" borderId="0" xfId="0" applyFont="1" applyFill="1" applyAlignment="1">
      <alignment vertical="top" wrapText="1"/>
    </xf>
    <xf numFmtId="0" fontId="15" fillId="9" borderId="0" xfId="0" applyFont="1" applyFill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15" fillId="10" borderId="1" xfId="0" applyFont="1" applyFill="1" applyBorder="1" applyAlignment="1">
      <alignment vertical="top" wrapText="1"/>
    </xf>
    <xf numFmtId="0" fontId="15" fillId="11" borderId="1" xfId="0" applyFont="1" applyFill="1" applyBorder="1" applyAlignment="1">
      <alignment vertical="top" wrapText="1"/>
    </xf>
    <xf numFmtId="0" fontId="16" fillId="11" borderId="1" xfId="0" applyFont="1" applyFill="1" applyBorder="1" applyAlignment="1">
      <alignment vertical="top" wrapText="1"/>
    </xf>
    <xf numFmtId="0" fontId="16" fillId="9" borderId="1" xfId="0" applyFont="1" applyFill="1" applyBorder="1" applyAlignment="1">
      <alignment vertical="top" wrapText="1"/>
    </xf>
    <xf numFmtId="0" fontId="15" fillId="12" borderId="1" xfId="0" applyFont="1" applyFill="1" applyBorder="1" applyAlignment="1">
      <alignment vertical="top" wrapText="1"/>
    </xf>
    <xf numFmtId="0" fontId="15" fillId="9" borderId="1" xfId="0" applyFont="1" applyFill="1" applyBorder="1" applyAlignment="1">
      <alignment vertical="top" wrapText="1"/>
    </xf>
    <xf numFmtId="0" fontId="15" fillId="4" borderId="1" xfId="0" applyFont="1" applyFill="1" applyBorder="1" applyAlignment="1">
      <alignment vertical="top" wrapText="1"/>
    </xf>
    <xf numFmtId="0" fontId="15" fillId="13" borderId="1" xfId="0" applyFont="1" applyFill="1" applyBorder="1" applyAlignment="1">
      <alignment vertical="top" wrapText="1"/>
    </xf>
    <xf numFmtId="0" fontId="16" fillId="13" borderId="1" xfId="0" applyFont="1" applyFill="1" applyBorder="1" applyAlignment="1">
      <alignment vertical="top" wrapText="1"/>
    </xf>
    <xf numFmtId="0" fontId="16" fillId="10" borderId="1" xfId="0" applyFont="1" applyFill="1" applyBorder="1" applyAlignment="1">
      <alignment vertical="top" wrapText="1"/>
    </xf>
    <xf numFmtId="0" fontId="1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16" fillId="9" borderId="1" xfId="0" applyFont="1" applyFill="1" applyBorder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20" fillId="0" borderId="0" xfId="0" applyFont="1"/>
    <xf numFmtId="0" fontId="15" fillId="9" borderId="1" xfId="0" applyFont="1" applyFill="1" applyBorder="1" applyAlignment="1">
      <alignment vertical="center"/>
    </xf>
    <xf numFmtId="0" fontId="15" fillId="12" borderId="1" xfId="0" applyFont="1" applyFill="1" applyBorder="1" applyAlignment="1">
      <alignment vertical="center"/>
    </xf>
    <xf numFmtId="0" fontId="13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4" fillId="0" borderId="0" xfId="0" applyFont="1"/>
    <xf numFmtId="0" fontId="8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2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0" fontId="16" fillId="12" borderId="1" xfId="0" applyFont="1" applyFill="1" applyBorder="1" applyAlignment="1">
      <alignment vertical="center"/>
    </xf>
    <xf numFmtId="0" fontId="15" fillId="16" borderId="1" xfId="0" applyFont="1" applyFill="1" applyBorder="1" applyAlignment="1">
      <alignment vertical="center"/>
    </xf>
    <xf numFmtId="0" fontId="16" fillId="16" borderId="1" xfId="0" applyFont="1" applyFill="1" applyBorder="1" applyAlignment="1">
      <alignment vertical="center"/>
    </xf>
    <xf numFmtId="0" fontId="16" fillId="10" borderId="1" xfId="0" applyFont="1" applyFill="1" applyBorder="1" applyAlignment="1">
      <alignment vertical="center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28" fillId="0" borderId="1" xfId="0" applyFont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0" fontId="12" fillId="17" borderId="0" xfId="0" applyFont="1" applyFill="1"/>
    <xf numFmtId="0" fontId="14" fillId="17" borderId="0" xfId="0" applyFont="1" applyFill="1"/>
    <xf numFmtId="0" fontId="0" fillId="17" borderId="0" xfId="0" applyFill="1"/>
    <xf numFmtId="0" fontId="8" fillId="17" borderId="0" xfId="0" applyFont="1" applyFill="1"/>
    <xf numFmtId="0" fontId="2" fillId="17" borderId="0" xfId="0" applyFont="1" applyFill="1"/>
    <xf numFmtId="0" fontId="8" fillId="18" borderId="1" xfId="0" applyFont="1" applyFill="1" applyBorder="1" applyAlignment="1">
      <alignment wrapText="1"/>
    </xf>
    <xf numFmtId="0" fontId="19" fillId="18" borderId="1" xfId="0" applyFont="1" applyFill="1" applyBorder="1" applyAlignment="1">
      <alignment wrapText="1"/>
    </xf>
    <xf numFmtId="0" fontId="16" fillId="9" borderId="0" xfId="0" applyFont="1" applyFill="1" applyBorder="1" applyAlignment="1">
      <alignment vertical="center"/>
    </xf>
    <xf numFmtId="0" fontId="15" fillId="9" borderId="0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DD7EE"/>
      <rgbColor rgb="FFFFC7CE"/>
      <rgbColor rgb="FFC6E0B4"/>
      <rgbColor rgb="FFF8CBAD"/>
      <rgbColor rgb="FF3366FF"/>
      <rgbColor rgb="FF33CCCC"/>
      <rgbColor rgb="FF99CC00"/>
      <rgbColor rgb="FFFCE4D6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zoomScale="80" zoomScaleNormal="80" workbookViewId="0">
      <pane xSplit="2" ySplit="4" topLeftCell="E5" activePane="bottomRight" state="frozen"/>
      <selection pane="topRight" activeCell="C1" sqref="C1"/>
      <selection pane="bottomLeft" activeCell="A5" sqref="A5"/>
      <selection pane="bottomRight" activeCell="K8" sqref="K8"/>
    </sheetView>
  </sheetViews>
  <sheetFormatPr defaultColWidth="8.5546875" defaultRowHeight="14.4"/>
  <cols>
    <col min="1" max="1" width="5" customWidth="1"/>
    <col min="2" max="2" width="12" customWidth="1"/>
    <col min="3" max="3" width="18" customWidth="1"/>
    <col min="4" max="4" width="15.5546875" customWidth="1"/>
    <col min="5" max="5" width="13.109375" customWidth="1"/>
    <col min="6" max="6" width="23.77734375" customWidth="1"/>
    <col min="7" max="7" width="20.5546875" customWidth="1"/>
    <col min="8" max="8" width="19" customWidth="1"/>
    <col min="9" max="9" width="36" customWidth="1"/>
    <col min="10" max="10" width="44" customWidth="1"/>
    <col min="11" max="11" width="32" customWidth="1"/>
  </cols>
  <sheetData>
    <row r="1" spans="1:12" ht="17.399999999999999">
      <c r="A1" s="15" t="s">
        <v>685</v>
      </c>
    </row>
    <row r="2" spans="1:12" ht="30" customHeight="1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 ht="26.4">
      <c r="A4" s="16" t="s">
        <v>1</v>
      </c>
      <c r="B4" s="17" t="s">
        <v>2</v>
      </c>
      <c r="C4" s="16" t="s">
        <v>3</v>
      </c>
      <c r="D4" s="17" t="s">
        <v>4</v>
      </c>
      <c r="E4" s="17" t="s">
        <v>5</v>
      </c>
      <c r="F4" s="17" t="s">
        <v>6</v>
      </c>
      <c r="G4" s="17" t="s">
        <v>7</v>
      </c>
      <c r="H4" s="17" t="s">
        <v>8</v>
      </c>
      <c r="I4" s="17" t="s">
        <v>9</v>
      </c>
      <c r="J4" s="17" t="s">
        <v>10</v>
      </c>
      <c r="K4" s="17" t="s">
        <v>11</v>
      </c>
    </row>
    <row r="5" spans="1:12" ht="39.6">
      <c r="A5" s="18">
        <v>1</v>
      </c>
      <c r="B5" s="19" t="s">
        <v>12</v>
      </c>
      <c r="C5" s="18" t="s">
        <v>13</v>
      </c>
      <c r="D5" s="19" t="s">
        <v>14</v>
      </c>
      <c r="E5" s="20" t="s">
        <v>15</v>
      </c>
      <c r="F5" s="18" t="s">
        <v>16</v>
      </c>
      <c r="G5" s="18" t="s">
        <v>17</v>
      </c>
      <c r="H5" s="18" t="s">
        <v>18</v>
      </c>
      <c r="I5" s="18" t="s">
        <v>19</v>
      </c>
      <c r="J5" s="18" t="s">
        <v>20</v>
      </c>
      <c r="K5" s="19" t="s">
        <v>21</v>
      </c>
    </row>
    <row r="6" spans="1:12" ht="26.4">
      <c r="A6" s="18">
        <v>2</v>
      </c>
      <c r="B6" s="19" t="s">
        <v>22</v>
      </c>
      <c r="C6" s="18" t="s">
        <v>23</v>
      </c>
      <c r="D6" s="19" t="s">
        <v>24</v>
      </c>
      <c r="E6" s="20" t="s">
        <v>15</v>
      </c>
      <c r="F6" s="18" t="s">
        <v>25</v>
      </c>
      <c r="G6" s="18" t="s">
        <v>26</v>
      </c>
      <c r="H6" s="18" t="s">
        <v>18</v>
      </c>
      <c r="I6" s="19" t="s">
        <v>27</v>
      </c>
      <c r="J6" s="18" t="s">
        <v>28</v>
      </c>
      <c r="K6" s="19" t="s">
        <v>29</v>
      </c>
    </row>
    <row r="7" spans="1:12" ht="52.8">
      <c r="A7" s="18">
        <v>3</v>
      </c>
      <c r="B7" s="19" t="s">
        <v>30</v>
      </c>
      <c r="C7" s="18" t="s">
        <v>31</v>
      </c>
      <c r="D7" s="76" t="s">
        <v>697</v>
      </c>
      <c r="E7" s="20" t="s">
        <v>32</v>
      </c>
      <c r="F7" s="19" t="s">
        <v>33</v>
      </c>
      <c r="G7" s="19" t="s">
        <v>34</v>
      </c>
      <c r="H7" s="19" t="s">
        <v>35</v>
      </c>
      <c r="I7" s="19" t="s">
        <v>36</v>
      </c>
      <c r="J7" s="19" t="s">
        <v>37</v>
      </c>
      <c r="K7" s="75" t="s">
        <v>714</v>
      </c>
    </row>
    <row r="8" spans="1:12" ht="39.6">
      <c r="A8" s="18">
        <v>4</v>
      </c>
      <c r="B8" s="19" t="s">
        <v>38</v>
      </c>
      <c r="C8" s="18" t="s">
        <v>39</v>
      </c>
      <c r="D8" s="19" t="s">
        <v>40</v>
      </c>
      <c r="E8" s="20" t="s">
        <v>32</v>
      </c>
      <c r="F8" s="19" t="s">
        <v>41</v>
      </c>
      <c r="G8" s="19" t="s">
        <v>42</v>
      </c>
      <c r="H8" s="18" t="s">
        <v>43</v>
      </c>
      <c r="I8" s="18" t="s">
        <v>44</v>
      </c>
      <c r="J8" s="19" t="s">
        <v>45</v>
      </c>
      <c r="K8" s="19" t="s">
        <v>46</v>
      </c>
    </row>
    <row r="9" spans="1:12" ht="39.6">
      <c r="A9" s="18">
        <v>5</v>
      </c>
      <c r="B9" s="19" t="s">
        <v>47</v>
      </c>
      <c r="C9" s="18" t="s">
        <v>48</v>
      </c>
      <c r="D9" s="19" t="s">
        <v>49</v>
      </c>
      <c r="E9" s="20" t="s">
        <v>15</v>
      </c>
      <c r="F9" s="18" t="s">
        <v>50</v>
      </c>
      <c r="G9" s="18" t="s">
        <v>51</v>
      </c>
      <c r="H9" s="18" t="s">
        <v>43</v>
      </c>
      <c r="I9" s="19" t="s">
        <v>52</v>
      </c>
      <c r="J9" s="19" t="s">
        <v>53</v>
      </c>
      <c r="K9" s="18" t="s">
        <v>713</v>
      </c>
    </row>
    <row r="10" spans="1:12" ht="39.6">
      <c r="A10" s="18">
        <v>6</v>
      </c>
      <c r="B10" s="75" t="s">
        <v>696</v>
      </c>
      <c r="C10" s="18" t="s">
        <v>54</v>
      </c>
      <c r="D10" s="76" t="s">
        <v>708</v>
      </c>
      <c r="E10" s="20" t="s">
        <v>15</v>
      </c>
      <c r="F10" s="18" t="s">
        <v>55</v>
      </c>
      <c r="G10" s="18" t="s">
        <v>56</v>
      </c>
      <c r="H10" s="18" t="s">
        <v>43</v>
      </c>
      <c r="I10" s="18" t="s">
        <v>57</v>
      </c>
      <c r="J10" s="18" t="s">
        <v>58</v>
      </c>
      <c r="K10" s="19" t="s">
        <v>59</v>
      </c>
    </row>
    <row r="11" spans="1:12" ht="39.6">
      <c r="A11" s="18">
        <v>7</v>
      </c>
      <c r="B11" s="19" t="s">
        <v>60</v>
      </c>
      <c r="C11" s="18" t="s">
        <v>61</v>
      </c>
      <c r="D11" s="19" t="s">
        <v>62</v>
      </c>
      <c r="E11" s="20" t="s">
        <v>15</v>
      </c>
      <c r="F11" s="18" t="s">
        <v>63</v>
      </c>
      <c r="G11" s="18" t="s">
        <v>64</v>
      </c>
      <c r="H11" s="18" t="s">
        <v>65</v>
      </c>
      <c r="I11" s="19" t="s">
        <v>66</v>
      </c>
      <c r="J11" s="19" t="s">
        <v>67</v>
      </c>
      <c r="K11" s="19" t="s">
        <v>68</v>
      </c>
    </row>
    <row r="12" spans="1:12" ht="39.6">
      <c r="A12" s="18">
        <v>8</v>
      </c>
      <c r="B12" s="19" t="s">
        <v>69</v>
      </c>
      <c r="C12" s="18" t="s">
        <v>70</v>
      </c>
      <c r="D12" s="19" t="s">
        <v>71</v>
      </c>
      <c r="E12" s="20" t="s">
        <v>15</v>
      </c>
      <c r="F12" s="18" t="s">
        <v>63</v>
      </c>
      <c r="G12" s="18" t="s">
        <v>64</v>
      </c>
      <c r="H12" s="18" t="s">
        <v>65</v>
      </c>
      <c r="I12" s="18" t="s">
        <v>72</v>
      </c>
      <c r="J12" s="19" t="s">
        <v>73</v>
      </c>
      <c r="K12" s="76" t="s">
        <v>712</v>
      </c>
    </row>
    <row r="13" spans="1:12" ht="52.8">
      <c r="A13" s="18">
        <v>9</v>
      </c>
      <c r="B13" s="76" t="s">
        <v>695</v>
      </c>
      <c r="C13" s="18" t="s">
        <v>74</v>
      </c>
      <c r="D13" s="19" t="s">
        <v>75</v>
      </c>
      <c r="E13" s="20" t="s">
        <v>76</v>
      </c>
      <c r="F13" s="18" t="s">
        <v>77</v>
      </c>
      <c r="G13" s="18" t="s">
        <v>78</v>
      </c>
      <c r="H13" s="18" t="s">
        <v>79</v>
      </c>
      <c r="I13" s="18" t="s">
        <v>80</v>
      </c>
      <c r="J13" s="18" t="s">
        <v>81</v>
      </c>
      <c r="K13" s="19" t="s">
        <v>82</v>
      </c>
    </row>
    <row r="14" spans="1:12" ht="64.8">
      <c r="A14" s="18">
        <v>10</v>
      </c>
      <c r="B14" s="77" t="s">
        <v>691</v>
      </c>
      <c r="C14" s="18" t="s">
        <v>693</v>
      </c>
      <c r="D14" s="19" t="s">
        <v>75</v>
      </c>
      <c r="E14" s="20" t="s">
        <v>76</v>
      </c>
      <c r="F14" s="18" t="s">
        <v>83</v>
      </c>
      <c r="G14" s="18" t="s">
        <v>84</v>
      </c>
      <c r="H14" s="18" t="s">
        <v>79</v>
      </c>
      <c r="I14" s="19" t="s">
        <v>85</v>
      </c>
      <c r="J14" s="18" t="s">
        <v>86</v>
      </c>
      <c r="K14" s="18" t="s">
        <v>87</v>
      </c>
    </row>
    <row r="15" spans="1:12" ht="39.6">
      <c r="A15" s="18">
        <v>11</v>
      </c>
      <c r="B15" s="77" t="s">
        <v>692</v>
      </c>
      <c r="C15" s="18" t="s">
        <v>694</v>
      </c>
      <c r="D15" s="19" t="s">
        <v>88</v>
      </c>
      <c r="E15" s="21" t="s">
        <v>89</v>
      </c>
      <c r="F15" s="19" t="s">
        <v>90</v>
      </c>
      <c r="G15" s="19" t="s">
        <v>90</v>
      </c>
      <c r="H15" s="18" t="s">
        <v>79</v>
      </c>
      <c r="I15" s="18" t="s">
        <v>91</v>
      </c>
      <c r="J15" s="18" t="s">
        <v>92</v>
      </c>
      <c r="K15" s="75" t="s">
        <v>711</v>
      </c>
    </row>
    <row r="16" spans="1:12" ht="52.8">
      <c r="A16" s="18">
        <v>12</v>
      </c>
      <c r="B16" s="19" t="s">
        <v>93</v>
      </c>
      <c r="C16" s="18" t="s">
        <v>94</v>
      </c>
      <c r="D16" s="76" t="s">
        <v>690</v>
      </c>
      <c r="E16" s="21" t="s">
        <v>95</v>
      </c>
      <c r="F16" s="19" t="s">
        <v>96</v>
      </c>
      <c r="G16" s="19" t="s">
        <v>96</v>
      </c>
      <c r="H16" s="18" t="s">
        <v>97</v>
      </c>
      <c r="I16" s="19" t="s">
        <v>98</v>
      </c>
      <c r="J16" s="19" t="s">
        <v>99</v>
      </c>
      <c r="K16" s="18" t="s">
        <v>710</v>
      </c>
    </row>
    <row r="17" spans="1:11" ht="39.6">
      <c r="A17" s="18">
        <v>13</v>
      </c>
      <c r="B17" s="19" t="s">
        <v>100</v>
      </c>
      <c r="C17" s="18" t="s">
        <v>101</v>
      </c>
      <c r="D17" s="19" t="s">
        <v>75</v>
      </c>
      <c r="E17" s="21" t="s">
        <v>95</v>
      </c>
      <c r="F17" s="19" t="s">
        <v>96</v>
      </c>
      <c r="G17" s="19" t="s">
        <v>96</v>
      </c>
      <c r="H17" s="18" t="s">
        <v>97</v>
      </c>
      <c r="I17" s="19" t="s">
        <v>102</v>
      </c>
      <c r="J17" s="19" t="s">
        <v>103</v>
      </c>
      <c r="K17" s="18"/>
    </row>
    <row r="18" spans="1:11" ht="39.6">
      <c r="A18" s="18">
        <v>14</v>
      </c>
      <c r="B18" s="76" t="s">
        <v>688</v>
      </c>
      <c r="C18" s="18" t="s">
        <v>689</v>
      </c>
      <c r="D18" s="19" t="s">
        <v>104</v>
      </c>
      <c r="E18" s="22" t="s">
        <v>105</v>
      </c>
      <c r="F18" s="19" t="s">
        <v>96</v>
      </c>
      <c r="G18" s="19" t="s">
        <v>96</v>
      </c>
      <c r="H18" s="18" t="s">
        <v>106</v>
      </c>
      <c r="I18" s="19" t="s">
        <v>107</v>
      </c>
      <c r="J18" s="19" t="s">
        <v>108</v>
      </c>
      <c r="K18" s="19" t="s">
        <v>109</v>
      </c>
    </row>
    <row r="19" spans="1:11" ht="26.4">
      <c r="A19" s="18">
        <v>15</v>
      </c>
      <c r="B19" s="19" t="s">
        <v>110</v>
      </c>
      <c r="C19" s="18" t="s">
        <v>111</v>
      </c>
      <c r="D19" s="18" t="s">
        <v>106</v>
      </c>
      <c r="E19" s="23" t="s">
        <v>112</v>
      </c>
      <c r="F19" s="18" t="s">
        <v>106</v>
      </c>
      <c r="G19" s="18" t="s">
        <v>106</v>
      </c>
      <c r="H19" s="18" t="s">
        <v>106</v>
      </c>
      <c r="I19" s="18" t="s">
        <v>113</v>
      </c>
      <c r="J19" s="19" t="s">
        <v>114</v>
      </c>
      <c r="K19" s="18" t="s">
        <v>106</v>
      </c>
    </row>
    <row r="20" spans="1:11" ht="39.6">
      <c r="A20" s="18">
        <v>16</v>
      </c>
      <c r="B20" s="76" t="s">
        <v>687</v>
      </c>
      <c r="C20" s="18" t="s">
        <v>115</v>
      </c>
      <c r="D20" s="19" t="s">
        <v>116</v>
      </c>
      <c r="E20" s="23" t="s">
        <v>117</v>
      </c>
      <c r="F20" s="18" t="s">
        <v>106</v>
      </c>
      <c r="G20" s="18" t="s">
        <v>106</v>
      </c>
      <c r="H20" s="18" t="s">
        <v>106</v>
      </c>
      <c r="I20" s="19" t="s">
        <v>118</v>
      </c>
      <c r="J20" s="19" t="s">
        <v>119</v>
      </c>
      <c r="K20" s="19" t="s">
        <v>120</v>
      </c>
    </row>
    <row r="21" spans="1:11" ht="26.4">
      <c r="A21" s="18">
        <v>17</v>
      </c>
      <c r="B21" s="19" t="s">
        <v>121</v>
      </c>
      <c r="C21" s="18" t="s">
        <v>122</v>
      </c>
      <c r="D21" s="19" t="s">
        <v>62</v>
      </c>
      <c r="E21" s="23" t="s">
        <v>117</v>
      </c>
      <c r="F21" s="18" t="s">
        <v>106</v>
      </c>
      <c r="G21" s="18" t="s">
        <v>106</v>
      </c>
      <c r="H21" s="18" t="s">
        <v>106</v>
      </c>
      <c r="I21" s="19" t="s">
        <v>123</v>
      </c>
      <c r="J21" s="19" t="s">
        <v>124</v>
      </c>
      <c r="K21" s="18" t="s">
        <v>106</v>
      </c>
    </row>
    <row r="22" spans="1:11" ht="26.4">
      <c r="A22" s="18">
        <v>18</v>
      </c>
      <c r="B22" s="76" t="s">
        <v>686</v>
      </c>
      <c r="C22" s="18" t="s">
        <v>125</v>
      </c>
      <c r="D22" s="19" t="s">
        <v>88</v>
      </c>
      <c r="E22" s="23" t="s">
        <v>117</v>
      </c>
      <c r="F22" s="18" t="s">
        <v>106</v>
      </c>
      <c r="G22" s="18" t="s">
        <v>106</v>
      </c>
      <c r="H22" s="18" t="s">
        <v>106</v>
      </c>
      <c r="I22" s="19"/>
      <c r="J22" s="76" t="s">
        <v>709</v>
      </c>
      <c r="K22" s="18" t="s">
        <v>106</v>
      </c>
    </row>
    <row r="24" spans="1:11">
      <c r="B24" s="24" t="s">
        <v>126</v>
      </c>
    </row>
    <row r="25" spans="1:11">
      <c r="B25" s="25" t="s">
        <v>127</v>
      </c>
      <c r="E25" s="24">
        <f>COUNTIF(E5:E22,"確定*")</f>
        <v>10</v>
      </c>
    </row>
    <row r="26" spans="1:11">
      <c r="B26" s="25" t="s">
        <v>128</v>
      </c>
      <c r="E26" s="24">
        <f>COUNTIF(E5:E22,"見込*")+COUNTIF(E5:E22,"候補*")</f>
        <v>3</v>
      </c>
    </row>
    <row r="27" spans="1:11">
      <c r="B27" s="25" t="s">
        <v>105</v>
      </c>
      <c r="E27" s="24">
        <f>COUNTIF(E5:E22,"未定*")</f>
        <v>1</v>
      </c>
    </row>
    <row r="28" spans="1:11">
      <c r="B28" s="25" t="s">
        <v>129</v>
      </c>
      <c r="E28" s="26">
        <v>3</v>
      </c>
    </row>
    <row r="29" spans="1:11">
      <c r="B29" s="25" t="s">
        <v>130</v>
      </c>
      <c r="E29" s="24">
        <f>E25+COUNTIF(E5:E22,"見込*")-E28</f>
        <v>8</v>
      </c>
      <c r="F29" s="27" t="s">
        <v>131</v>
      </c>
    </row>
    <row r="30" spans="1:11">
      <c r="B30" s="25" t="s">
        <v>132</v>
      </c>
      <c r="E30" s="26">
        <f>E29+2</f>
        <v>10</v>
      </c>
      <c r="F30" s="28" t="s">
        <v>133</v>
      </c>
    </row>
    <row r="32" spans="1:11">
      <c r="B32" s="24" t="s">
        <v>134</v>
      </c>
    </row>
    <row r="33" spans="2:3">
      <c r="B33" s="29"/>
      <c r="C33" s="30" t="s">
        <v>135</v>
      </c>
    </row>
    <row r="34" spans="2:3">
      <c r="B34" s="31"/>
      <c r="C34" s="30" t="s">
        <v>136</v>
      </c>
    </row>
    <row r="35" spans="2:3">
      <c r="B35" s="32"/>
      <c r="C35" s="30" t="s">
        <v>137</v>
      </c>
    </row>
    <row r="36" spans="2:3">
      <c r="B36" s="33"/>
      <c r="C36" s="30" t="s">
        <v>138</v>
      </c>
    </row>
  </sheetData>
  <mergeCells count="1">
    <mergeCell ref="A2:L2"/>
  </mergeCells>
  <phoneticPr fontId="25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"/>
  <sheetViews>
    <sheetView zoomScaleNormal="100" workbookViewId="0">
      <pane xSplit="1" ySplit="5" topLeftCell="E6" activePane="bottomRight" state="frozen"/>
      <selection pane="topRight" activeCell="B1" sqref="B1"/>
      <selection pane="bottomLeft" activeCell="A6" sqref="A6"/>
      <selection pane="bottomRight" activeCell="A6" sqref="A6:A18"/>
    </sheetView>
  </sheetViews>
  <sheetFormatPr defaultColWidth="8.5546875" defaultRowHeight="14.4"/>
  <cols>
    <col min="1" max="1" width="14" style="80" customWidth="1"/>
    <col min="2" max="19" width="16" customWidth="1"/>
  </cols>
  <sheetData>
    <row r="1" spans="1:19" ht="15.6">
      <c r="A1" s="78" t="s">
        <v>139</v>
      </c>
    </row>
    <row r="3" spans="1:19" ht="15" customHeight="1">
      <c r="A3" s="79" t="s">
        <v>140</v>
      </c>
      <c r="B3" s="13" t="s">
        <v>141</v>
      </c>
      <c r="C3" s="13"/>
      <c r="D3" s="13" t="s">
        <v>142</v>
      </c>
      <c r="E3" s="13"/>
      <c r="F3" s="13" t="s">
        <v>143</v>
      </c>
      <c r="G3" s="13"/>
      <c r="H3" s="13" t="s">
        <v>144</v>
      </c>
      <c r="I3" s="13"/>
      <c r="J3" s="13" t="s">
        <v>145</v>
      </c>
      <c r="K3" s="13"/>
      <c r="L3" s="13" t="s">
        <v>146</v>
      </c>
      <c r="M3" s="13"/>
      <c r="N3" s="13" t="s">
        <v>147</v>
      </c>
      <c r="O3" s="13"/>
      <c r="P3" s="13" t="s">
        <v>148</v>
      </c>
      <c r="Q3" s="13"/>
      <c r="R3" s="13" t="s">
        <v>149</v>
      </c>
      <c r="S3" s="13"/>
    </row>
    <row r="4" spans="1:19">
      <c r="B4" s="36" t="s">
        <v>150</v>
      </c>
      <c r="C4" s="36" t="s">
        <v>151</v>
      </c>
      <c r="D4" s="36" t="s">
        <v>150</v>
      </c>
      <c r="E4" s="36" t="s">
        <v>151</v>
      </c>
      <c r="F4" s="36" t="s">
        <v>150</v>
      </c>
      <c r="G4" s="36" t="s">
        <v>151</v>
      </c>
      <c r="H4" s="36" t="s">
        <v>150</v>
      </c>
      <c r="I4" s="36" t="s">
        <v>151</v>
      </c>
      <c r="J4" s="36" t="s">
        <v>150</v>
      </c>
      <c r="K4" s="36" t="s">
        <v>151</v>
      </c>
      <c r="L4" s="36" t="s">
        <v>150</v>
      </c>
      <c r="M4" s="36" t="s">
        <v>151</v>
      </c>
      <c r="N4" s="36" t="s">
        <v>150</v>
      </c>
      <c r="O4" s="36" t="s">
        <v>151</v>
      </c>
      <c r="P4" s="36" t="s">
        <v>150</v>
      </c>
      <c r="Q4" s="36" t="s">
        <v>151</v>
      </c>
      <c r="R4" s="36" t="s">
        <v>150</v>
      </c>
      <c r="S4" s="36" t="s">
        <v>151</v>
      </c>
    </row>
    <row r="5" spans="1:19" ht="48" customHeight="1">
      <c r="A5" s="79" t="s">
        <v>152</v>
      </c>
      <c r="B5" s="37"/>
      <c r="C5" s="37"/>
      <c r="D5" s="37"/>
      <c r="E5" s="37"/>
      <c r="F5" s="38" t="s">
        <v>153</v>
      </c>
      <c r="G5" s="38" t="s">
        <v>154</v>
      </c>
      <c r="H5" s="38" t="s">
        <v>155</v>
      </c>
      <c r="I5" s="39" t="s">
        <v>156</v>
      </c>
      <c r="J5" s="39" t="s">
        <v>157</v>
      </c>
      <c r="K5" s="39" t="s">
        <v>158</v>
      </c>
      <c r="L5" s="39" t="s">
        <v>159</v>
      </c>
      <c r="M5" s="39" t="s">
        <v>160</v>
      </c>
      <c r="N5" s="39" t="s">
        <v>161</v>
      </c>
      <c r="O5" s="39" t="s">
        <v>162</v>
      </c>
      <c r="P5" s="38" t="s">
        <v>163</v>
      </c>
      <c r="Q5" s="38" t="s">
        <v>164</v>
      </c>
      <c r="R5" s="37"/>
      <c r="S5" s="37"/>
    </row>
    <row r="6" spans="1:19" ht="39.75" customHeight="1">
      <c r="A6" s="83" t="str">
        <f>人員一覧・判定!B5</f>
        <v>三浦 房紀</v>
      </c>
      <c r="B6" s="40"/>
      <c r="C6" s="40"/>
      <c r="D6" s="40"/>
      <c r="E6" s="40"/>
      <c r="F6" s="41" t="s">
        <v>165</v>
      </c>
      <c r="G6" s="42" t="s">
        <v>166</v>
      </c>
      <c r="H6" s="43" t="s">
        <v>167</v>
      </c>
      <c r="I6" s="44" t="s">
        <v>168</v>
      </c>
      <c r="J6" s="45" t="s">
        <v>169</v>
      </c>
      <c r="K6" s="46" t="s">
        <v>170</v>
      </c>
      <c r="L6" s="45" t="s">
        <v>171</v>
      </c>
      <c r="M6" s="46" t="s">
        <v>172</v>
      </c>
      <c r="N6" s="45" t="s">
        <v>173</v>
      </c>
      <c r="O6" s="42" t="s">
        <v>174</v>
      </c>
      <c r="P6" s="41" t="s">
        <v>175</v>
      </c>
      <c r="Q6" s="40"/>
      <c r="R6" s="40"/>
      <c r="S6" s="40"/>
    </row>
    <row r="7" spans="1:19" ht="39.75" customHeight="1">
      <c r="A7" s="83" t="str">
        <f>人員一覧・判定!B6</f>
        <v>北本 政行</v>
      </c>
      <c r="B7" s="40"/>
      <c r="C7" s="40"/>
      <c r="D7" s="40"/>
      <c r="E7" s="40"/>
      <c r="F7" s="41" t="s">
        <v>176</v>
      </c>
      <c r="G7" s="42" t="s">
        <v>177</v>
      </c>
      <c r="H7" s="43" t="s">
        <v>178</v>
      </c>
      <c r="I7" s="44" t="s">
        <v>168</v>
      </c>
      <c r="J7" s="45" t="s">
        <v>169</v>
      </c>
      <c r="K7" s="46" t="s">
        <v>179</v>
      </c>
      <c r="L7" s="45" t="s">
        <v>171</v>
      </c>
      <c r="M7" s="46" t="s">
        <v>172</v>
      </c>
      <c r="N7" s="45" t="s">
        <v>173</v>
      </c>
      <c r="O7" s="41" t="s">
        <v>180</v>
      </c>
      <c r="P7" s="45" t="s">
        <v>181</v>
      </c>
      <c r="Q7" s="40"/>
      <c r="R7" s="40"/>
      <c r="S7" s="40"/>
    </row>
    <row r="8" spans="1:19" ht="39.75" customHeight="1">
      <c r="A8" s="83" t="str">
        <f>人員一覧・判定!B7</f>
        <v>宮木 一寛</v>
      </c>
      <c r="B8" s="40"/>
      <c r="C8" s="40"/>
      <c r="D8" s="40"/>
      <c r="E8" s="40"/>
      <c r="F8" s="47" t="s">
        <v>182</v>
      </c>
      <c r="G8" s="47" t="s">
        <v>183</v>
      </c>
      <c r="H8" s="43" t="s">
        <v>184</v>
      </c>
      <c r="I8" s="44" t="s">
        <v>185</v>
      </c>
      <c r="J8" s="45" t="s">
        <v>186</v>
      </c>
      <c r="K8" s="46" t="s">
        <v>187</v>
      </c>
      <c r="L8" s="45" t="s">
        <v>171</v>
      </c>
      <c r="M8" s="46" t="s">
        <v>188</v>
      </c>
      <c r="N8" s="45" t="s">
        <v>189</v>
      </c>
      <c r="O8" s="42" t="s">
        <v>174</v>
      </c>
      <c r="P8" s="47" t="s">
        <v>190</v>
      </c>
      <c r="Q8" s="40"/>
      <c r="R8" s="40"/>
      <c r="S8" s="40"/>
    </row>
    <row r="9" spans="1:19" ht="39.75" customHeight="1">
      <c r="A9" s="83" t="str">
        <f>人員一覧・判定!B8</f>
        <v>児玉 美樹</v>
      </c>
      <c r="B9" s="40"/>
      <c r="C9" s="40"/>
      <c r="D9" s="40"/>
      <c r="E9" s="40"/>
      <c r="F9" s="47" t="s">
        <v>182</v>
      </c>
      <c r="G9" s="48" t="s">
        <v>191</v>
      </c>
      <c r="H9" s="44" t="s">
        <v>192</v>
      </c>
      <c r="I9" s="42" t="s">
        <v>193</v>
      </c>
      <c r="J9" s="45" t="s">
        <v>194</v>
      </c>
      <c r="K9" s="46" t="s">
        <v>195</v>
      </c>
      <c r="L9" s="45" t="s">
        <v>171</v>
      </c>
      <c r="M9" s="44" t="s">
        <v>196</v>
      </c>
      <c r="N9" s="45" t="s">
        <v>173</v>
      </c>
      <c r="O9" s="42" t="s">
        <v>197</v>
      </c>
      <c r="P9" s="43" t="s">
        <v>198</v>
      </c>
      <c r="Q9" s="40"/>
      <c r="R9" s="40"/>
      <c r="S9" s="40"/>
    </row>
    <row r="10" spans="1:19" ht="39.75" customHeight="1">
      <c r="A10" s="83" t="str">
        <f>人員一覧・判定!B9</f>
        <v>荒木田 勝</v>
      </c>
      <c r="B10" s="40"/>
      <c r="C10" s="40"/>
      <c r="D10" s="40"/>
      <c r="E10" s="40"/>
      <c r="F10" s="42" t="s">
        <v>199</v>
      </c>
      <c r="G10" s="48" t="s">
        <v>200</v>
      </c>
      <c r="H10" s="43" t="s">
        <v>201</v>
      </c>
      <c r="I10" s="44" t="s">
        <v>202</v>
      </c>
      <c r="J10" s="45" t="s">
        <v>203</v>
      </c>
      <c r="K10" s="46" t="s">
        <v>204</v>
      </c>
      <c r="L10" s="45" t="s">
        <v>205</v>
      </c>
      <c r="M10" s="46" t="s">
        <v>206</v>
      </c>
      <c r="N10" s="45" t="s">
        <v>207</v>
      </c>
      <c r="O10" s="41" t="s">
        <v>208</v>
      </c>
      <c r="P10" s="42" t="s">
        <v>209</v>
      </c>
      <c r="Q10" s="40"/>
      <c r="R10" s="40"/>
      <c r="S10" s="40"/>
    </row>
    <row r="11" spans="1:19" ht="39.75" customHeight="1">
      <c r="A11" s="83" t="str">
        <f>人員一覧・判定!B10</f>
        <v>吉田 真紀</v>
      </c>
      <c r="B11" s="40"/>
      <c r="C11" s="40"/>
      <c r="D11" s="41" t="s">
        <v>210</v>
      </c>
      <c r="E11" s="41" t="s">
        <v>211</v>
      </c>
      <c r="F11" s="42" t="s">
        <v>212</v>
      </c>
      <c r="G11" s="48" t="s">
        <v>213</v>
      </c>
      <c r="H11" s="45" t="s">
        <v>214</v>
      </c>
      <c r="I11" s="49" t="s">
        <v>215</v>
      </c>
      <c r="J11" s="45" t="s">
        <v>216</v>
      </c>
      <c r="K11" s="46" t="s">
        <v>217</v>
      </c>
      <c r="L11" s="45" t="s">
        <v>218</v>
      </c>
      <c r="M11" s="46" t="s">
        <v>206</v>
      </c>
      <c r="N11" s="45" t="s">
        <v>173</v>
      </c>
      <c r="O11" s="41" t="s">
        <v>219</v>
      </c>
      <c r="P11" s="42" t="s">
        <v>220</v>
      </c>
      <c r="Q11" s="40"/>
      <c r="R11" s="40"/>
      <c r="S11" s="40"/>
    </row>
    <row r="12" spans="1:19" ht="39.75" customHeight="1">
      <c r="A12" s="83" t="str">
        <f>人員一覧・判定!B11</f>
        <v>藤中 純子</v>
      </c>
      <c r="B12" s="40"/>
      <c r="C12" s="40"/>
      <c r="D12" s="41" t="s">
        <v>221</v>
      </c>
      <c r="E12" s="42" t="s">
        <v>222</v>
      </c>
      <c r="F12" s="48" t="s">
        <v>223</v>
      </c>
      <c r="G12" s="48" t="s">
        <v>224</v>
      </c>
      <c r="H12" s="48" t="s">
        <v>225</v>
      </c>
      <c r="I12" s="49" t="s">
        <v>226</v>
      </c>
      <c r="J12" s="49" t="s">
        <v>227</v>
      </c>
      <c r="K12" s="49" t="s">
        <v>228</v>
      </c>
      <c r="L12" s="49" t="s">
        <v>229</v>
      </c>
      <c r="M12" s="44" t="s">
        <v>230</v>
      </c>
      <c r="N12" s="48" t="s">
        <v>231</v>
      </c>
      <c r="O12" s="43" t="s">
        <v>232</v>
      </c>
      <c r="P12" s="43" t="s">
        <v>233</v>
      </c>
      <c r="Q12" s="41" t="s">
        <v>234</v>
      </c>
      <c r="R12" s="41" t="s">
        <v>235</v>
      </c>
      <c r="S12" s="42" t="s">
        <v>236</v>
      </c>
    </row>
    <row r="13" spans="1:19" ht="39.75" customHeight="1">
      <c r="A13" s="83" t="str">
        <f>人員一覧・判定!B12</f>
        <v>田中 智美</v>
      </c>
      <c r="B13" s="40"/>
      <c r="C13" s="40"/>
      <c r="D13" s="41" t="s">
        <v>221</v>
      </c>
      <c r="E13" s="42" t="s">
        <v>222</v>
      </c>
      <c r="F13" s="43" t="s">
        <v>237</v>
      </c>
      <c r="G13" s="48" t="s">
        <v>224</v>
      </c>
      <c r="H13" s="48" t="s">
        <v>238</v>
      </c>
      <c r="I13" s="49" t="s">
        <v>226</v>
      </c>
      <c r="J13" s="49" t="s">
        <v>227</v>
      </c>
      <c r="K13" s="49" t="s">
        <v>239</v>
      </c>
      <c r="L13" s="49" t="s">
        <v>240</v>
      </c>
      <c r="M13" s="46" t="s">
        <v>241</v>
      </c>
      <c r="N13" s="48" t="s">
        <v>242</v>
      </c>
      <c r="O13" s="43" t="s">
        <v>243</v>
      </c>
      <c r="P13" s="43" t="s">
        <v>244</v>
      </c>
      <c r="Q13" s="41" t="s">
        <v>234</v>
      </c>
      <c r="R13" s="41" t="s">
        <v>235</v>
      </c>
      <c r="S13" s="42" t="s">
        <v>236</v>
      </c>
    </row>
    <row r="14" spans="1:19" ht="39.75" customHeight="1">
      <c r="A14" s="83" t="str">
        <f>人員一覧・判定!B13</f>
        <v>池田　誠</v>
      </c>
      <c r="B14" s="40"/>
      <c r="C14" s="40"/>
      <c r="D14" s="40"/>
      <c r="E14" s="40"/>
      <c r="F14" s="41" t="s">
        <v>245</v>
      </c>
      <c r="G14" s="41" t="s">
        <v>246</v>
      </c>
      <c r="H14" s="43" t="s">
        <v>247</v>
      </c>
      <c r="I14" s="44" t="s">
        <v>248</v>
      </c>
      <c r="J14" s="42" t="s">
        <v>249</v>
      </c>
      <c r="K14" s="46" t="s">
        <v>250</v>
      </c>
      <c r="L14" s="45" t="s">
        <v>251</v>
      </c>
      <c r="M14" s="46" t="s">
        <v>252</v>
      </c>
      <c r="N14" s="45" t="s">
        <v>173</v>
      </c>
      <c r="O14" s="42" t="s">
        <v>253</v>
      </c>
      <c r="P14" s="41" t="s">
        <v>254</v>
      </c>
      <c r="Q14" s="40"/>
      <c r="R14" s="40"/>
      <c r="S14" s="40"/>
    </row>
    <row r="15" spans="1:19" ht="39.75" customHeight="1">
      <c r="A15" s="83" t="str">
        <f>人員一覧・判定!C14</f>
        <v>Gerald Ejem Potutan</v>
      </c>
      <c r="B15" s="40"/>
      <c r="C15" s="40"/>
      <c r="D15" s="40"/>
      <c r="E15" s="40"/>
      <c r="F15" s="41" t="s">
        <v>245</v>
      </c>
      <c r="G15" s="41" t="s">
        <v>246</v>
      </c>
      <c r="H15" s="45" t="s">
        <v>255</v>
      </c>
      <c r="I15" s="44" t="s">
        <v>248</v>
      </c>
      <c r="J15" s="45" t="s">
        <v>256</v>
      </c>
      <c r="K15" s="46" t="s">
        <v>257</v>
      </c>
      <c r="L15" s="45" t="s">
        <v>258</v>
      </c>
      <c r="M15" s="46" t="s">
        <v>172</v>
      </c>
      <c r="N15" s="45" t="s">
        <v>259</v>
      </c>
      <c r="O15" s="42" t="s">
        <v>174</v>
      </c>
      <c r="P15" s="41" t="s">
        <v>254</v>
      </c>
      <c r="Q15" s="40"/>
      <c r="R15" s="40"/>
      <c r="S15" s="40"/>
    </row>
    <row r="16" spans="1:19" ht="39.75" customHeight="1">
      <c r="A16" s="83" t="str">
        <f>人員一覧・判定!C15</f>
        <v>Mizan Bisri</v>
      </c>
      <c r="B16" s="40"/>
      <c r="C16" s="40"/>
      <c r="D16" s="40"/>
      <c r="E16" s="40"/>
      <c r="F16" s="47" t="s">
        <v>260</v>
      </c>
      <c r="G16" s="47" t="s">
        <v>260</v>
      </c>
      <c r="H16" s="43" t="s">
        <v>261</v>
      </c>
      <c r="I16" s="44" t="s">
        <v>248</v>
      </c>
      <c r="J16" s="45" t="s">
        <v>256</v>
      </c>
      <c r="K16" s="46" t="s">
        <v>262</v>
      </c>
      <c r="L16" s="45" t="s">
        <v>263</v>
      </c>
      <c r="M16" s="46" t="s">
        <v>172</v>
      </c>
      <c r="N16" s="45" t="s">
        <v>173</v>
      </c>
      <c r="O16" s="42" t="s">
        <v>174</v>
      </c>
      <c r="P16" s="47" t="s">
        <v>260</v>
      </c>
      <c r="Q16" s="40"/>
      <c r="R16" s="40"/>
      <c r="S16" s="40"/>
    </row>
    <row r="17" spans="1:19" ht="39.75" customHeight="1">
      <c r="A17" s="83" t="str">
        <f>人員一覧・判定!B16</f>
        <v>藤本 絢子</v>
      </c>
      <c r="B17" s="40"/>
      <c r="C17" s="40"/>
      <c r="D17" s="40"/>
      <c r="E17" s="40"/>
      <c r="F17" s="50" t="s">
        <v>264</v>
      </c>
      <c r="G17" s="48" t="s">
        <v>265</v>
      </c>
      <c r="H17" s="49" t="s">
        <v>266</v>
      </c>
      <c r="I17" s="49" t="s">
        <v>267</v>
      </c>
      <c r="J17" s="42" t="s">
        <v>268</v>
      </c>
      <c r="K17" s="49" t="s">
        <v>269</v>
      </c>
      <c r="L17" s="42" t="s">
        <v>268</v>
      </c>
      <c r="M17" s="42" t="s">
        <v>270</v>
      </c>
      <c r="N17" s="45" t="s">
        <v>271</v>
      </c>
      <c r="O17" s="42" t="s">
        <v>272</v>
      </c>
      <c r="P17" s="43" t="s">
        <v>198</v>
      </c>
      <c r="Q17" s="40"/>
      <c r="R17" s="40"/>
      <c r="S17" s="40"/>
    </row>
    <row r="18" spans="1:19" ht="39.75" customHeight="1">
      <c r="A18" s="83" t="str">
        <f>人員一覧・判定!B17</f>
        <v>塩見 有美</v>
      </c>
      <c r="B18" s="40"/>
      <c r="C18" s="40"/>
      <c r="D18" s="40"/>
      <c r="E18" s="40"/>
      <c r="F18" s="50" t="s">
        <v>264</v>
      </c>
      <c r="G18" s="48" t="s">
        <v>265</v>
      </c>
      <c r="H18" s="43" t="s">
        <v>273</v>
      </c>
      <c r="I18" s="49" t="s">
        <v>274</v>
      </c>
      <c r="J18" s="45" t="s">
        <v>216</v>
      </c>
      <c r="K18" s="46" t="s">
        <v>275</v>
      </c>
      <c r="L18" s="45" t="s">
        <v>276</v>
      </c>
      <c r="M18" s="46" t="s">
        <v>172</v>
      </c>
      <c r="N18" s="45" t="s">
        <v>277</v>
      </c>
      <c r="O18" s="42" t="s">
        <v>174</v>
      </c>
      <c r="P18" s="43" t="s">
        <v>278</v>
      </c>
      <c r="Q18" s="40"/>
      <c r="R18" s="40"/>
      <c r="S18" s="40"/>
    </row>
    <row r="19" spans="1:19">
      <c r="A19" s="81" t="s">
        <v>279</v>
      </c>
      <c r="B19" s="51">
        <f t="shared" ref="B19:S19" si="0">COUNTA(B6:B16)-COUNTIF(B6:B16,"*未手配*")-COUNTIF(B6:B16,"*要確認*")-COUNTIF(B6:B16,"*NRT着*")-COUNTIF(B6:B16,"*HND着*")-COUNTIF(B6:B16,"*KIX着*")-COUNTIF(B6:B16,"*GVA着*")</f>
        <v>0</v>
      </c>
      <c r="C19" s="51">
        <f t="shared" si="0"/>
        <v>0</v>
      </c>
      <c r="D19" s="51">
        <f t="shared" si="0"/>
        <v>3</v>
      </c>
      <c r="E19" s="51">
        <f t="shared" si="0"/>
        <v>3</v>
      </c>
      <c r="F19" s="51">
        <f t="shared" si="0"/>
        <v>8</v>
      </c>
      <c r="G19" s="51">
        <f t="shared" si="0"/>
        <v>8</v>
      </c>
      <c r="H19" s="51">
        <f t="shared" si="0"/>
        <v>11</v>
      </c>
      <c r="I19" s="51">
        <f t="shared" si="0"/>
        <v>11</v>
      </c>
      <c r="J19" s="51">
        <f t="shared" si="0"/>
        <v>11</v>
      </c>
      <c r="K19" s="51">
        <f t="shared" si="0"/>
        <v>11</v>
      </c>
      <c r="L19" s="51">
        <f t="shared" si="0"/>
        <v>11</v>
      </c>
      <c r="M19" s="51">
        <f t="shared" si="0"/>
        <v>11</v>
      </c>
      <c r="N19" s="51">
        <f t="shared" si="0"/>
        <v>11</v>
      </c>
      <c r="O19" s="51">
        <f t="shared" si="0"/>
        <v>11</v>
      </c>
      <c r="P19" s="51">
        <f t="shared" si="0"/>
        <v>6</v>
      </c>
      <c r="Q19" s="51">
        <f t="shared" si="0"/>
        <v>2</v>
      </c>
      <c r="R19" s="51">
        <f t="shared" si="0"/>
        <v>2</v>
      </c>
      <c r="S19" s="51">
        <f t="shared" si="0"/>
        <v>0</v>
      </c>
    </row>
    <row r="20" spans="1:19">
      <c r="A20" s="81" t="s">
        <v>280</v>
      </c>
      <c r="B20" s="52">
        <f t="shared" ref="B20:S20" si="1">B19+COUNTA(B17:B18)-COUNTIF(B17:B18,"*未手配*")-COUNTIF(B17:B18,"*要確認*")-COUNTIF(B17:B18,"*NRT着*")-COUNTIF(B17:B18,"*HND着*")-COUNTIF(B17:B18,"*KIX着*")-COUNTIF(B17:B18,"*GVA着*")</f>
        <v>0</v>
      </c>
      <c r="C20" s="52">
        <f t="shared" si="1"/>
        <v>0</v>
      </c>
      <c r="D20" s="52">
        <f t="shared" si="1"/>
        <v>3</v>
      </c>
      <c r="E20" s="52">
        <f t="shared" si="1"/>
        <v>3</v>
      </c>
      <c r="F20" s="52">
        <f t="shared" si="1"/>
        <v>10</v>
      </c>
      <c r="G20" s="52">
        <f t="shared" si="1"/>
        <v>10</v>
      </c>
      <c r="H20" s="52">
        <f t="shared" si="1"/>
        <v>13</v>
      </c>
      <c r="I20" s="52">
        <f t="shared" si="1"/>
        <v>13</v>
      </c>
      <c r="J20" s="52">
        <f t="shared" si="1"/>
        <v>13</v>
      </c>
      <c r="K20" s="52">
        <f t="shared" si="1"/>
        <v>13</v>
      </c>
      <c r="L20" s="52">
        <f t="shared" si="1"/>
        <v>13</v>
      </c>
      <c r="M20" s="52">
        <f t="shared" si="1"/>
        <v>13</v>
      </c>
      <c r="N20" s="52">
        <f t="shared" si="1"/>
        <v>13</v>
      </c>
      <c r="O20" s="52">
        <f t="shared" si="1"/>
        <v>13</v>
      </c>
      <c r="P20" s="52">
        <f t="shared" si="1"/>
        <v>8</v>
      </c>
      <c r="Q20" s="52">
        <f t="shared" si="1"/>
        <v>2</v>
      </c>
      <c r="R20" s="52">
        <f t="shared" si="1"/>
        <v>2</v>
      </c>
      <c r="S20" s="52">
        <f t="shared" si="1"/>
        <v>0</v>
      </c>
    </row>
    <row r="21" spans="1:19">
      <c r="A21" s="82" t="s">
        <v>281</v>
      </c>
    </row>
  </sheetData>
  <mergeCells count="9">
    <mergeCell ref="L3:M3"/>
    <mergeCell ref="N3:O3"/>
    <mergeCell ref="P3:Q3"/>
    <mergeCell ref="R3:S3"/>
    <mergeCell ref="B3:C3"/>
    <mergeCell ref="D3:E3"/>
    <mergeCell ref="F3:G3"/>
    <mergeCell ref="H3:I3"/>
    <mergeCell ref="J3:K3"/>
  </mergeCells>
  <phoneticPr fontId="25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8" sqref="A6:A18"/>
    </sheetView>
  </sheetViews>
  <sheetFormatPr defaultColWidth="8.5546875" defaultRowHeight="14.4"/>
  <cols>
    <col min="1" max="1" width="14" customWidth="1"/>
    <col min="2" max="33" width="4.21875" customWidth="1"/>
  </cols>
  <sheetData>
    <row r="1" spans="1:33" ht="15.6">
      <c r="A1" s="34" t="s">
        <v>282</v>
      </c>
    </row>
    <row r="3" spans="1:33">
      <c r="B3" s="53" t="s">
        <v>283</v>
      </c>
      <c r="C3" s="53"/>
      <c r="D3" s="53" t="s">
        <v>284</v>
      </c>
      <c r="E3" s="53"/>
      <c r="F3" s="53" t="s">
        <v>285</v>
      </c>
      <c r="G3" s="53"/>
      <c r="H3" s="53" t="s">
        <v>286</v>
      </c>
      <c r="I3" s="53"/>
      <c r="J3" s="53" t="s">
        <v>287</v>
      </c>
      <c r="K3" s="53"/>
      <c r="L3" s="53" t="s">
        <v>288</v>
      </c>
      <c r="M3" s="53"/>
      <c r="N3" s="53" t="s">
        <v>289</v>
      </c>
      <c r="O3" s="53"/>
      <c r="P3" s="53" t="s">
        <v>290</v>
      </c>
      <c r="Q3" s="53"/>
      <c r="R3" s="53" t="s">
        <v>291</v>
      </c>
      <c r="S3" s="53"/>
      <c r="T3" s="53" t="s">
        <v>292</v>
      </c>
      <c r="U3" s="53"/>
      <c r="V3" s="53" t="s">
        <v>293</v>
      </c>
      <c r="W3" s="53"/>
      <c r="X3" s="53" t="s">
        <v>294</v>
      </c>
      <c r="Y3" s="53"/>
      <c r="Z3" s="53" t="s">
        <v>295</v>
      </c>
      <c r="AA3" s="53"/>
      <c r="AB3" s="53" t="s">
        <v>296</v>
      </c>
      <c r="AC3" s="53"/>
      <c r="AD3" s="53" t="s">
        <v>297</v>
      </c>
      <c r="AE3" s="53"/>
      <c r="AF3" s="53" t="s">
        <v>298</v>
      </c>
      <c r="AG3" s="53"/>
    </row>
    <row r="4" spans="1:33" ht="30" customHeight="1">
      <c r="A4" s="35" t="s">
        <v>152</v>
      </c>
      <c r="B4" s="12" t="s">
        <v>299</v>
      </c>
      <c r="C4" s="12"/>
      <c r="D4" s="12"/>
      <c r="E4" s="12"/>
      <c r="F4" s="12"/>
      <c r="G4" s="12"/>
      <c r="H4" s="12"/>
      <c r="I4" s="12"/>
      <c r="J4" s="12"/>
      <c r="K4" s="12"/>
      <c r="L4" s="12" t="s">
        <v>300</v>
      </c>
      <c r="M4" s="12"/>
      <c r="N4" s="12"/>
      <c r="O4" s="12"/>
      <c r="P4" s="12"/>
      <c r="Q4" s="12"/>
      <c r="R4" s="12"/>
      <c r="S4" s="12"/>
      <c r="T4" s="12" t="s">
        <v>301</v>
      </c>
      <c r="U4" s="12"/>
      <c r="V4" s="12"/>
      <c r="W4" s="12"/>
      <c r="X4" s="12"/>
      <c r="Y4" s="12" t="s">
        <v>302</v>
      </c>
      <c r="Z4" s="12"/>
      <c r="AA4" s="12"/>
      <c r="AB4" s="12"/>
      <c r="AC4" s="54" t="s">
        <v>303</v>
      </c>
    </row>
    <row r="5" spans="1:33" ht="1.8" customHeight="1">
      <c r="A5" s="3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54"/>
      <c r="Y5" s="54"/>
      <c r="Z5" s="54"/>
      <c r="AA5" s="54"/>
      <c r="AB5" s="54"/>
      <c r="AC5" s="54"/>
    </row>
    <row r="6" spans="1:33" ht="21.75" customHeight="1">
      <c r="A6" s="83" t="str">
        <f>人員一覧・判定!B5</f>
        <v>三浦 房紀</v>
      </c>
      <c r="X6" s="11" t="s">
        <v>304</v>
      </c>
      <c r="Y6" s="11"/>
      <c r="Z6" s="11"/>
      <c r="AA6" s="11"/>
      <c r="AB6" s="11"/>
      <c r="AC6" s="11"/>
    </row>
    <row r="7" spans="1:33" ht="21.75" customHeight="1">
      <c r="A7" s="83" t="str">
        <f>人員一覧・判定!B6</f>
        <v>北本 政行</v>
      </c>
      <c r="H7" s="10" t="s">
        <v>305</v>
      </c>
      <c r="I7" s="10"/>
      <c r="J7" s="10"/>
      <c r="X7" s="11" t="s">
        <v>304</v>
      </c>
      <c r="Y7" s="11"/>
      <c r="Z7" s="11"/>
      <c r="AA7" s="11"/>
      <c r="AB7" s="11"/>
      <c r="AC7" s="11"/>
    </row>
    <row r="8" spans="1:33" ht="21.75" customHeight="1">
      <c r="A8" s="83" t="str">
        <f>人員一覧・判定!B7</f>
        <v>宮木 一寛</v>
      </c>
      <c r="F8" s="11" t="s">
        <v>306</v>
      </c>
      <c r="G8" s="11"/>
      <c r="H8" s="11"/>
      <c r="I8" s="11"/>
      <c r="J8" s="11"/>
      <c r="K8" s="11"/>
      <c r="W8" s="11" t="s">
        <v>307</v>
      </c>
      <c r="X8" s="11"/>
      <c r="Y8" s="11"/>
      <c r="Z8" s="11"/>
      <c r="AA8" s="11"/>
      <c r="AB8" s="11"/>
      <c r="AC8" s="11"/>
    </row>
    <row r="9" spans="1:33" ht="21.75" customHeight="1">
      <c r="A9" s="83" t="str">
        <f>人員一覧・判定!B8</f>
        <v>児玉 美樹</v>
      </c>
      <c r="F9" s="10" t="s">
        <v>308</v>
      </c>
      <c r="G9" s="10"/>
      <c r="H9" s="10"/>
      <c r="I9" s="10"/>
      <c r="J9" s="10"/>
      <c r="K9" s="10"/>
      <c r="T9" s="9" t="s">
        <v>309</v>
      </c>
      <c r="U9" s="9"/>
      <c r="V9" s="9"/>
      <c r="W9" s="9"/>
      <c r="X9" s="9"/>
      <c r="Y9" s="8" t="s">
        <v>310</v>
      </c>
      <c r="Z9" s="8"/>
      <c r="AA9" s="8"/>
      <c r="AB9" s="8"/>
      <c r="AC9" s="8"/>
    </row>
    <row r="10" spans="1:33" ht="21.75" customHeight="1">
      <c r="A10" s="83" t="str">
        <f>人員一覧・判定!B9</f>
        <v>荒木田 勝</v>
      </c>
      <c r="F10" s="7" t="s">
        <v>311</v>
      </c>
      <c r="G10" s="7"/>
      <c r="H10" s="10" t="s">
        <v>312</v>
      </c>
      <c r="I10" s="10"/>
      <c r="J10" s="10"/>
      <c r="N10" s="9" t="s">
        <v>313</v>
      </c>
      <c r="O10" s="9"/>
      <c r="P10" s="9"/>
      <c r="Q10" s="9"/>
      <c r="R10" s="9"/>
      <c r="S10" s="9"/>
      <c r="T10" s="9" t="s">
        <v>314</v>
      </c>
      <c r="U10" s="9"/>
      <c r="V10" s="9"/>
      <c r="W10" s="9"/>
      <c r="X10" s="9"/>
      <c r="Y10" s="9"/>
      <c r="Z10" s="9"/>
      <c r="AA10" s="9"/>
      <c r="AB10" s="9"/>
      <c r="AC10" s="9"/>
    </row>
    <row r="11" spans="1:33" ht="21.75" customHeight="1">
      <c r="A11" s="83" t="str">
        <f>人員一覧・判定!B10</f>
        <v>吉田 真紀</v>
      </c>
      <c r="F11" s="7" t="s">
        <v>315</v>
      </c>
      <c r="G11" s="7"/>
      <c r="H11" s="7"/>
      <c r="I11" s="7"/>
      <c r="J11" s="7"/>
      <c r="K11" s="7"/>
      <c r="T11" s="6" t="s">
        <v>316</v>
      </c>
      <c r="U11" s="6"/>
      <c r="V11" s="6"/>
      <c r="W11" s="6"/>
      <c r="X11" s="6"/>
      <c r="Y11" s="6" t="s">
        <v>317</v>
      </c>
      <c r="Z11" s="6"/>
      <c r="AA11" s="6"/>
      <c r="AB11" s="6"/>
      <c r="AC11" s="6"/>
    </row>
    <row r="12" spans="1:33" ht="21.75" customHeight="1">
      <c r="A12" s="83" t="str">
        <f>人員一覧・判定!B11</f>
        <v>藤中 純子</v>
      </c>
      <c r="D12" s="5" t="s">
        <v>318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T12" s="6" t="s">
        <v>319</v>
      </c>
      <c r="U12" s="6"/>
      <c r="V12" s="6"/>
      <c r="W12" s="6"/>
      <c r="X12" s="6"/>
      <c r="Y12" s="6" t="s">
        <v>320</v>
      </c>
      <c r="Z12" s="6"/>
      <c r="AA12" s="6"/>
      <c r="AB12" s="6"/>
      <c r="AC12" s="6"/>
    </row>
    <row r="13" spans="1:33" ht="21.75" customHeight="1">
      <c r="A13" s="83" t="str">
        <f>人員一覧・判定!B12</f>
        <v>田中 智美</v>
      </c>
      <c r="D13" s="5" t="s">
        <v>321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T13" s="6" t="s">
        <v>316</v>
      </c>
      <c r="U13" s="6"/>
      <c r="V13" s="6"/>
      <c r="W13" s="6"/>
      <c r="X13" s="6"/>
      <c r="Y13" s="6" t="s">
        <v>320</v>
      </c>
      <c r="Z13" s="6"/>
      <c r="AA13" s="6"/>
      <c r="AB13" s="6"/>
      <c r="AC13" s="6"/>
    </row>
    <row r="14" spans="1:33" ht="21.75" customHeight="1">
      <c r="A14" s="83" t="str">
        <f>人員一覧・判定!B13</f>
        <v>池田　誠</v>
      </c>
      <c r="F14" s="8" t="s">
        <v>322</v>
      </c>
      <c r="G14" s="8"/>
      <c r="H14" s="8"/>
      <c r="I14" s="8"/>
      <c r="J14" s="8"/>
      <c r="K14" s="8"/>
      <c r="N14" s="9" t="s">
        <v>323</v>
      </c>
      <c r="O14" s="9"/>
      <c r="P14" s="9"/>
      <c r="Q14" s="9"/>
      <c r="R14" s="9"/>
      <c r="S14" s="9"/>
      <c r="W14" s="12" t="s">
        <v>324</v>
      </c>
      <c r="X14" s="12"/>
      <c r="Y14" s="12"/>
      <c r="Z14" s="12"/>
      <c r="AA14" s="12"/>
      <c r="AB14" s="12"/>
      <c r="AC14" s="12"/>
    </row>
    <row r="15" spans="1:33" ht="25.2" customHeight="1">
      <c r="A15" s="84" t="str">
        <f>人員一覧・判定!C14</f>
        <v>Gerald Ejem Potutan</v>
      </c>
      <c r="F15" s="7" t="s">
        <v>325</v>
      </c>
      <c r="G15" s="7"/>
      <c r="H15" s="7"/>
      <c r="I15" s="7"/>
      <c r="J15" s="7"/>
      <c r="K15" s="7"/>
      <c r="W15" s="12" t="s">
        <v>326</v>
      </c>
      <c r="X15" s="12"/>
      <c r="Y15" s="12"/>
      <c r="Z15" s="12"/>
      <c r="AA15" s="12"/>
      <c r="AB15" s="12"/>
      <c r="AC15" s="12"/>
    </row>
    <row r="16" spans="1:33" ht="21.6" customHeight="1">
      <c r="A16" s="83" t="str">
        <f>人員一覧・判定!C15</f>
        <v>Mizan Bisri</v>
      </c>
      <c r="F16" s="10" t="s">
        <v>327</v>
      </c>
      <c r="G16" s="10"/>
      <c r="H16" s="10"/>
      <c r="I16" s="10"/>
      <c r="J16" s="10"/>
      <c r="K16" s="10"/>
      <c r="W16" s="12" t="s">
        <v>326</v>
      </c>
      <c r="X16" s="12"/>
      <c r="Y16" s="12"/>
      <c r="Z16" s="12"/>
      <c r="AA16" s="12"/>
      <c r="AB16" s="12"/>
      <c r="AC16" s="12"/>
    </row>
    <row r="17" spans="1:33" ht="21.75" customHeight="1">
      <c r="A17" s="83" t="str">
        <f>人員一覧・判定!B16</f>
        <v>藤本 絢子</v>
      </c>
      <c r="F17" s="6" t="s">
        <v>328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T17" s="6" t="s">
        <v>329</v>
      </c>
      <c r="U17" s="6"/>
      <c r="V17" s="6"/>
      <c r="W17" s="6"/>
      <c r="X17" s="6"/>
      <c r="Y17" s="6"/>
      <c r="Z17" s="6"/>
      <c r="AA17" s="6"/>
      <c r="AB17" s="6"/>
      <c r="AC17" s="6"/>
    </row>
    <row r="18" spans="1:33" ht="21.75" customHeight="1">
      <c r="A18" s="83" t="str">
        <f>人員一覧・判定!B17</f>
        <v>塩見 有美</v>
      </c>
      <c r="F18" s="6" t="s">
        <v>330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W18" s="6" t="s">
        <v>331</v>
      </c>
      <c r="X18" s="6"/>
      <c r="Y18" s="6"/>
      <c r="Z18" s="6"/>
      <c r="AA18" s="6"/>
      <c r="AB18" s="6"/>
      <c r="AC18" s="6"/>
    </row>
    <row r="19" spans="1:33">
      <c r="A19" s="24" t="s">
        <v>332</v>
      </c>
      <c r="B19" s="55">
        <f t="shared" ref="B19:AG19" si="0">COUNTA(B6:B18)</f>
        <v>0</v>
      </c>
      <c r="C19" s="55">
        <f t="shared" si="0"/>
        <v>0</v>
      </c>
      <c r="D19" s="55">
        <f t="shared" si="0"/>
        <v>2</v>
      </c>
      <c r="E19" s="55">
        <f t="shared" si="0"/>
        <v>0</v>
      </c>
      <c r="F19" s="55">
        <f t="shared" si="0"/>
        <v>9</v>
      </c>
      <c r="G19" s="55">
        <f t="shared" si="0"/>
        <v>0</v>
      </c>
      <c r="H19" s="55">
        <f t="shared" si="0"/>
        <v>2</v>
      </c>
      <c r="I19" s="55">
        <f t="shared" si="0"/>
        <v>0</v>
      </c>
      <c r="J19" s="55">
        <f t="shared" si="0"/>
        <v>0</v>
      </c>
      <c r="K19" s="55">
        <f t="shared" si="0"/>
        <v>0</v>
      </c>
      <c r="L19" s="55">
        <f t="shared" si="0"/>
        <v>0</v>
      </c>
      <c r="M19" s="55">
        <f t="shared" si="0"/>
        <v>0</v>
      </c>
      <c r="N19" s="55">
        <f t="shared" si="0"/>
        <v>2</v>
      </c>
      <c r="O19" s="55">
        <f t="shared" si="0"/>
        <v>0</v>
      </c>
      <c r="P19" s="55">
        <f t="shared" si="0"/>
        <v>0</v>
      </c>
      <c r="Q19" s="55">
        <f t="shared" si="0"/>
        <v>0</v>
      </c>
      <c r="R19" s="55">
        <f t="shared" si="0"/>
        <v>0</v>
      </c>
      <c r="S19" s="55">
        <f t="shared" si="0"/>
        <v>0</v>
      </c>
      <c r="T19" s="55">
        <f t="shared" si="0"/>
        <v>6</v>
      </c>
      <c r="U19" s="55">
        <f t="shared" si="0"/>
        <v>0</v>
      </c>
      <c r="V19" s="55">
        <f t="shared" si="0"/>
        <v>0</v>
      </c>
      <c r="W19" s="55">
        <f t="shared" si="0"/>
        <v>5</v>
      </c>
      <c r="X19" s="55">
        <f t="shared" si="0"/>
        <v>2</v>
      </c>
      <c r="Y19" s="55">
        <f t="shared" si="0"/>
        <v>4</v>
      </c>
      <c r="Z19" s="55">
        <f t="shared" si="0"/>
        <v>0</v>
      </c>
      <c r="AA19" s="55">
        <f t="shared" si="0"/>
        <v>0</v>
      </c>
      <c r="AB19" s="55">
        <f t="shared" si="0"/>
        <v>0</v>
      </c>
      <c r="AC19" s="55">
        <f t="shared" si="0"/>
        <v>0</v>
      </c>
      <c r="AD19" s="55">
        <f t="shared" si="0"/>
        <v>0</v>
      </c>
      <c r="AE19" s="55">
        <f t="shared" si="0"/>
        <v>0</v>
      </c>
      <c r="AF19" s="55">
        <f t="shared" si="0"/>
        <v>0</v>
      </c>
      <c r="AG19" s="55">
        <f t="shared" si="0"/>
        <v>0</v>
      </c>
    </row>
    <row r="20" spans="1:33">
      <c r="A20" s="56" t="s">
        <v>333</v>
      </c>
    </row>
    <row r="21" spans="1:33" ht="60" customHeight="1">
      <c r="A21" s="4" t="s">
        <v>334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</sheetData>
  <mergeCells count="37">
    <mergeCell ref="A21:T21"/>
    <mergeCell ref="F16:K16"/>
    <mergeCell ref="W16:AC16"/>
    <mergeCell ref="F17:Q17"/>
    <mergeCell ref="T17:AC17"/>
    <mergeCell ref="F18:Q18"/>
    <mergeCell ref="W18:AC18"/>
    <mergeCell ref="F14:K14"/>
    <mergeCell ref="N14:S14"/>
    <mergeCell ref="W14:AC14"/>
    <mergeCell ref="F15:K15"/>
    <mergeCell ref="W15:AC15"/>
    <mergeCell ref="D12:Q12"/>
    <mergeCell ref="T12:X12"/>
    <mergeCell ref="Y12:AC12"/>
    <mergeCell ref="D13:Q13"/>
    <mergeCell ref="T13:X13"/>
    <mergeCell ref="Y13:AC13"/>
    <mergeCell ref="F10:G10"/>
    <mergeCell ref="H10:J10"/>
    <mergeCell ref="N10:S10"/>
    <mergeCell ref="T10:AC10"/>
    <mergeCell ref="F11:K11"/>
    <mergeCell ref="T11:X11"/>
    <mergeCell ref="Y11:AC11"/>
    <mergeCell ref="H7:J7"/>
    <mergeCell ref="X7:AC7"/>
    <mergeCell ref="F8:K8"/>
    <mergeCell ref="W8:AC8"/>
    <mergeCell ref="F9:K9"/>
    <mergeCell ref="T9:X9"/>
    <mergeCell ref="Y9:AC9"/>
    <mergeCell ref="B4:K4"/>
    <mergeCell ref="L4:S4"/>
    <mergeCell ref="T4:X4"/>
    <mergeCell ref="Y4:AB4"/>
    <mergeCell ref="X6:AC6"/>
  </mergeCells>
  <phoneticPr fontId="25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6" sqref="A6:A18"/>
    </sheetView>
  </sheetViews>
  <sheetFormatPr defaultColWidth="8.5546875" defaultRowHeight="14.4"/>
  <cols>
    <col min="1" max="1" width="14" customWidth="1"/>
    <col min="2" max="33" width="4.21875" customWidth="1"/>
  </cols>
  <sheetData>
    <row r="1" spans="1:33" ht="15.6">
      <c r="A1" s="34" t="s">
        <v>335</v>
      </c>
    </row>
    <row r="3" spans="1:33">
      <c r="B3" s="53" t="s">
        <v>283</v>
      </c>
      <c r="C3" s="53"/>
      <c r="D3" s="53" t="s">
        <v>284</v>
      </c>
      <c r="E3" s="53"/>
      <c r="F3" s="53" t="s">
        <v>285</v>
      </c>
      <c r="G3" s="53"/>
      <c r="H3" s="53" t="s">
        <v>286</v>
      </c>
      <c r="I3" s="53"/>
      <c r="J3" s="53" t="s">
        <v>287</v>
      </c>
      <c r="K3" s="53"/>
      <c r="L3" s="53" t="s">
        <v>288</v>
      </c>
      <c r="M3" s="53"/>
      <c r="N3" s="53" t="s">
        <v>289</v>
      </c>
      <c r="O3" s="53"/>
      <c r="P3" s="53" t="s">
        <v>290</v>
      </c>
      <c r="Q3" s="53"/>
      <c r="R3" s="53" t="s">
        <v>291</v>
      </c>
      <c r="S3" s="53"/>
      <c r="T3" s="53" t="s">
        <v>292</v>
      </c>
      <c r="U3" s="53"/>
      <c r="V3" s="53" t="s">
        <v>293</v>
      </c>
      <c r="W3" s="53"/>
      <c r="X3" s="53" t="s">
        <v>294</v>
      </c>
      <c r="Y3" s="53"/>
      <c r="Z3" s="53" t="s">
        <v>295</v>
      </c>
      <c r="AA3" s="53"/>
      <c r="AB3" s="53" t="s">
        <v>296</v>
      </c>
      <c r="AC3" s="53"/>
      <c r="AD3" s="53" t="s">
        <v>297</v>
      </c>
      <c r="AE3" s="53"/>
      <c r="AF3" s="53" t="s">
        <v>298</v>
      </c>
      <c r="AG3" s="53"/>
    </row>
    <row r="4" spans="1:33" ht="30" customHeight="1">
      <c r="A4" s="35" t="s">
        <v>152</v>
      </c>
      <c r="C4" s="12" t="s">
        <v>336</v>
      </c>
      <c r="D4" s="12"/>
      <c r="E4" s="12"/>
      <c r="F4" s="12"/>
      <c r="H4" s="57" t="s">
        <v>337</v>
      </c>
      <c r="I4" s="3" t="s">
        <v>338</v>
      </c>
      <c r="J4" s="3"/>
      <c r="K4" s="3" t="s">
        <v>339</v>
      </c>
      <c r="L4" s="3"/>
      <c r="M4" s="57" t="s">
        <v>340</v>
      </c>
      <c r="N4" s="3" t="s">
        <v>341</v>
      </c>
      <c r="O4" s="3"/>
      <c r="P4" s="3"/>
      <c r="Q4" s="3"/>
      <c r="R4" s="3"/>
      <c r="S4" s="3" t="s">
        <v>342</v>
      </c>
      <c r="T4" s="3"/>
      <c r="W4" s="3" t="s">
        <v>343</v>
      </c>
      <c r="X4" s="3"/>
      <c r="Y4" s="3" t="s">
        <v>344</v>
      </c>
      <c r="Z4" s="3"/>
      <c r="AA4" s="3"/>
      <c r="AB4" s="3"/>
      <c r="AC4" s="3"/>
    </row>
    <row r="5" spans="1:33" ht="4.2" customHeight="1">
      <c r="A5" s="35"/>
      <c r="C5" s="85"/>
      <c r="D5" s="85"/>
      <c r="E5" s="85"/>
      <c r="F5" s="85"/>
      <c r="H5" s="57"/>
      <c r="I5" s="57"/>
      <c r="J5" s="57"/>
      <c r="K5" s="86"/>
      <c r="L5" s="86"/>
      <c r="M5" s="57"/>
      <c r="N5" s="57"/>
      <c r="O5" s="57"/>
      <c r="P5" s="57"/>
      <c r="Q5" s="57"/>
      <c r="R5" s="57"/>
      <c r="S5" s="57"/>
      <c r="T5" s="57"/>
      <c r="W5" s="57"/>
      <c r="X5" s="57"/>
      <c r="Y5" s="57"/>
      <c r="Z5" s="57"/>
      <c r="AA5" s="57"/>
      <c r="AB5" s="57"/>
      <c r="AC5" s="57"/>
    </row>
    <row r="6" spans="1:33" ht="21.75" customHeight="1">
      <c r="A6" s="83" t="str">
        <f>人員一覧・判定!B5</f>
        <v>三浦 房紀</v>
      </c>
      <c r="G6" s="2" t="s">
        <v>169</v>
      </c>
      <c r="H6" s="2"/>
      <c r="I6" s="2"/>
      <c r="J6" s="2"/>
      <c r="M6" s="58" t="s">
        <v>345</v>
      </c>
      <c r="N6" s="1" t="s">
        <v>346</v>
      </c>
      <c r="O6" s="1"/>
      <c r="P6" s="1"/>
      <c r="Q6" s="1"/>
      <c r="R6" s="1"/>
      <c r="S6" s="1" t="s">
        <v>347</v>
      </c>
      <c r="T6" s="1"/>
      <c r="W6" s="3" t="s">
        <v>348</v>
      </c>
      <c r="X6" s="3"/>
      <c r="Y6" s="3"/>
      <c r="Z6" s="3"/>
      <c r="AA6" s="3"/>
      <c r="AB6" s="3"/>
      <c r="AC6" s="3"/>
    </row>
    <row r="7" spans="1:33" ht="21.75" customHeight="1">
      <c r="A7" s="83" t="str">
        <f>人員一覧・判定!B6</f>
        <v>北本 政行</v>
      </c>
      <c r="G7" s="2" t="s">
        <v>169</v>
      </c>
      <c r="H7" s="2"/>
      <c r="I7" s="2"/>
      <c r="J7" s="2"/>
      <c r="M7" s="1" t="s">
        <v>349</v>
      </c>
      <c r="N7" s="1"/>
      <c r="O7" s="1"/>
      <c r="P7" s="1"/>
      <c r="Q7" s="1"/>
      <c r="R7" s="1"/>
      <c r="S7" s="1" t="s">
        <v>347</v>
      </c>
      <c r="T7" s="1"/>
      <c r="W7" s="3" t="s">
        <v>348</v>
      </c>
      <c r="X7" s="3"/>
      <c r="Y7" s="3"/>
      <c r="Z7" s="3"/>
      <c r="AA7" s="3"/>
      <c r="AB7" s="3"/>
      <c r="AC7" s="3"/>
    </row>
    <row r="8" spans="1:33" ht="21.75" customHeight="1">
      <c r="A8" s="83" t="str">
        <f>人員一覧・判定!B7</f>
        <v>宮木 一寛</v>
      </c>
      <c r="F8" s="11" t="s">
        <v>350</v>
      </c>
      <c r="G8" s="11"/>
      <c r="H8" s="11"/>
      <c r="I8" s="11"/>
      <c r="J8" s="11"/>
      <c r="M8" s="1" t="s">
        <v>351</v>
      </c>
      <c r="N8" s="1"/>
      <c r="O8" s="1"/>
      <c r="P8" s="1"/>
      <c r="Q8" s="1"/>
      <c r="R8" s="1"/>
      <c r="S8" s="1" t="s">
        <v>352</v>
      </c>
      <c r="T8" s="1"/>
      <c r="W8" s="3" t="s">
        <v>353</v>
      </c>
      <c r="X8" s="3"/>
      <c r="Y8" s="3"/>
      <c r="Z8" s="3"/>
      <c r="AA8" s="3"/>
      <c r="AB8" s="3"/>
      <c r="AC8" s="3"/>
    </row>
    <row r="9" spans="1:33" ht="21.75" customHeight="1">
      <c r="A9" s="83" t="str">
        <f>人員一覧・判定!B8</f>
        <v>児玉 美樹</v>
      </c>
      <c r="C9" s="9" t="s">
        <v>354</v>
      </c>
      <c r="D9" s="9"/>
      <c r="E9" s="9"/>
      <c r="F9" s="9"/>
      <c r="G9" s="11" t="s">
        <v>355</v>
      </c>
      <c r="H9" s="11"/>
      <c r="I9" s="11"/>
      <c r="J9" s="11"/>
      <c r="M9" s="1" t="s">
        <v>356</v>
      </c>
      <c r="N9" s="1"/>
      <c r="O9" s="1"/>
      <c r="P9" s="1"/>
      <c r="Q9" s="1"/>
      <c r="R9" s="1"/>
      <c r="S9" s="1" t="s">
        <v>347</v>
      </c>
      <c r="T9" s="1"/>
      <c r="V9" s="3" t="s">
        <v>357</v>
      </c>
      <c r="W9" s="3"/>
      <c r="X9" s="3"/>
      <c r="Y9" s="3"/>
      <c r="Z9" s="3"/>
      <c r="AA9" s="3"/>
      <c r="AB9" s="3"/>
      <c r="AC9" s="3"/>
    </row>
    <row r="10" spans="1:33" ht="21.75" customHeight="1">
      <c r="A10" s="83" t="str">
        <f>人員一覧・判定!B9</f>
        <v>荒木田 勝</v>
      </c>
      <c r="C10" s="9" t="s">
        <v>358</v>
      </c>
      <c r="D10" s="9"/>
      <c r="E10" s="9"/>
      <c r="F10" s="9"/>
      <c r="G10" s="2" t="s">
        <v>359</v>
      </c>
      <c r="H10" s="2"/>
      <c r="I10" s="2"/>
      <c r="J10" s="2"/>
      <c r="M10" s="58" t="s">
        <v>360</v>
      </c>
      <c r="N10" s="8" t="s">
        <v>361</v>
      </c>
      <c r="O10" s="8"/>
      <c r="P10" s="8"/>
      <c r="Q10" s="8"/>
      <c r="R10" s="8"/>
      <c r="S10" s="1" t="s">
        <v>362</v>
      </c>
      <c r="T10" s="1"/>
      <c r="W10" s="3" t="s">
        <v>348</v>
      </c>
      <c r="X10" s="3"/>
      <c r="Y10" s="3"/>
      <c r="Z10" s="3"/>
      <c r="AA10" s="3"/>
      <c r="AB10" s="3"/>
      <c r="AC10" s="3"/>
    </row>
    <row r="11" spans="1:33" ht="21.75" customHeight="1">
      <c r="A11" s="83" t="str">
        <f>人員一覧・判定!B10</f>
        <v>吉田 真紀</v>
      </c>
      <c r="D11" s="7" t="s">
        <v>363</v>
      </c>
      <c r="E11" s="7"/>
      <c r="F11" s="7"/>
      <c r="G11" s="6" t="s">
        <v>364</v>
      </c>
      <c r="H11" s="6"/>
      <c r="I11" s="6"/>
      <c r="J11" s="6"/>
      <c r="M11" s="1" t="s">
        <v>365</v>
      </c>
      <c r="N11" s="1"/>
      <c r="O11" s="1"/>
      <c r="P11" s="1"/>
      <c r="Q11" s="1"/>
      <c r="R11" s="1"/>
      <c r="S11" s="1" t="s">
        <v>366</v>
      </c>
      <c r="T11" s="1"/>
      <c r="V11" s="3" t="s">
        <v>367</v>
      </c>
      <c r="W11" s="3"/>
      <c r="X11" s="3"/>
      <c r="Y11" s="3"/>
      <c r="Z11" s="3"/>
      <c r="AA11" s="3"/>
      <c r="AB11" s="3"/>
      <c r="AC11" s="3"/>
    </row>
    <row r="12" spans="1:33" ht="21.75" customHeight="1">
      <c r="A12" s="83" t="str">
        <f>人員一覧・判定!B11</f>
        <v>藤中 純子</v>
      </c>
      <c r="D12" s="6" t="s">
        <v>227</v>
      </c>
      <c r="E12" s="6"/>
      <c r="F12" s="6"/>
      <c r="G12" s="6"/>
      <c r="H12" s="6"/>
      <c r="I12" s="6"/>
      <c r="J12" s="6"/>
      <c r="K12" s="6"/>
      <c r="L12" s="6"/>
      <c r="M12" s="6" t="s">
        <v>368</v>
      </c>
      <c r="N12" s="6"/>
      <c r="O12" s="6"/>
      <c r="P12" s="6"/>
      <c r="Q12" s="6"/>
      <c r="R12" s="6"/>
      <c r="S12" s="1" t="s">
        <v>369</v>
      </c>
      <c r="T12" s="1"/>
      <c r="W12" s="3" t="s">
        <v>348</v>
      </c>
      <c r="X12" s="3"/>
      <c r="Y12" s="3"/>
      <c r="Z12" s="3"/>
      <c r="AA12" s="3"/>
      <c r="AB12" s="3"/>
      <c r="AC12" s="3"/>
    </row>
    <row r="13" spans="1:33" ht="21.75" customHeight="1">
      <c r="A13" s="83" t="str">
        <f>人員一覧・判定!B12</f>
        <v>田中 智美</v>
      </c>
      <c r="D13" s="6" t="s">
        <v>227</v>
      </c>
      <c r="E13" s="6"/>
      <c r="F13" s="6"/>
      <c r="G13" s="6"/>
      <c r="H13" s="6"/>
      <c r="I13" s="6"/>
      <c r="J13" s="6"/>
      <c r="K13" s="6"/>
      <c r="L13" s="6"/>
      <c r="M13" s="6" t="s">
        <v>368</v>
      </c>
      <c r="N13" s="6"/>
      <c r="O13" s="6"/>
      <c r="P13" s="6"/>
      <c r="Q13" s="6"/>
      <c r="R13" s="6"/>
      <c r="S13" s="6" t="s">
        <v>370</v>
      </c>
      <c r="T13" s="6"/>
      <c r="V13" s="3" t="s">
        <v>371</v>
      </c>
      <c r="W13" s="3"/>
      <c r="X13" s="3"/>
      <c r="Y13" s="3"/>
      <c r="Z13" s="3"/>
      <c r="AA13" s="3"/>
      <c r="AB13" s="3"/>
      <c r="AC13" s="3"/>
    </row>
    <row r="14" spans="1:33" ht="21.75" customHeight="1">
      <c r="A14" s="83" t="str">
        <f>人員一覧・判定!B13</f>
        <v>池田　誠</v>
      </c>
      <c r="C14" s="9" t="s">
        <v>372</v>
      </c>
      <c r="D14" s="9"/>
      <c r="E14" s="9"/>
      <c r="F14" s="9"/>
      <c r="G14" s="8" t="s">
        <v>373</v>
      </c>
      <c r="H14" s="8"/>
      <c r="I14" s="8"/>
      <c r="J14" s="8"/>
      <c r="M14" s="8" t="s">
        <v>374</v>
      </c>
      <c r="N14" s="8"/>
      <c r="O14" s="8"/>
      <c r="P14" s="8"/>
      <c r="Q14" s="8"/>
      <c r="R14" s="8"/>
      <c r="S14" s="8" t="s">
        <v>375</v>
      </c>
      <c r="T14" s="8"/>
      <c r="W14" s="3" t="s">
        <v>348</v>
      </c>
      <c r="X14" s="3"/>
      <c r="Y14" s="3"/>
      <c r="Z14" s="3"/>
      <c r="AA14" s="3"/>
      <c r="AB14" s="3"/>
      <c r="AC14" s="3"/>
    </row>
    <row r="15" spans="1:33" ht="21.75" customHeight="1">
      <c r="A15" s="84" t="str">
        <f>人員一覧・判定!C14</f>
        <v>Gerald Ejem Potutan</v>
      </c>
      <c r="G15" s="1" t="s">
        <v>256</v>
      </c>
      <c r="H15" s="1"/>
      <c r="I15" s="1"/>
      <c r="J15" s="1"/>
      <c r="M15" s="1" t="s">
        <v>376</v>
      </c>
      <c r="N15" s="1"/>
      <c r="O15" s="1"/>
      <c r="P15" s="1"/>
      <c r="Q15" s="1"/>
      <c r="R15" s="1"/>
      <c r="S15" s="1" t="s">
        <v>377</v>
      </c>
      <c r="T15" s="1"/>
      <c r="W15" s="3" t="s">
        <v>348</v>
      </c>
      <c r="X15" s="3"/>
      <c r="Y15" s="3"/>
      <c r="Z15" s="3"/>
      <c r="AA15" s="3"/>
      <c r="AB15" s="3"/>
      <c r="AC15" s="3"/>
      <c r="AD15" s="7" t="s">
        <v>378</v>
      </c>
      <c r="AE15" s="7"/>
      <c r="AF15" s="7"/>
    </row>
    <row r="16" spans="1:33" ht="21.75" customHeight="1">
      <c r="A16" s="83" t="str">
        <f>人員一覧・判定!C15</f>
        <v>Mizan Bisri</v>
      </c>
      <c r="G16" s="1" t="s">
        <v>256</v>
      </c>
      <c r="H16" s="1"/>
      <c r="I16" s="1"/>
      <c r="J16" s="1"/>
      <c r="M16" s="1" t="s">
        <v>379</v>
      </c>
      <c r="N16" s="1"/>
      <c r="O16" s="1"/>
      <c r="P16" s="1"/>
      <c r="Q16" s="1"/>
      <c r="R16" s="1"/>
      <c r="S16" s="10" t="s">
        <v>380</v>
      </c>
      <c r="T16" s="10"/>
      <c r="W16" s="3" t="s">
        <v>348</v>
      </c>
      <c r="X16" s="3"/>
      <c r="Y16" s="3"/>
      <c r="Z16" s="3"/>
      <c r="AA16" s="3"/>
      <c r="AB16" s="3"/>
      <c r="AC16" s="3"/>
    </row>
    <row r="17" spans="1:33" ht="21.75" customHeight="1">
      <c r="A17" s="83" t="str">
        <f>人員一覧・判定!B16</f>
        <v>藤本 絢子</v>
      </c>
      <c r="C17" s="9" t="s">
        <v>381</v>
      </c>
      <c r="D17" s="9"/>
      <c r="E17" s="9"/>
      <c r="F17" s="9"/>
      <c r="G17" s="9" t="s">
        <v>382</v>
      </c>
      <c r="H17" s="9"/>
      <c r="I17" s="9"/>
      <c r="J17" s="9"/>
      <c r="M17" s="9" t="s">
        <v>383</v>
      </c>
      <c r="N17" s="9"/>
      <c r="O17" s="9"/>
      <c r="P17" s="9"/>
      <c r="Q17" s="9"/>
      <c r="R17" s="9"/>
      <c r="S17" s="9"/>
      <c r="T17" s="9"/>
      <c r="W17" s="12" t="s">
        <v>384</v>
      </c>
      <c r="X17" s="12"/>
      <c r="Y17" s="12"/>
      <c r="Z17" s="12"/>
      <c r="AA17" s="12"/>
      <c r="AB17" s="12"/>
      <c r="AC17" s="12"/>
    </row>
    <row r="18" spans="1:33" ht="21.75" customHeight="1">
      <c r="A18" s="83" t="str">
        <f>人員一覧・判定!B17</f>
        <v>塩見 有美</v>
      </c>
      <c r="G18" s="6" t="s">
        <v>385</v>
      </c>
      <c r="H18" s="6"/>
      <c r="I18" s="6"/>
      <c r="J18" s="6"/>
      <c r="M18" s="69" t="s">
        <v>386</v>
      </c>
      <c r="N18" s="69"/>
      <c r="O18" s="69"/>
      <c r="P18" s="69"/>
      <c r="Q18" s="69"/>
      <c r="R18" s="69"/>
      <c r="S18" s="69" t="s">
        <v>387</v>
      </c>
      <c r="T18" s="69"/>
      <c r="W18" s="12" t="s">
        <v>388</v>
      </c>
      <c r="X18" s="12"/>
      <c r="Y18" s="12"/>
      <c r="Z18" s="12"/>
      <c r="AA18" s="12"/>
      <c r="AB18" s="12"/>
      <c r="AC18" s="12"/>
    </row>
    <row r="19" spans="1:33">
      <c r="A19" s="24" t="s">
        <v>332</v>
      </c>
      <c r="B19" s="55">
        <f t="shared" ref="B19:AG19" si="0">COUNTA(B6:B18)</f>
        <v>0</v>
      </c>
      <c r="C19" s="55">
        <f t="shared" si="0"/>
        <v>4</v>
      </c>
      <c r="D19" s="55">
        <f t="shared" si="0"/>
        <v>3</v>
      </c>
      <c r="E19" s="55">
        <f t="shared" si="0"/>
        <v>0</v>
      </c>
      <c r="F19" s="55">
        <f t="shared" si="0"/>
        <v>1</v>
      </c>
      <c r="G19" s="55">
        <f t="shared" si="0"/>
        <v>10</v>
      </c>
      <c r="H19" s="55">
        <f t="shared" si="0"/>
        <v>0</v>
      </c>
      <c r="I19" s="55">
        <f t="shared" si="0"/>
        <v>0</v>
      </c>
      <c r="J19" s="55">
        <f t="shared" si="0"/>
        <v>0</v>
      </c>
      <c r="K19" s="55">
        <f t="shared" si="0"/>
        <v>0</v>
      </c>
      <c r="L19" s="55">
        <f t="shared" si="0"/>
        <v>0</v>
      </c>
      <c r="M19" s="55">
        <f t="shared" si="0"/>
        <v>13</v>
      </c>
      <c r="N19" s="55">
        <f t="shared" si="0"/>
        <v>2</v>
      </c>
      <c r="O19" s="55">
        <f t="shared" si="0"/>
        <v>0</v>
      </c>
      <c r="P19" s="55">
        <f t="shared" si="0"/>
        <v>0</v>
      </c>
      <c r="Q19" s="55">
        <f t="shared" si="0"/>
        <v>0</v>
      </c>
      <c r="R19" s="55">
        <f t="shared" si="0"/>
        <v>0</v>
      </c>
      <c r="S19" s="55">
        <f t="shared" si="0"/>
        <v>12</v>
      </c>
      <c r="T19" s="55">
        <f t="shared" si="0"/>
        <v>0</v>
      </c>
      <c r="U19" s="55">
        <f t="shared" si="0"/>
        <v>0</v>
      </c>
      <c r="V19" s="55">
        <f t="shared" si="0"/>
        <v>3</v>
      </c>
      <c r="W19" s="55">
        <f t="shared" si="0"/>
        <v>10</v>
      </c>
      <c r="X19" s="55">
        <f t="shared" si="0"/>
        <v>0</v>
      </c>
      <c r="Y19" s="55">
        <f t="shared" si="0"/>
        <v>0</v>
      </c>
      <c r="Z19" s="55">
        <f t="shared" si="0"/>
        <v>0</v>
      </c>
      <c r="AA19" s="55">
        <f t="shared" si="0"/>
        <v>0</v>
      </c>
      <c r="AB19" s="55">
        <f t="shared" si="0"/>
        <v>0</v>
      </c>
      <c r="AC19" s="55">
        <f t="shared" si="0"/>
        <v>0</v>
      </c>
      <c r="AD19" s="55">
        <f t="shared" si="0"/>
        <v>1</v>
      </c>
      <c r="AE19" s="55">
        <f t="shared" si="0"/>
        <v>0</v>
      </c>
      <c r="AF19" s="55">
        <f t="shared" si="0"/>
        <v>0</v>
      </c>
      <c r="AG19" s="55">
        <f t="shared" si="0"/>
        <v>0</v>
      </c>
    </row>
    <row r="20" spans="1:33">
      <c r="A20" s="56" t="s">
        <v>333</v>
      </c>
    </row>
    <row r="21" spans="1:33" ht="60" customHeight="1">
      <c r="A21" s="4" t="s">
        <v>389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</sheetData>
  <mergeCells count="65">
    <mergeCell ref="G18:J18"/>
    <mergeCell ref="M18:R18"/>
    <mergeCell ref="S18:T18"/>
    <mergeCell ref="W18:AC18"/>
    <mergeCell ref="A21:T21"/>
    <mergeCell ref="G16:J16"/>
    <mergeCell ref="M16:R16"/>
    <mergeCell ref="S16:T16"/>
    <mergeCell ref="W16:AC16"/>
    <mergeCell ref="C17:F17"/>
    <mergeCell ref="G17:J17"/>
    <mergeCell ref="M17:T17"/>
    <mergeCell ref="W17:AC17"/>
    <mergeCell ref="G15:J15"/>
    <mergeCell ref="M15:R15"/>
    <mergeCell ref="S15:T15"/>
    <mergeCell ref="W15:AC15"/>
    <mergeCell ref="AD15:AF15"/>
    <mergeCell ref="C14:F14"/>
    <mergeCell ref="G14:J14"/>
    <mergeCell ref="M14:R14"/>
    <mergeCell ref="S14:T14"/>
    <mergeCell ref="W14:AC14"/>
    <mergeCell ref="D12:L12"/>
    <mergeCell ref="M12:R12"/>
    <mergeCell ref="S12:T12"/>
    <mergeCell ref="W12:AC12"/>
    <mergeCell ref="D13:L13"/>
    <mergeCell ref="M13:R13"/>
    <mergeCell ref="S13:T13"/>
    <mergeCell ref="V13:AC13"/>
    <mergeCell ref="D11:F11"/>
    <mergeCell ref="G11:J11"/>
    <mergeCell ref="M11:R11"/>
    <mergeCell ref="S11:T11"/>
    <mergeCell ref="V11:AC11"/>
    <mergeCell ref="C10:F10"/>
    <mergeCell ref="G10:J10"/>
    <mergeCell ref="N10:R10"/>
    <mergeCell ref="S10:T10"/>
    <mergeCell ref="W10:AC10"/>
    <mergeCell ref="C9:F9"/>
    <mergeCell ref="G9:J9"/>
    <mergeCell ref="M9:R9"/>
    <mergeCell ref="S9:T9"/>
    <mergeCell ref="V9:AC9"/>
    <mergeCell ref="G7:J7"/>
    <mergeCell ref="M7:R7"/>
    <mergeCell ref="S7:T7"/>
    <mergeCell ref="W7:AC7"/>
    <mergeCell ref="F8:J8"/>
    <mergeCell ref="M8:R8"/>
    <mergeCell ref="S8:T8"/>
    <mergeCell ref="W8:AC8"/>
    <mergeCell ref="W4:X4"/>
    <mergeCell ref="Y4:AC4"/>
    <mergeCell ref="G6:J6"/>
    <mergeCell ref="N6:R6"/>
    <mergeCell ref="S6:T6"/>
    <mergeCell ref="W6:AC6"/>
    <mergeCell ref="C4:F4"/>
    <mergeCell ref="I4:J4"/>
    <mergeCell ref="K4:L4"/>
    <mergeCell ref="N4:R4"/>
    <mergeCell ref="S4:T4"/>
  </mergeCells>
  <phoneticPr fontId="25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1"/>
  <sheetViews>
    <sheetView zoomScaleNormal="100" workbookViewId="0">
      <pane xSplit="1" ySplit="4" topLeftCell="B7" activePane="bottomRight" state="frozen"/>
      <selection pane="topRight" activeCell="B1" sqref="B1"/>
      <selection pane="bottomLeft" activeCell="A5" sqref="A5"/>
      <selection pane="bottomRight" activeCell="A6" sqref="A6:A18"/>
    </sheetView>
  </sheetViews>
  <sheetFormatPr defaultColWidth="8.5546875" defaultRowHeight="14.4"/>
  <cols>
    <col min="1" max="1" width="14" customWidth="1"/>
    <col min="2" max="33" width="4.21875" customWidth="1"/>
  </cols>
  <sheetData>
    <row r="1" spans="1:33" ht="15.6">
      <c r="A1" s="34" t="s">
        <v>390</v>
      </c>
    </row>
    <row r="3" spans="1:33">
      <c r="B3" s="53" t="s">
        <v>283</v>
      </c>
      <c r="C3" s="53"/>
      <c r="D3" s="53" t="s">
        <v>284</v>
      </c>
      <c r="E3" s="53"/>
      <c r="F3" s="53" t="s">
        <v>285</v>
      </c>
      <c r="G3" s="53"/>
      <c r="H3" s="53" t="s">
        <v>286</v>
      </c>
      <c r="I3" s="53"/>
      <c r="J3" s="53" t="s">
        <v>287</v>
      </c>
      <c r="K3" s="53"/>
      <c r="L3" s="53" t="s">
        <v>288</v>
      </c>
      <c r="M3" s="53"/>
      <c r="N3" s="53" t="s">
        <v>289</v>
      </c>
      <c r="O3" s="53"/>
      <c r="P3" s="53" t="s">
        <v>290</v>
      </c>
      <c r="Q3" s="53"/>
      <c r="R3" s="53" t="s">
        <v>291</v>
      </c>
      <c r="S3" s="53"/>
      <c r="T3" s="53" t="s">
        <v>292</v>
      </c>
      <c r="U3" s="53"/>
      <c r="V3" s="53" t="s">
        <v>293</v>
      </c>
      <c r="W3" s="53"/>
      <c r="X3" s="53" t="s">
        <v>294</v>
      </c>
      <c r="Y3" s="53"/>
      <c r="Z3" s="53" t="s">
        <v>295</v>
      </c>
      <c r="AA3" s="53"/>
      <c r="AB3" s="53" t="s">
        <v>296</v>
      </c>
      <c r="AC3" s="53"/>
      <c r="AD3" s="53" t="s">
        <v>297</v>
      </c>
      <c r="AE3" s="53"/>
      <c r="AF3" s="53" t="s">
        <v>298</v>
      </c>
      <c r="AG3" s="53"/>
    </row>
    <row r="4" spans="1:33" ht="30" customHeight="1">
      <c r="A4" s="35" t="s">
        <v>152</v>
      </c>
      <c r="D4" s="12" t="s">
        <v>391</v>
      </c>
      <c r="E4" s="12"/>
      <c r="F4" s="12"/>
      <c r="G4" s="3" t="s">
        <v>392</v>
      </c>
      <c r="H4" s="3"/>
      <c r="I4" s="3"/>
      <c r="J4" s="3"/>
      <c r="K4" s="57" t="s">
        <v>393</v>
      </c>
      <c r="L4" s="3" t="s">
        <v>394</v>
      </c>
      <c r="M4" s="3"/>
      <c r="N4" s="3" t="s">
        <v>395</v>
      </c>
      <c r="O4" s="3"/>
      <c r="P4" s="3"/>
      <c r="Q4" s="3"/>
      <c r="R4" s="3"/>
      <c r="S4" s="3"/>
      <c r="T4" s="3"/>
      <c r="U4" s="3"/>
      <c r="Y4" s="3" t="s">
        <v>396</v>
      </c>
      <c r="Z4" s="3"/>
      <c r="AA4" s="3"/>
      <c r="AB4" s="3" t="s">
        <v>397</v>
      </c>
      <c r="AC4" s="3"/>
      <c r="AD4" s="3"/>
    </row>
    <row r="5" spans="1:33" ht="4.2" customHeight="1">
      <c r="A5" s="35"/>
      <c r="D5" s="85"/>
      <c r="E5" s="85"/>
      <c r="F5" s="85"/>
      <c r="G5" s="57"/>
      <c r="H5" s="57"/>
      <c r="I5" s="57"/>
      <c r="J5" s="57"/>
      <c r="K5" s="57"/>
      <c r="L5" s="86"/>
      <c r="M5" s="86"/>
      <c r="N5" s="57"/>
      <c r="O5" s="57"/>
      <c r="P5" s="57"/>
      <c r="Q5" s="57"/>
      <c r="R5" s="57"/>
      <c r="S5" s="57"/>
      <c r="T5" s="57"/>
      <c r="U5" s="57"/>
      <c r="Y5" s="57"/>
      <c r="Z5" s="57"/>
      <c r="AA5" s="57"/>
      <c r="AB5" s="57"/>
      <c r="AC5" s="57"/>
      <c r="AD5" s="57"/>
    </row>
    <row r="6" spans="1:33" ht="21.75" customHeight="1">
      <c r="A6" s="83" t="str">
        <f>人員一覧・判定!B5</f>
        <v>三浦 房紀</v>
      </c>
      <c r="G6" s="1" t="s">
        <v>171</v>
      </c>
      <c r="H6" s="1"/>
      <c r="I6" s="1"/>
      <c r="J6" s="1"/>
      <c r="K6" s="1"/>
      <c r="N6" s="70" t="s">
        <v>398</v>
      </c>
      <c r="O6" s="70"/>
      <c r="P6" s="70"/>
      <c r="Q6" s="70"/>
      <c r="R6" s="70"/>
      <c r="S6" s="70"/>
      <c r="T6" s="70"/>
      <c r="U6" s="70"/>
      <c r="Y6" s="3" t="s">
        <v>399</v>
      </c>
      <c r="Z6" s="3"/>
      <c r="AA6" s="3"/>
      <c r="AB6" s="3"/>
      <c r="AC6" s="3"/>
      <c r="AD6" s="3"/>
    </row>
    <row r="7" spans="1:33" ht="21.75" customHeight="1">
      <c r="A7" s="83" t="str">
        <f>人員一覧・判定!B6</f>
        <v>北本 政行</v>
      </c>
      <c r="G7" s="1" t="s">
        <v>171</v>
      </c>
      <c r="H7" s="1"/>
      <c r="I7" s="1"/>
      <c r="J7" s="1"/>
      <c r="K7" s="1"/>
      <c r="N7" s="70" t="s">
        <v>400</v>
      </c>
      <c r="O7" s="70"/>
      <c r="P7" s="70"/>
      <c r="Q7" s="70"/>
      <c r="R7" s="70"/>
      <c r="S7" s="70"/>
      <c r="T7" s="70"/>
      <c r="U7" s="70"/>
      <c r="Y7" s="3" t="s">
        <v>399</v>
      </c>
      <c r="Z7" s="3"/>
      <c r="AA7" s="3"/>
      <c r="AB7" s="3"/>
      <c r="AC7" s="3"/>
      <c r="AD7" s="3"/>
    </row>
    <row r="8" spans="1:33" ht="21.75" customHeight="1">
      <c r="A8" s="83" t="str">
        <f>人員一覧・判定!B7</f>
        <v>宮木 一寛</v>
      </c>
      <c r="G8" s="1" t="s">
        <v>401</v>
      </c>
      <c r="H8" s="1"/>
      <c r="I8" s="1"/>
      <c r="J8" s="1"/>
      <c r="K8" s="1"/>
      <c r="N8" s="11" t="s">
        <v>402</v>
      </c>
      <c r="O8" s="11"/>
      <c r="P8" s="11"/>
      <c r="Q8" s="11"/>
      <c r="R8" s="11"/>
      <c r="S8" s="11"/>
      <c r="T8" s="11"/>
      <c r="U8" s="11"/>
      <c r="Y8" s="3" t="s">
        <v>399</v>
      </c>
      <c r="Z8" s="3"/>
      <c r="AA8" s="3"/>
      <c r="AB8" s="3"/>
      <c r="AC8" s="3"/>
      <c r="AD8" s="3"/>
    </row>
    <row r="9" spans="1:33" ht="21.75" customHeight="1">
      <c r="A9" s="83" t="str">
        <f>人員一覧・判定!B8</f>
        <v>児玉 美樹</v>
      </c>
      <c r="D9" s="9" t="s">
        <v>403</v>
      </c>
      <c r="E9" s="9"/>
      <c r="F9" s="9"/>
      <c r="G9" s="1" t="s">
        <v>404</v>
      </c>
      <c r="H9" s="1"/>
      <c r="I9" s="1"/>
      <c r="J9" s="1"/>
      <c r="K9" s="1"/>
      <c r="N9" s="10" t="s">
        <v>405</v>
      </c>
      <c r="O9" s="10"/>
      <c r="P9" s="10"/>
      <c r="Q9" s="10"/>
      <c r="R9" s="10"/>
      <c r="S9" s="10"/>
      <c r="T9" s="10"/>
      <c r="U9" s="10"/>
      <c r="Y9" s="3" t="s">
        <v>399</v>
      </c>
      <c r="Z9" s="3"/>
      <c r="AA9" s="3"/>
      <c r="AB9" s="3"/>
      <c r="AC9" s="3"/>
      <c r="AD9" s="3"/>
    </row>
    <row r="10" spans="1:33" ht="21.75" customHeight="1">
      <c r="A10" s="83" t="str">
        <f>人員一覧・判定!B9</f>
        <v>荒木田 勝</v>
      </c>
      <c r="D10" s="8" t="s">
        <v>406</v>
      </c>
      <c r="E10" s="8"/>
      <c r="F10" s="8"/>
      <c r="G10" s="8" t="s">
        <v>407</v>
      </c>
      <c r="H10" s="8"/>
      <c r="I10" s="8"/>
      <c r="J10" s="8"/>
      <c r="K10" s="58" t="s">
        <v>408</v>
      </c>
      <c r="M10" s="70" t="s">
        <v>409</v>
      </c>
      <c r="N10" s="70"/>
      <c r="O10" s="70"/>
      <c r="P10" s="70"/>
      <c r="Q10" s="70"/>
      <c r="R10" s="70"/>
      <c r="S10" s="70"/>
      <c r="T10" s="70"/>
      <c r="U10" s="70"/>
      <c r="Y10" s="3" t="s">
        <v>399</v>
      </c>
      <c r="Z10" s="3"/>
      <c r="AA10" s="3"/>
      <c r="AB10" s="3"/>
      <c r="AC10" s="3"/>
      <c r="AD10" s="3"/>
    </row>
    <row r="11" spans="1:33" ht="21.75" customHeight="1">
      <c r="A11" s="83" t="str">
        <f>人員一覧・判定!B10</f>
        <v>吉田 真紀</v>
      </c>
      <c r="D11" s="10" t="s">
        <v>410</v>
      </c>
      <c r="E11" s="10"/>
      <c r="F11" s="10"/>
      <c r="G11" s="1" t="s">
        <v>411</v>
      </c>
      <c r="H11" s="1"/>
      <c r="I11" s="1"/>
      <c r="J11" s="1"/>
      <c r="K11" s="1"/>
      <c r="M11" s="70" t="s">
        <v>409</v>
      </c>
      <c r="N11" s="70"/>
      <c r="O11" s="70"/>
      <c r="P11" s="70"/>
      <c r="Q11" s="70"/>
      <c r="R11" s="70"/>
      <c r="S11" s="70"/>
      <c r="T11" s="70"/>
      <c r="U11" s="70"/>
      <c r="Y11" s="3" t="s">
        <v>399</v>
      </c>
      <c r="Z11" s="3"/>
      <c r="AA11" s="3"/>
      <c r="AB11" s="3"/>
      <c r="AC11" s="3"/>
      <c r="AD11" s="3"/>
    </row>
    <row r="12" spans="1:33" ht="21.75" customHeight="1">
      <c r="A12" s="83" t="str">
        <f>人員一覧・判定!B11</f>
        <v>藤中 純子</v>
      </c>
      <c r="D12" s="6" t="s">
        <v>412</v>
      </c>
      <c r="E12" s="6"/>
      <c r="F12" s="6"/>
      <c r="G12" s="6"/>
      <c r="H12" s="6"/>
      <c r="I12" s="6"/>
      <c r="J12" s="6"/>
      <c r="K12" s="6"/>
      <c r="N12" s="10" t="s">
        <v>413</v>
      </c>
      <c r="O12" s="10"/>
      <c r="P12" s="10"/>
      <c r="Q12" s="10"/>
      <c r="R12" s="10"/>
      <c r="S12" s="10"/>
      <c r="T12" s="10"/>
      <c r="U12" s="10"/>
      <c r="Y12" s="3" t="s">
        <v>399</v>
      </c>
      <c r="Z12" s="3"/>
      <c r="AA12" s="3"/>
      <c r="AB12" s="3"/>
      <c r="AC12" s="3"/>
      <c r="AD12" s="3"/>
    </row>
    <row r="13" spans="1:33" ht="21.75" customHeight="1">
      <c r="A13" s="83" t="str">
        <f>人員一覧・判定!B12</f>
        <v>田中 智美</v>
      </c>
      <c r="D13" s="6" t="s">
        <v>414</v>
      </c>
      <c r="E13" s="6"/>
      <c r="F13" s="6"/>
      <c r="G13" s="6"/>
      <c r="H13" s="6"/>
      <c r="I13" s="6"/>
      <c r="J13" s="6"/>
      <c r="K13" s="6"/>
      <c r="M13" s="70" t="s">
        <v>415</v>
      </c>
      <c r="N13" s="70"/>
      <c r="O13" s="70"/>
      <c r="P13" s="70"/>
      <c r="Q13" s="70"/>
      <c r="R13" s="70"/>
      <c r="S13" s="70"/>
      <c r="T13" s="70"/>
      <c r="U13" s="70"/>
      <c r="Y13" s="3" t="s">
        <v>399</v>
      </c>
      <c r="Z13" s="3"/>
      <c r="AA13" s="3"/>
      <c r="AB13" s="3"/>
      <c r="AC13" s="3"/>
      <c r="AD13" s="3"/>
    </row>
    <row r="14" spans="1:33" ht="21.75" customHeight="1">
      <c r="A14" s="83" t="str">
        <f>人員一覧・判定!B13</f>
        <v>池田　誠</v>
      </c>
      <c r="D14" s="9" t="s">
        <v>416</v>
      </c>
      <c r="E14" s="9"/>
      <c r="F14" s="9"/>
      <c r="G14" s="1" t="s">
        <v>251</v>
      </c>
      <c r="H14" s="1"/>
      <c r="I14" s="1"/>
      <c r="J14" s="1"/>
      <c r="N14" s="8" t="s">
        <v>417</v>
      </c>
      <c r="O14" s="8"/>
      <c r="P14" s="8"/>
      <c r="Q14" s="8"/>
      <c r="R14" s="8"/>
      <c r="S14" s="8"/>
      <c r="T14" s="8"/>
      <c r="U14" s="8"/>
      <c r="Y14" s="3" t="s">
        <v>399</v>
      </c>
      <c r="Z14" s="3"/>
      <c r="AA14" s="3"/>
      <c r="AB14" s="3"/>
      <c r="AC14" s="3"/>
      <c r="AD14" s="3"/>
    </row>
    <row r="15" spans="1:33" ht="21.75" customHeight="1">
      <c r="A15" s="84" t="str">
        <f>人員一覧・判定!C14</f>
        <v>Gerald Ejem Potutan</v>
      </c>
      <c r="D15" s="7" t="s">
        <v>418</v>
      </c>
      <c r="E15" s="7"/>
      <c r="F15" s="7"/>
      <c r="G15" s="1" t="s">
        <v>419</v>
      </c>
      <c r="H15" s="1"/>
      <c r="I15" s="1"/>
      <c r="J15" s="1"/>
      <c r="K15" s="58" t="s">
        <v>420</v>
      </c>
      <c r="N15" s="70" t="s">
        <v>398</v>
      </c>
      <c r="O15" s="70"/>
      <c r="P15" s="70"/>
      <c r="Q15" s="70"/>
      <c r="R15" s="70"/>
      <c r="S15" s="70"/>
      <c r="T15" s="70"/>
      <c r="U15" s="70"/>
      <c r="Y15" s="3" t="s">
        <v>399</v>
      </c>
      <c r="Z15" s="3"/>
      <c r="AA15" s="3"/>
      <c r="AB15" s="3"/>
      <c r="AC15" s="3"/>
      <c r="AD15" s="3"/>
    </row>
    <row r="16" spans="1:33" ht="21.75" customHeight="1">
      <c r="A16" s="83" t="str">
        <f>人員一覧・判定!C15</f>
        <v>Mizan Bisri</v>
      </c>
      <c r="D16" s="9" t="s">
        <v>421</v>
      </c>
      <c r="E16" s="9"/>
      <c r="F16" s="9"/>
      <c r="G16" s="1" t="s">
        <v>422</v>
      </c>
      <c r="H16" s="1"/>
      <c r="I16" s="1"/>
      <c r="J16" s="1"/>
      <c r="N16" s="70" t="s">
        <v>398</v>
      </c>
      <c r="O16" s="70"/>
      <c r="P16" s="70"/>
      <c r="Q16" s="70"/>
      <c r="R16" s="70"/>
      <c r="S16" s="70"/>
      <c r="T16" s="70"/>
      <c r="U16" s="70"/>
      <c r="Y16" s="3" t="s">
        <v>399</v>
      </c>
      <c r="Z16" s="3"/>
      <c r="AA16" s="3"/>
      <c r="AB16" s="3"/>
      <c r="AC16" s="3"/>
      <c r="AD16" s="3"/>
    </row>
    <row r="17" spans="1:33" ht="21.75" customHeight="1">
      <c r="A17" s="83" t="str">
        <f>人員一覧・判定!B16</f>
        <v>藤本 絢子</v>
      </c>
      <c r="D17" s="9" t="s">
        <v>423</v>
      </c>
      <c r="E17" s="9"/>
      <c r="F17" s="9"/>
      <c r="G17" s="9" t="s">
        <v>383</v>
      </c>
      <c r="H17" s="9"/>
      <c r="I17" s="9"/>
      <c r="J17" s="9"/>
      <c r="K17" s="9"/>
      <c r="N17" s="71" t="s">
        <v>424</v>
      </c>
      <c r="O17" s="71"/>
      <c r="P17" s="71"/>
      <c r="Q17" s="71"/>
      <c r="R17" s="71"/>
      <c r="S17" s="71"/>
      <c r="T17" s="71"/>
      <c r="U17" s="71"/>
      <c r="Y17" s="12" t="s">
        <v>425</v>
      </c>
      <c r="Z17" s="12"/>
      <c r="AA17" s="12"/>
      <c r="AB17" s="12"/>
      <c r="AC17" s="12"/>
      <c r="AD17" s="12"/>
    </row>
    <row r="18" spans="1:33" ht="21.75" customHeight="1">
      <c r="A18" s="83" t="str">
        <f>人員一覧・判定!B17</f>
        <v>塩見 有美</v>
      </c>
      <c r="D18" s="10" t="s">
        <v>426</v>
      </c>
      <c r="E18" s="10"/>
      <c r="F18" s="10"/>
      <c r="G18" s="69" t="s">
        <v>427</v>
      </c>
      <c r="H18" s="69"/>
      <c r="I18" s="69"/>
      <c r="J18" s="69"/>
      <c r="K18" s="69"/>
      <c r="N18" s="71" t="s">
        <v>428</v>
      </c>
      <c r="O18" s="71"/>
      <c r="P18" s="71"/>
      <c r="Q18" s="71"/>
      <c r="R18" s="71"/>
      <c r="S18" s="71"/>
      <c r="T18" s="71"/>
      <c r="U18" s="71"/>
      <c r="Y18" s="12" t="s">
        <v>429</v>
      </c>
      <c r="Z18" s="12"/>
      <c r="AA18" s="12"/>
      <c r="AB18" s="12"/>
      <c r="AC18" s="12"/>
      <c r="AD18" s="12"/>
    </row>
    <row r="19" spans="1:33">
      <c r="A19" s="24" t="s">
        <v>332</v>
      </c>
      <c r="B19" s="55">
        <f t="shared" ref="B19:AG19" si="0">COUNTA(B6:B18)</f>
        <v>0</v>
      </c>
      <c r="C19" s="55">
        <f t="shared" si="0"/>
        <v>0</v>
      </c>
      <c r="D19" s="55">
        <f t="shared" si="0"/>
        <v>10</v>
      </c>
      <c r="E19" s="55">
        <f t="shared" si="0"/>
        <v>0</v>
      </c>
      <c r="F19" s="55">
        <f t="shared" si="0"/>
        <v>0</v>
      </c>
      <c r="G19" s="55">
        <f t="shared" si="0"/>
        <v>11</v>
      </c>
      <c r="H19" s="55">
        <f t="shared" si="0"/>
        <v>0</v>
      </c>
      <c r="I19" s="55">
        <f t="shared" si="0"/>
        <v>0</v>
      </c>
      <c r="J19" s="55">
        <f t="shared" si="0"/>
        <v>0</v>
      </c>
      <c r="K19" s="55">
        <f t="shared" si="0"/>
        <v>2</v>
      </c>
      <c r="L19" s="55">
        <f t="shared" si="0"/>
        <v>0</v>
      </c>
      <c r="M19" s="55">
        <f t="shared" si="0"/>
        <v>3</v>
      </c>
      <c r="N19" s="55">
        <f t="shared" si="0"/>
        <v>10</v>
      </c>
      <c r="O19" s="55">
        <f t="shared" si="0"/>
        <v>0</v>
      </c>
      <c r="P19" s="55">
        <f t="shared" si="0"/>
        <v>0</v>
      </c>
      <c r="Q19" s="55">
        <f t="shared" si="0"/>
        <v>0</v>
      </c>
      <c r="R19" s="55">
        <f t="shared" si="0"/>
        <v>0</v>
      </c>
      <c r="S19" s="55">
        <f t="shared" si="0"/>
        <v>0</v>
      </c>
      <c r="T19" s="55">
        <f t="shared" si="0"/>
        <v>0</v>
      </c>
      <c r="U19" s="55">
        <f t="shared" si="0"/>
        <v>0</v>
      </c>
      <c r="V19" s="55">
        <f t="shared" si="0"/>
        <v>0</v>
      </c>
      <c r="W19" s="55">
        <f t="shared" si="0"/>
        <v>0</v>
      </c>
      <c r="X19" s="55">
        <f t="shared" si="0"/>
        <v>0</v>
      </c>
      <c r="Y19" s="55">
        <f t="shared" si="0"/>
        <v>13</v>
      </c>
      <c r="Z19" s="55">
        <f t="shared" si="0"/>
        <v>0</v>
      </c>
      <c r="AA19" s="55">
        <f t="shared" si="0"/>
        <v>0</v>
      </c>
      <c r="AB19" s="55">
        <f t="shared" si="0"/>
        <v>0</v>
      </c>
      <c r="AC19" s="55">
        <f t="shared" si="0"/>
        <v>0</v>
      </c>
      <c r="AD19" s="55">
        <f t="shared" si="0"/>
        <v>0</v>
      </c>
      <c r="AE19" s="55">
        <f t="shared" si="0"/>
        <v>0</v>
      </c>
      <c r="AF19" s="55">
        <f t="shared" si="0"/>
        <v>0</v>
      </c>
      <c r="AG19" s="55">
        <f t="shared" si="0"/>
        <v>0</v>
      </c>
    </row>
    <row r="20" spans="1:33">
      <c r="A20" s="56" t="s">
        <v>333</v>
      </c>
    </row>
    <row r="21" spans="1:33" ht="60" customHeight="1">
      <c r="A21" s="4" t="s">
        <v>430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</sheetData>
  <mergeCells count="54">
    <mergeCell ref="D18:F18"/>
    <mergeCell ref="G18:K18"/>
    <mergeCell ref="N18:U18"/>
    <mergeCell ref="Y18:AD18"/>
    <mergeCell ref="A21:T21"/>
    <mergeCell ref="D16:F16"/>
    <mergeCell ref="G16:J16"/>
    <mergeCell ref="N16:U16"/>
    <mergeCell ref="Y16:AD16"/>
    <mergeCell ref="D17:F17"/>
    <mergeCell ref="G17:K17"/>
    <mergeCell ref="N17:U17"/>
    <mergeCell ref="Y17:AD17"/>
    <mergeCell ref="D14:F14"/>
    <mergeCell ref="G14:J14"/>
    <mergeCell ref="N14:U14"/>
    <mergeCell ref="Y14:AD14"/>
    <mergeCell ref="D15:F15"/>
    <mergeCell ref="G15:J15"/>
    <mergeCell ref="N15:U15"/>
    <mergeCell ref="Y15:AD15"/>
    <mergeCell ref="D12:K12"/>
    <mergeCell ref="N12:U12"/>
    <mergeCell ref="Y12:AD12"/>
    <mergeCell ref="D13:K13"/>
    <mergeCell ref="M13:U13"/>
    <mergeCell ref="Y13:AD13"/>
    <mergeCell ref="D10:F10"/>
    <mergeCell ref="G10:J10"/>
    <mergeCell ref="M10:U10"/>
    <mergeCell ref="Y10:AD10"/>
    <mergeCell ref="D11:F11"/>
    <mergeCell ref="G11:K11"/>
    <mergeCell ref="M11:U11"/>
    <mergeCell ref="Y11:AD11"/>
    <mergeCell ref="G8:K8"/>
    <mergeCell ref="N8:U8"/>
    <mergeCell ref="Y8:AD8"/>
    <mergeCell ref="D9:F9"/>
    <mergeCell ref="G9:K9"/>
    <mergeCell ref="N9:U9"/>
    <mergeCell ref="Y9:AD9"/>
    <mergeCell ref="AB4:AD4"/>
    <mergeCell ref="G6:K6"/>
    <mergeCell ref="N6:U6"/>
    <mergeCell ref="Y6:AD6"/>
    <mergeCell ref="G7:K7"/>
    <mergeCell ref="N7:U7"/>
    <mergeCell ref="Y7:AD7"/>
    <mergeCell ref="D4:F4"/>
    <mergeCell ref="G4:J4"/>
    <mergeCell ref="L4:M4"/>
    <mergeCell ref="N4:U4"/>
    <mergeCell ref="Y4:AA4"/>
  </mergeCells>
  <phoneticPr fontId="25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5" sqref="A15"/>
    </sheetView>
  </sheetViews>
  <sheetFormatPr defaultColWidth="8.5546875" defaultRowHeight="14.4"/>
  <cols>
    <col min="1" max="1" width="14" customWidth="1"/>
    <col min="2" max="33" width="4.21875" customWidth="1"/>
  </cols>
  <sheetData>
    <row r="1" spans="1:33" ht="15.6">
      <c r="A1" s="34" t="s">
        <v>431</v>
      </c>
    </row>
    <row r="3" spans="1:33">
      <c r="B3" s="53" t="s">
        <v>283</v>
      </c>
      <c r="C3" s="53"/>
      <c r="D3" s="53" t="s">
        <v>284</v>
      </c>
      <c r="E3" s="53"/>
      <c r="F3" s="53" t="s">
        <v>285</v>
      </c>
      <c r="G3" s="53"/>
      <c r="H3" s="53" t="s">
        <v>286</v>
      </c>
      <c r="I3" s="53"/>
      <c r="J3" s="53" t="s">
        <v>287</v>
      </c>
      <c r="K3" s="53"/>
      <c r="L3" s="53" t="s">
        <v>288</v>
      </c>
      <c r="M3" s="53"/>
      <c r="N3" s="53" t="s">
        <v>289</v>
      </c>
      <c r="O3" s="53"/>
      <c r="P3" s="53" t="s">
        <v>290</v>
      </c>
      <c r="Q3" s="53"/>
      <c r="R3" s="53" t="s">
        <v>291</v>
      </c>
      <c r="S3" s="53"/>
      <c r="T3" s="53" t="s">
        <v>292</v>
      </c>
      <c r="U3" s="53"/>
      <c r="V3" s="53" t="s">
        <v>293</v>
      </c>
      <c r="W3" s="53"/>
      <c r="X3" s="53" t="s">
        <v>294</v>
      </c>
      <c r="Y3" s="53"/>
      <c r="Z3" s="53" t="s">
        <v>295</v>
      </c>
      <c r="AA3" s="53"/>
      <c r="AB3" s="53" t="s">
        <v>296</v>
      </c>
      <c r="AC3" s="53"/>
      <c r="AD3" s="53" t="s">
        <v>297</v>
      </c>
      <c r="AE3" s="53"/>
      <c r="AF3" s="53" t="s">
        <v>298</v>
      </c>
      <c r="AG3" s="53"/>
    </row>
    <row r="4" spans="1:33" ht="30" customHeight="1">
      <c r="A4" s="35" t="s">
        <v>152</v>
      </c>
      <c r="F4" s="3" t="s">
        <v>432</v>
      </c>
      <c r="G4" s="3"/>
      <c r="H4" s="3"/>
      <c r="I4" s="3"/>
      <c r="J4" s="3"/>
      <c r="K4" s="3"/>
      <c r="L4" s="3" t="s">
        <v>394</v>
      </c>
      <c r="M4" s="3"/>
      <c r="N4" s="3"/>
      <c r="O4" s="3" t="s">
        <v>433</v>
      </c>
      <c r="P4" s="3"/>
      <c r="R4" s="3" t="s">
        <v>434</v>
      </c>
      <c r="S4" s="3"/>
      <c r="T4" s="3"/>
      <c r="U4" s="57" t="s">
        <v>435</v>
      </c>
      <c r="V4" s="12" t="s">
        <v>436</v>
      </c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1:33" ht="3.6" customHeight="1">
      <c r="A5" s="35"/>
      <c r="F5" s="57"/>
      <c r="G5" s="57"/>
      <c r="H5" s="57"/>
      <c r="I5" s="57"/>
      <c r="J5" s="57"/>
      <c r="K5" s="57"/>
      <c r="L5" s="86"/>
      <c r="M5" s="86"/>
      <c r="N5" s="86"/>
      <c r="O5" s="57"/>
      <c r="P5" s="57"/>
      <c r="R5" s="57"/>
      <c r="S5" s="57"/>
      <c r="T5" s="57"/>
      <c r="U5" s="86"/>
      <c r="V5" s="85"/>
      <c r="W5" s="85"/>
      <c r="X5" s="85"/>
      <c r="Y5" s="85"/>
      <c r="Z5" s="85"/>
      <c r="AA5" s="85"/>
      <c r="AB5" s="85"/>
      <c r="AC5" s="85"/>
      <c r="AD5" s="54"/>
      <c r="AE5" s="54"/>
      <c r="AF5" s="54"/>
    </row>
    <row r="6" spans="1:33" ht="21.75" customHeight="1">
      <c r="A6" s="83" t="str">
        <f>人員一覧・判定!B5</f>
        <v>三浦 房紀</v>
      </c>
      <c r="F6" s="1" t="s">
        <v>437</v>
      </c>
      <c r="G6" s="1"/>
      <c r="H6" s="1"/>
      <c r="I6" s="1"/>
      <c r="J6" s="1"/>
      <c r="K6" s="1"/>
      <c r="O6" s="1" t="s">
        <v>438</v>
      </c>
      <c r="P6" s="1"/>
      <c r="Q6" s="1"/>
      <c r="R6" s="1"/>
      <c r="S6" s="1"/>
      <c r="T6" s="1"/>
      <c r="AD6" s="72" t="s">
        <v>439</v>
      </c>
      <c r="AE6" s="72"/>
      <c r="AF6" s="72"/>
    </row>
    <row r="7" spans="1:33" ht="21.75" customHeight="1">
      <c r="A7" s="83" t="str">
        <f>人員一覧・判定!B6</f>
        <v>北本 政行</v>
      </c>
      <c r="F7" s="1" t="s">
        <v>437</v>
      </c>
      <c r="G7" s="1"/>
      <c r="H7" s="1"/>
      <c r="I7" s="1"/>
      <c r="J7" s="1"/>
      <c r="K7" s="1"/>
      <c r="O7" s="1" t="s">
        <v>438</v>
      </c>
      <c r="P7" s="1"/>
      <c r="Q7" s="1"/>
      <c r="R7" s="1"/>
      <c r="S7" s="1"/>
      <c r="T7" s="1"/>
      <c r="AC7" s="72" t="s">
        <v>440</v>
      </c>
      <c r="AD7" s="72"/>
      <c r="AE7" s="72"/>
      <c r="AF7" s="72"/>
    </row>
    <row r="8" spans="1:33" ht="21.75" customHeight="1">
      <c r="A8" s="83" t="str">
        <f>人員一覧・判定!B7</f>
        <v>宮木 一寛</v>
      </c>
      <c r="F8" s="2" t="s">
        <v>441</v>
      </c>
      <c r="G8" s="2"/>
      <c r="H8" s="2"/>
      <c r="I8" s="2"/>
      <c r="J8" s="2"/>
      <c r="K8" s="2"/>
      <c r="O8" s="1" t="s">
        <v>438</v>
      </c>
      <c r="P8" s="1"/>
      <c r="Q8" s="1"/>
      <c r="R8" s="1"/>
      <c r="S8" s="1"/>
      <c r="T8" s="1"/>
      <c r="V8" s="10" t="s">
        <v>442</v>
      </c>
      <c r="W8" s="10"/>
      <c r="X8" s="10"/>
      <c r="Y8" s="10"/>
    </row>
    <row r="9" spans="1:33" ht="21.75" customHeight="1">
      <c r="A9" s="83" t="str">
        <f>人員一覧・判定!B8</f>
        <v>児玉 美樹</v>
      </c>
      <c r="F9" s="1" t="s">
        <v>437</v>
      </c>
      <c r="G9" s="1"/>
      <c r="H9" s="1"/>
      <c r="I9" s="1"/>
      <c r="J9" s="1"/>
      <c r="K9" s="1"/>
      <c r="O9" s="1" t="s">
        <v>253</v>
      </c>
      <c r="P9" s="1"/>
      <c r="Q9" s="1"/>
      <c r="R9" s="1"/>
      <c r="S9" s="1"/>
      <c r="T9" s="1"/>
      <c r="V9" s="6" t="s">
        <v>443</v>
      </c>
      <c r="W9" s="6"/>
      <c r="X9" s="6"/>
      <c r="Y9" s="6"/>
      <c r="Z9" s="6"/>
      <c r="AA9" s="6"/>
    </row>
    <row r="10" spans="1:33" ht="21.75" customHeight="1">
      <c r="A10" s="83" t="str">
        <f>人員一覧・判定!B9</f>
        <v>荒木田 勝</v>
      </c>
      <c r="F10" s="1" t="s">
        <v>444</v>
      </c>
      <c r="G10" s="1"/>
      <c r="H10" s="1"/>
      <c r="I10" s="1"/>
      <c r="J10" s="1"/>
      <c r="K10" s="1"/>
      <c r="O10" s="1" t="s">
        <v>438</v>
      </c>
      <c r="P10" s="1"/>
      <c r="Q10" s="1"/>
      <c r="R10" s="1"/>
      <c r="S10" s="1"/>
      <c r="T10" s="1"/>
      <c r="V10" s="10" t="s">
        <v>445</v>
      </c>
      <c r="W10" s="10"/>
      <c r="X10" s="10"/>
      <c r="Y10" s="10"/>
      <c r="AA10" s="72" t="s">
        <v>446</v>
      </c>
      <c r="AB10" s="72"/>
      <c r="AC10" s="72"/>
      <c r="AD10" s="72"/>
      <c r="AE10" s="72"/>
      <c r="AF10" s="72"/>
    </row>
    <row r="11" spans="1:33" ht="21.75" customHeight="1">
      <c r="A11" s="83" t="str">
        <f>人員一覧・判定!B10</f>
        <v>吉田 真紀</v>
      </c>
      <c r="F11" s="1" t="s">
        <v>437</v>
      </c>
      <c r="G11" s="1"/>
      <c r="H11" s="1"/>
      <c r="I11" s="1"/>
      <c r="J11" s="1"/>
      <c r="K11" s="1"/>
      <c r="O11" s="1" t="s">
        <v>447</v>
      </c>
      <c r="P11" s="1"/>
      <c r="Q11" s="1"/>
      <c r="R11" s="1"/>
      <c r="S11" s="1"/>
      <c r="T11" s="1"/>
      <c r="V11" s="6" t="s">
        <v>448</v>
      </c>
      <c r="W11" s="6"/>
      <c r="X11" s="6"/>
      <c r="Y11" s="6"/>
      <c r="AB11" s="72" t="s">
        <v>449</v>
      </c>
      <c r="AC11" s="72"/>
      <c r="AD11" s="72"/>
      <c r="AE11" s="72"/>
      <c r="AF11" s="72"/>
    </row>
    <row r="12" spans="1:33" ht="21.75" customHeight="1">
      <c r="A12" s="83" t="str">
        <f>人員一覧・判定!B11</f>
        <v>藤中 純子</v>
      </c>
      <c r="F12" s="6" t="s">
        <v>450</v>
      </c>
      <c r="G12" s="6"/>
      <c r="H12" s="6"/>
      <c r="I12" s="6"/>
      <c r="J12" s="6"/>
      <c r="K12" s="6"/>
      <c r="O12" s="6" t="s">
        <v>451</v>
      </c>
      <c r="P12" s="6"/>
      <c r="Q12" s="6"/>
      <c r="R12" s="6"/>
      <c r="S12" s="6"/>
      <c r="T12" s="6"/>
      <c r="V12" s="5" t="s">
        <v>452</v>
      </c>
      <c r="W12" s="5"/>
      <c r="X12" s="5"/>
      <c r="Y12" s="5"/>
      <c r="Z12" s="5"/>
      <c r="AA12" s="5"/>
      <c r="AB12" s="5"/>
      <c r="AC12" s="5"/>
    </row>
    <row r="13" spans="1:33" ht="21.75" customHeight="1">
      <c r="A13" s="83" t="str">
        <f>人員一覧・判定!B12</f>
        <v>田中 智美</v>
      </c>
      <c r="F13" s="6" t="s">
        <v>370</v>
      </c>
      <c r="G13" s="6"/>
      <c r="H13" s="6"/>
      <c r="I13" s="6"/>
      <c r="J13" s="6"/>
      <c r="K13" s="6"/>
      <c r="O13" s="6" t="s">
        <v>451</v>
      </c>
      <c r="P13" s="6"/>
      <c r="Q13" s="6"/>
      <c r="R13" s="6"/>
      <c r="S13" s="6"/>
      <c r="T13" s="6"/>
      <c r="V13" s="5" t="s">
        <v>453</v>
      </c>
      <c r="W13" s="5"/>
      <c r="X13" s="5"/>
      <c r="Y13" s="5"/>
      <c r="Z13" s="5"/>
      <c r="AA13" s="5"/>
      <c r="AB13" s="5"/>
      <c r="AC13" s="5"/>
    </row>
    <row r="14" spans="1:33" ht="21.75" customHeight="1">
      <c r="A14" s="83" t="str">
        <f>人員一覧・判定!B13</f>
        <v>池田　誠</v>
      </c>
      <c r="F14" s="1" t="s">
        <v>437</v>
      </c>
      <c r="G14" s="1"/>
      <c r="H14" s="1"/>
      <c r="I14" s="1"/>
      <c r="J14" s="1"/>
      <c r="K14" s="1"/>
      <c r="O14" s="8" t="s">
        <v>454</v>
      </c>
      <c r="P14" s="8"/>
      <c r="R14" s="1" t="s">
        <v>455</v>
      </c>
      <c r="S14" s="1"/>
      <c r="T14" s="1"/>
      <c r="V14" s="9" t="s">
        <v>456</v>
      </c>
      <c r="W14" s="9"/>
      <c r="X14" s="9"/>
      <c r="Y14" s="9"/>
    </row>
    <row r="15" spans="1:33" ht="21.75" customHeight="1">
      <c r="A15" s="84" t="str">
        <f>人員一覧・判定!C14</f>
        <v>Gerald Ejem Potutan</v>
      </c>
      <c r="F15" s="1" t="s">
        <v>457</v>
      </c>
      <c r="G15" s="1"/>
      <c r="H15" s="1"/>
      <c r="I15" s="1"/>
      <c r="J15" s="1"/>
      <c r="K15" s="1"/>
      <c r="O15" s="1" t="s">
        <v>447</v>
      </c>
      <c r="P15" s="1"/>
      <c r="Q15" s="1"/>
      <c r="R15" s="1"/>
      <c r="S15" s="1"/>
      <c r="T15" s="1"/>
    </row>
    <row r="16" spans="1:33" ht="21.75" customHeight="1">
      <c r="A16" s="83" t="str">
        <f>人員一覧・判定!C15</f>
        <v>Mizan Bisri</v>
      </c>
      <c r="F16" s="1" t="s">
        <v>437</v>
      </c>
      <c r="G16" s="1"/>
      <c r="H16" s="1"/>
      <c r="I16" s="1"/>
      <c r="J16" s="1"/>
      <c r="K16" s="1"/>
      <c r="O16" s="1" t="s">
        <v>447</v>
      </c>
      <c r="P16" s="1"/>
      <c r="Q16" s="1"/>
      <c r="R16" s="1"/>
      <c r="S16" s="1"/>
      <c r="T16" s="1"/>
    </row>
    <row r="17" spans="1:33" ht="21.75" customHeight="1">
      <c r="A17" s="83" t="str">
        <f>人員一覧・判定!B16</f>
        <v>藤本 絢子</v>
      </c>
      <c r="F17" s="9" t="s">
        <v>382</v>
      </c>
      <c r="G17" s="9"/>
      <c r="H17" s="9"/>
      <c r="I17" s="9"/>
      <c r="J17" s="9"/>
      <c r="K17" s="9"/>
      <c r="O17" s="9" t="s">
        <v>458</v>
      </c>
      <c r="P17" s="9"/>
      <c r="Q17" s="9"/>
      <c r="R17" s="9"/>
      <c r="S17" s="9"/>
      <c r="T17" s="9"/>
      <c r="V17" s="6" t="s">
        <v>459</v>
      </c>
      <c r="W17" s="6"/>
      <c r="X17" s="6"/>
      <c r="Y17" s="6"/>
      <c r="Z17" s="6"/>
      <c r="AA17" s="6"/>
    </row>
    <row r="18" spans="1:33" ht="21.75" customHeight="1">
      <c r="A18" s="83" t="str">
        <f>人員一覧・判定!B17</f>
        <v>塩見 有美</v>
      </c>
      <c r="F18" s="69" t="s">
        <v>460</v>
      </c>
      <c r="G18" s="69"/>
      <c r="H18" s="69"/>
      <c r="I18" s="69"/>
      <c r="J18" s="69"/>
      <c r="K18" s="69"/>
      <c r="O18" s="6" t="s">
        <v>385</v>
      </c>
      <c r="P18" s="6"/>
      <c r="Q18" s="6"/>
      <c r="R18" s="6"/>
      <c r="S18" s="6"/>
      <c r="T18" s="6"/>
      <c r="V18" s="6" t="s">
        <v>459</v>
      </c>
      <c r="W18" s="6"/>
      <c r="X18" s="6"/>
      <c r="Y18" s="6"/>
      <c r="Z18" s="6"/>
      <c r="AA18" s="6"/>
    </row>
    <row r="19" spans="1:33">
      <c r="A19" s="24" t="s">
        <v>332</v>
      </c>
      <c r="B19" s="55">
        <f t="shared" ref="B19:AG19" si="0">COUNTA(B6:B18)</f>
        <v>0</v>
      </c>
      <c r="C19" s="55">
        <f t="shared" si="0"/>
        <v>0</v>
      </c>
      <c r="D19" s="55">
        <f t="shared" si="0"/>
        <v>0</v>
      </c>
      <c r="E19" s="55">
        <f t="shared" si="0"/>
        <v>0</v>
      </c>
      <c r="F19" s="55">
        <f t="shared" si="0"/>
        <v>13</v>
      </c>
      <c r="G19" s="55">
        <f t="shared" si="0"/>
        <v>0</v>
      </c>
      <c r="H19" s="55">
        <f t="shared" si="0"/>
        <v>0</v>
      </c>
      <c r="I19" s="55">
        <f t="shared" si="0"/>
        <v>0</v>
      </c>
      <c r="J19" s="55">
        <f t="shared" si="0"/>
        <v>0</v>
      </c>
      <c r="K19" s="55">
        <f t="shared" si="0"/>
        <v>0</v>
      </c>
      <c r="L19" s="55">
        <f t="shared" si="0"/>
        <v>0</v>
      </c>
      <c r="M19" s="55">
        <f t="shared" si="0"/>
        <v>0</v>
      </c>
      <c r="N19" s="55">
        <f t="shared" si="0"/>
        <v>0</v>
      </c>
      <c r="O19" s="55">
        <f t="shared" si="0"/>
        <v>13</v>
      </c>
      <c r="P19" s="55">
        <f t="shared" si="0"/>
        <v>0</v>
      </c>
      <c r="Q19" s="55">
        <f t="shared" si="0"/>
        <v>0</v>
      </c>
      <c r="R19" s="55">
        <f t="shared" si="0"/>
        <v>1</v>
      </c>
      <c r="S19" s="55">
        <f t="shared" si="0"/>
        <v>0</v>
      </c>
      <c r="T19" s="55">
        <f t="shared" si="0"/>
        <v>0</v>
      </c>
      <c r="U19" s="55">
        <f t="shared" si="0"/>
        <v>0</v>
      </c>
      <c r="V19" s="55">
        <f t="shared" si="0"/>
        <v>9</v>
      </c>
      <c r="W19" s="55">
        <f t="shared" si="0"/>
        <v>0</v>
      </c>
      <c r="X19" s="55">
        <f t="shared" si="0"/>
        <v>0</v>
      </c>
      <c r="Y19" s="55">
        <f t="shared" si="0"/>
        <v>0</v>
      </c>
      <c r="Z19" s="55">
        <f t="shared" si="0"/>
        <v>0</v>
      </c>
      <c r="AA19" s="55">
        <f t="shared" si="0"/>
        <v>1</v>
      </c>
      <c r="AB19" s="55">
        <f t="shared" si="0"/>
        <v>1</v>
      </c>
      <c r="AC19" s="55">
        <f t="shared" si="0"/>
        <v>1</v>
      </c>
      <c r="AD19" s="55">
        <f t="shared" si="0"/>
        <v>1</v>
      </c>
      <c r="AE19" s="55">
        <f t="shared" si="0"/>
        <v>0</v>
      </c>
      <c r="AF19" s="55">
        <f t="shared" si="0"/>
        <v>0</v>
      </c>
      <c r="AG19" s="55">
        <f t="shared" si="0"/>
        <v>0</v>
      </c>
    </row>
    <row r="20" spans="1:33">
      <c r="A20" s="56" t="s">
        <v>333</v>
      </c>
    </row>
    <row r="21" spans="1:33" ht="60" customHeight="1">
      <c r="A21" s="4" t="s">
        <v>461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</sheetData>
  <mergeCells count="46">
    <mergeCell ref="F18:K18"/>
    <mergeCell ref="O18:T18"/>
    <mergeCell ref="V18:AA18"/>
    <mergeCell ref="A21:T21"/>
    <mergeCell ref="F16:K16"/>
    <mergeCell ref="O16:T16"/>
    <mergeCell ref="F17:K17"/>
    <mergeCell ref="O17:T17"/>
    <mergeCell ref="V17:AA17"/>
    <mergeCell ref="F14:K14"/>
    <mergeCell ref="O14:P14"/>
    <mergeCell ref="R14:T14"/>
    <mergeCell ref="V14:Y14"/>
    <mergeCell ref="F15:K15"/>
    <mergeCell ref="O15:T15"/>
    <mergeCell ref="F12:K12"/>
    <mergeCell ref="O12:T12"/>
    <mergeCell ref="V12:AC12"/>
    <mergeCell ref="F13:K13"/>
    <mergeCell ref="O13:T13"/>
    <mergeCell ref="V13:AC13"/>
    <mergeCell ref="F10:K10"/>
    <mergeCell ref="O10:T10"/>
    <mergeCell ref="V10:Y10"/>
    <mergeCell ref="AA10:AF10"/>
    <mergeCell ref="F11:K11"/>
    <mergeCell ref="O11:T11"/>
    <mergeCell ref="V11:Y11"/>
    <mergeCell ref="AB11:AF11"/>
    <mergeCell ref="F8:K8"/>
    <mergeCell ref="O8:T8"/>
    <mergeCell ref="V8:Y8"/>
    <mergeCell ref="F9:K9"/>
    <mergeCell ref="O9:T9"/>
    <mergeCell ref="V9:AA9"/>
    <mergeCell ref="F6:K6"/>
    <mergeCell ref="O6:T6"/>
    <mergeCell ref="AD6:AF6"/>
    <mergeCell ref="F7:K7"/>
    <mergeCell ref="O7:T7"/>
    <mergeCell ref="AC7:AF7"/>
    <mergeCell ref="F4:K4"/>
    <mergeCell ref="L4:N4"/>
    <mergeCell ref="O4:P4"/>
    <mergeCell ref="R4:T4"/>
    <mergeCell ref="V4:AF4"/>
  </mergeCells>
  <phoneticPr fontId="25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"/>
  <sheetViews>
    <sheetView topLeftCell="A12" zoomScaleNormal="100" workbookViewId="0">
      <selection activeCell="A18" sqref="A18:G18"/>
    </sheetView>
  </sheetViews>
  <sheetFormatPr defaultColWidth="8.5546875" defaultRowHeight="14.4"/>
  <cols>
    <col min="1" max="2" width="22" customWidth="1"/>
    <col min="3" max="3" width="10" customWidth="1"/>
    <col min="4" max="4" width="30" customWidth="1"/>
    <col min="5" max="5" width="8" customWidth="1"/>
    <col min="6" max="7" width="44" customWidth="1"/>
  </cols>
  <sheetData>
    <row r="1" spans="1:7" ht="15.6">
      <c r="A1" s="59" t="s">
        <v>462</v>
      </c>
    </row>
    <row r="2" spans="1:7" ht="31.5" customHeight="1">
      <c r="A2" s="14" t="s">
        <v>463</v>
      </c>
      <c r="B2" s="14"/>
      <c r="C2" s="14"/>
      <c r="D2" s="14"/>
      <c r="E2" s="14"/>
      <c r="F2" s="14"/>
      <c r="G2" s="14"/>
    </row>
    <row r="4" spans="1:7" ht="26.4">
      <c r="A4" s="17" t="s">
        <v>464</v>
      </c>
      <c r="B4" s="17" t="s">
        <v>465</v>
      </c>
      <c r="C4" s="17" t="s">
        <v>466</v>
      </c>
      <c r="D4" s="17" t="s">
        <v>467</v>
      </c>
      <c r="E4" s="17" t="s">
        <v>468</v>
      </c>
      <c r="F4" s="17" t="s">
        <v>469</v>
      </c>
      <c r="G4" s="17" t="s">
        <v>470</v>
      </c>
    </row>
    <row r="5" spans="1:7" ht="90" customHeight="1">
      <c r="A5" s="19" t="s">
        <v>471</v>
      </c>
      <c r="B5" s="18" t="s">
        <v>472</v>
      </c>
      <c r="C5" s="18" t="s">
        <v>473</v>
      </c>
      <c r="D5" s="19" t="s">
        <v>474</v>
      </c>
      <c r="E5" s="60" t="s">
        <v>475</v>
      </c>
      <c r="F5" s="18" t="s">
        <v>476</v>
      </c>
      <c r="G5" s="19" t="s">
        <v>477</v>
      </c>
    </row>
    <row r="6" spans="1:7" ht="90" customHeight="1">
      <c r="A6" s="18" t="s">
        <v>478</v>
      </c>
      <c r="B6" s="18" t="s">
        <v>479</v>
      </c>
      <c r="C6" s="18" t="s">
        <v>480</v>
      </c>
      <c r="D6" s="19" t="s">
        <v>481</v>
      </c>
      <c r="E6" s="61" t="s">
        <v>482</v>
      </c>
      <c r="F6" s="19" t="s">
        <v>483</v>
      </c>
      <c r="G6" s="19" t="s">
        <v>484</v>
      </c>
    </row>
    <row r="7" spans="1:7" ht="90" customHeight="1">
      <c r="A7" s="19" t="s">
        <v>485</v>
      </c>
      <c r="B7" s="18" t="s">
        <v>486</v>
      </c>
      <c r="C7" s="18" t="s">
        <v>487</v>
      </c>
      <c r="D7" s="18" t="s">
        <v>488</v>
      </c>
      <c r="E7" s="60" t="s">
        <v>475</v>
      </c>
      <c r="F7" s="18" t="s">
        <v>489</v>
      </c>
      <c r="G7" s="75" t="s">
        <v>700</v>
      </c>
    </row>
    <row r="8" spans="1:7" ht="90" customHeight="1">
      <c r="A8" s="19" t="s">
        <v>490</v>
      </c>
      <c r="B8" s="18" t="s">
        <v>491</v>
      </c>
      <c r="C8" s="18" t="s">
        <v>492</v>
      </c>
      <c r="D8" s="18" t="s">
        <v>493</v>
      </c>
      <c r="E8" s="61" t="s">
        <v>482</v>
      </c>
      <c r="F8" s="18" t="s">
        <v>701</v>
      </c>
      <c r="G8" s="76" t="s">
        <v>702</v>
      </c>
    </row>
    <row r="9" spans="1:7" ht="90" customHeight="1">
      <c r="A9" s="18" t="s">
        <v>494</v>
      </c>
      <c r="B9" s="18" t="s">
        <v>495</v>
      </c>
      <c r="C9" s="18" t="s">
        <v>496</v>
      </c>
      <c r="D9" s="19" t="s">
        <v>497</v>
      </c>
      <c r="E9" s="60" t="s">
        <v>475</v>
      </c>
      <c r="F9" s="75" t="s">
        <v>703</v>
      </c>
      <c r="G9" s="75" t="s">
        <v>704</v>
      </c>
    </row>
    <row r="10" spans="1:7" ht="90" customHeight="1">
      <c r="A10" s="19" t="s">
        <v>498</v>
      </c>
      <c r="B10" s="19" t="s">
        <v>499</v>
      </c>
      <c r="C10" s="18" t="s">
        <v>500</v>
      </c>
      <c r="D10" s="19" t="s">
        <v>501</v>
      </c>
      <c r="E10" s="61" t="s">
        <v>482</v>
      </c>
      <c r="F10" s="19" t="s">
        <v>502</v>
      </c>
      <c r="G10" s="19" t="s">
        <v>503</v>
      </c>
    </row>
    <row r="11" spans="1:7" ht="90" customHeight="1">
      <c r="A11" s="18" t="s">
        <v>504</v>
      </c>
      <c r="B11" s="18" t="s">
        <v>505</v>
      </c>
      <c r="C11" s="18" t="s">
        <v>492</v>
      </c>
      <c r="D11" s="19" t="s">
        <v>506</v>
      </c>
      <c r="E11" s="60" t="s">
        <v>475</v>
      </c>
      <c r="F11" s="19" t="s">
        <v>507</v>
      </c>
      <c r="G11" s="19" t="s">
        <v>508</v>
      </c>
    </row>
    <row r="12" spans="1:7" ht="90" customHeight="1">
      <c r="A12" s="18" t="s">
        <v>509</v>
      </c>
      <c r="B12" s="18" t="s">
        <v>510</v>
      </c>
      <c r="C12" s="18" t="s">
        <v>511</v>
      </c>
      <c r="D12" s="19" t="s">
        <v>512</v>
      </c>
      <c r="E12" s="62" t="s">
        <v>513</v>
      </c>
      <c r="F12" s="19" t="s">
        <v>514</v>
      </c>
      <c r="G12" s="75" t="s">
        <v>705</v>
      </c>
    </row>
    <row r="13" spans="1:7" ht="90" customHeight="1">
      <c r="A13" s="19" t="s">
        <v>515</v>
      </c>
      <c r="B13" s="18" t="s">
        <v>516</v>
      </c>
      <c r="C13" s="18" t="s">
        <v>492</v>
      </c>
      <c r="D13" s="19" t="s">
        <v>517</v>
      </c>
      <c r="E13" s="60" t="s">
        <v>475</v>
      </c>
      <c r="F13" s="18" t="s">
        <v>698</v>
      </c>
      <c r="G13" s="18" t="s">
        <v>699</v>
      </c>
    </row>
    <row r="15" spans="1:7">
      <c r="A15" s="63" t="s">
        <v>518</v>
      </c>
    </row>
    <row r="16" spans="1:7" ht="43.5" customHeight="1">
      <c r="A16" s="73" t="s">
        <v>706</v>
      </c>
      <c r="B16" s="73"/>
      <c r="C16" s="73"/>
      <c r="D16" s="73"/>
      <c r="E16" s="73"/>
      <c r="F16" s="73"/>
      <c r="G16" s="73"/>
    </row>
    <row r="17" spans="1:7" ht="43.5" customHeight="1">
      <c r="A17" s="73" t="s">
        <v>519</v>
      </c>
      <c r="B17" s="73"/>
      <c r="C17" s="73"/>
      <c r="D17" s="73"/>
      <c r="E17" s="73"/>
      <c r="F17" s="73"/>
      <c r="G17" s="73"/>
    </row>
    <row r="18" spans="1:7" ht="43.5" customHeight="1">
      <c r="A18" s="73" t="s">
        <v>707</v>
      </c>
      <c r="B18" s="73"/>
      <c r="C18" s="73"/>
      <c r="D18" s="73"/>
      <c r="E18" s="73"/>
      <c r="F18" s="73"/>
      <c r="G18" s="73"/>
    </row>
    <row r="19" spans="1:7" ht="43.5" customHeight="1">
      <c r="A19" s="73" t="s">
        <v>520</v>
      </c>
      <c r="B19" s="73"/>
      <c r="C19" s="73"/>
      <c r="D19" s="73"/>
      <c r="E19" s="73"/>
      <c r="F19" s="73"/>
      <c r="G19" s="73"/>
    </row>
    <row r="20" spans="1:7" ht="43.5" customHeight="1">
      <c r="A20" s="73" t="s">
        <v>521</v>
      </c>
      <c r="B20" s="73"/>
      <c r="C20" s="73"/>
      <c r="D20" s="73"/>
      <c r="E20" s="73"/>
      <c r="F20" s="73"/>
      <c r="G20" s="73"/>
    </row>
  </sheetData>
  <mergeCells count="6">
    <mergeCell ref="A20:G20"/>
    <mergeCell ref="A2:G2"/>
    <mergeCell ref="A16:G16"/>
    <mergeCell ref="A17:G17"/>
    <mergeCell ref="A18:G18"/>
    <mergeCell ref="A19:G19"/>
  </mergeCells>
  <phoneticPr fontId="25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3"/>
  <sheetViews>
    <sheetView topLeftCell="A17" zoomScaleNormal="100" workbookViewId="0"/>
  </sheetViews>
  <sheetFormatPr defaultColWidth="8.5546875" defaultRowHeight="14.4"/>
  <cols>
    <col min="1" max="1" width="22" customWidth="1"/>
    <col min="2" max="2" width="30" customWidth="1"/>
    <col min="3" max="6" width="10" customWidth="1"/>
    <col min="7" max="7" width="18" customWidth="1"/>
    <col min="8" max="8" width="14" customWidth="1"/>
    <col min="9" max="9" width="10" customWidth="1"/>
    <col min="10" max="10" width="30" customWidth="1"/>
  </cols>
  <sheetData>
    <row r="1" spans="1:10" ht="15.6">
      <c r="A1" s="59" t="s">
        <v>522</v>
      </c>
    </row>
    <row r="2" spans="1:10">
      <c r="A2" s="27" t="s">
        <v>523</v>
      </c>
    </row>
    <row r="4" spans="1:10">
      <c r="A4" s="17" t="s">
        <v>524</v>
      </c>
      <c r="B4" s="17" t="s">
        <v>2</v>
      </c>
      <c r="C4" s="17" t="s">
        <v>525</v>
      </c>
      <c r="D4" s="17" t="s">
        <v>526</v>
      </c>
      <c r="E4" s="17" t="s">
        <v>527</v>
      </c>
      <c r="F4" s="17" t="s">
        <v>528</v>
      </c>
      <c r="G4" s="17" t="s">
        <v>529</v>
      </c>
      <c r="H4" s="17" t="s">
        <v>8</v>
      </c>
      <c r="I4" s="16" t="s">
        <v>398</v>
      </c>
      <c r="J4" s="17" t="s">
        <v>530</v>
      </c>
    </row>
    <row r="5" spans="1:10" ht="26.4">
      <c r="A5" s="64" t="s">
        <v>531</v>
      </c>
      <c r="B5" s="65" t="s">
        <v>532</v>
      </c>
      <c r="C5" s="65" t="s">
        <v>533</v>
      </c>
      <c r="D5" s="65" t="s">
        <v>534</v>
      </c>
      <c r="E5" s="65" t="s">
        <v>535</v>
      </c>
      <c r="F5" s="65" t="s">
        <v>536</v>
      </c>
      <c r="G5" s="65" t="s">
        <v>106</v>
      </c>
      <c r="H5" s="65" t="s">
        <v>537</v>
      </c>
      <c r="I5" s="65" t="s">
        <v>538</v>
      </c>
      <c r="J5" s="65" t="s">
        <v>539</v>
      </c>
    </row>
    <row r="6" spans="1:10">
      <c r="A6" s="64" t="s">
        <v>540</v>
      </c>
      <c r="B6" s="65" t="s">
        <v>541</v>
      </c>
      <c r="C6" s="65" t="s">
        <v>533</v>
      </c>
      <c r="D6" s="65" t="s">
        <v>542</v>
      </c>
      <c r="E6" s="65" t="s">
        <v>543</v>
      </c>
      <c r="F6" s="65" t="s">
        <v>106</v>
      </c>
      <c r="G6" s="65" t="s">
        <v>544</v>
      </c>
      <c r="H6" s="65" t="s">
        <v>545</v>
      </c>
      <c r="I6" s="65" t="s">
        <v>538</v>
      </c>
      <c r="J6" s="64" t="s">
        <v>546</v>
      </c>
    </row>
    <row r="7" spans="1:10">
      <c r="A7" s="64" t="s">
        <v>547</v>
      </c>
      <c r="B7" s="65" t="s">
        <v>548</v>
      </c>
      <c r="C7" s="65" t="s">
        <v>549</v>
      </c>
      <c r="D7" s="65" t="s">
        <v>550</v>
      </c>
      <c r="E7" s="65" t="s">
        <v>551</v>
      </c>
      <c r="F7" s="65" t="s">
        <v>552</v>
      </c>
      <c r="G7" s="65" t="s">
        <v>553</v>
      </c>
      <c r="H7" s="65" t="s">
        <v>537</v>
      </c>
      <c r="I7" s="65" t="s">
        <v>538</v>
      </c>
      <c r="J7" s="65" t="s">
        <v>539</v>
      </c>
    </row>
    <row r="8" spans="1:10">
      <c r="A8" s="64" t="s">
        <v>547</v>
      </c>
      <c r="B8" s="65" t="s">
        <v>554</v>
      </c>
      <c r="C8" s="65" t="s">
        <v>549</v>
      </c>
      <c r="D8" s="65" t="s">
        <v>550</v>
      </c>
      <c r="E8" s="65" t="s">
        <v>551</v>
      </c>
      <c r="F8" s="65" t="s">
        <v>552</v>
      </c>
      <c r="G8" s="65" t="s">
        <v>553</v>
      </c>
      <c r="H8" s="65" t="s">
        <v>555</v>
      </c>
      <c r="I8" s="65" t="s">
        <v>538</v>
      </c>
      <c r="J8" s="65" t="s">
        <v>539</v>
      </c>
    </row>
    <row r="9" spans="1:10" ht="26.4">
      <c r="A9" s="64" t="s">
        <v>556</v>
      </c>
      <c r="B9" s="65" t="s">
        <v>557</v>
      </c>
      <c r="C9" s="65" t="s">
        <v>533</v>
      </c>
      <c r="D9" s="65" t="s">
        <v>542</v>
      </c>
      <c r="E9" s="65" t="s">
        <v>535</v>
      </c>
      <c r="F9" s="65" t="s">
        <v>536</v>
      </c>
      <c r="G9" s="65" t="s">
        <v>558</v>
      </c>
      <c r="H9" s="65" t="s">
        <v>537</v>
      </c>
      <c r="I9" s="65" t="s">
        <v>538</v>
      </c>
      <c r="J9" s="65" t="s">
        <v>539</v>
      </c>
    </row>
    <row r="10" spans="1:10">
      <c r="A10" s="64" t="s">
        <v>556</v>
      </c>
      <c r="B10" s="65" t="s">
        <v>559</v>
      </c>
      <c r="C10" s="65" t="s">
        <v>533</v>
      </c>
      <c r="D10" s="65" t="s">
        <v>542</v>
      </c>
      <c r="E10" s="65" t="s">
        <v>535</v>
      </c>
      <c r="F10" s="65" t="s">
        <v>536</v>
      </c>
      <c r="G10" s="65" t="s">
        <v>558</v>
      </c>
      <c r="H10" s="65" t="s">
        <v>555</v>
      </c>
      <c r="I10" s="65" t="s">
        <v>538</v>
      </c>
      <c r="J10" s="65" t="s">
        <v>539</v>
      </c>
    </row>
    <row r="11" spans="1:10" ht="26.4">
      <c r="A11" s="64" t="s">
        <v>560</v>
      </c>
      <c r="B11" s="65" t="s">
        <v>561</v>
      </c>
      <c r="C11" s="65" t="s">
        <v>549</v>
      </c>
      <c r="D11" s="65" t="s">
        <v>562</v>
      </c>
      <c r="E11" s="65" t="s">
        <v>551</v>
      </c>
      <c r="F11" s="65" t="s">
        <v>563</v>
      </c>
      <c r="G11" s="65" t="s">
        <v>564</v>
      </c>
      <c r="H11" s="65" t="s">
        <v>537</v>
      </c>
      <c r="I11" s="65" t="s">
        <v>538</v>
      </c>
      <c r="J11" s="64" t="s">
        <v>565</v>
      </c>
    </row>
    <row r="12" spans="1:10" ht="26.4">
      <c r="A12" s="64" t="s">
        <v>566</v>
      </c>
      <c r="B12" s="65" t="s">
        <v>567</v>
      </c>
      <c r="C12" s="65" t="s">
        <v>549</v>
      </c>
      <c r="D12" s="65" t="s">
        <v>568</v>
      </c>
      <c r="E12" s="65" t="s">
        <v>535</v>
      </c>
      <c r="F12" s="65" t="s">
        <v>569</v>
      </c>
      <c r="G12" s="65" t="s">
        <v>106</v>
      </c>
      <c r="H12" s="65" t="s">
        <v>537</v>
      </c>
      <c r="I12" s="65" t="s">
        <v>570</v>
      </c>
      <c r="J12" s="64"/>
    </row>
    <row r="13" spans="1:10" ht="26.4">
      <c r="A13" s="64" t="s">
        <v>571</v>
      </c>
      <c r="B13" s="65" t="s">
        <v>572</v>
      </c>
      <c r="C13" s="65" t="s">
        <v>533</v>
      </c>
      <c r="D13" s="65" t="s">
        <v>573</v>
      </c>
      <c r="E13" s="65" t="s">
        <v>535</v>
      </c>
      <c r="F13" s="65" t="s">
        <v>574</v>
      </c>
      <c r="G13" s="65" t="s">
        <v>106</v>
      </c>
      <c r="H13" s="65" t="s">
        <v>537</v>
      </c>
      <c r="I13" s="65" t="s">
        <v>570</v>
      </c>
      <c r="J13" s="64"/>
    </row>
    <row r="14" spans="1:10">
      <c r="A14" s="64" t="s">
        <v>575</v>
      </c>
      <c r="B14" s="65" t="s">
        <v>576</v>
      </c>
      <c r="C14" s="65" t="s">
        <v>533</v>
      </c>
      <c r="D14" s="65" t="s">
        <v>577</v>
      </c>
      <c r="E14" s="65" t="s">
        <v>535</v>
      </c>
      <c r="F14" s="65" t="s">
        <v>578</v>
      </c>
      <c r="G14" s="65" t="s">
        <v>106</v>
      </c>
      <c r="H14" s="65" t="s">
        <v>579</v>
      </c>
      <c r="I14" s="65" t="s">
        <v>538</v>
      </c>
      <c r="J14" s="65" t="s">
        <v>539</v>
      </c>
    </row>
    <row r="15" spans="1:10">
      <c r="A15" s="64" t="s">
        <v>580</v>
      </c>
      <c r="B15" s="65" t="s">
        <v>581</v>
      </c>
      <c r="C15" s="65" t="s">
        <v>549</v>
      </c>
      <c r="D15" s="65" t="s">
        <v>582</v>
      </c>
      <c r="E15" s="65" t="s">
        <v>535</v>
      </c>
      <c r="F15" s="65" t="s">
        <v>583</v>
      </c>
      <c r="G15" s="65" t="s">
        <v>106</v>
      </c>
      <c r="H15" s="65" t="s">
        <v>537</v>
      </c>
      <c r="I15" s="65" t="s">
        <v>570</v>
      </c>
      <c r="J15" s="64"/>
    </row>
    <row r="16" spans="1:10">
      <c r="A16" s="64" t="s">
        <v>580</v>
      </c>
      <c r="B16" s="65" t="s">
        <v>584</v>
      </c>
      <c r="C16" s="65" t="s">
        <v>549</v>
      </c>
      <c r="D16" s="65" t="s">
        <v>582</v>
      </c>
      <c r="E16" s="65" t="s">
        <v>535</v>
      </c>
      <c r="F16" s="65" t="s">
        <v>583</v>
      </c>
      <c r="G16" s="65" t="s">
        <v>106</v>
      </c>
      <c r="H16" s="65" t="s">
        <v>555</v>
      </c>
      <c r="I16" s="64"/>
      <c r="J16" s="64"/>
    </row>
    <row r="17" spans="1:10">
      <c r="A17" s="64" t="s">
        <v>585</v>
      </c>
      <c r="B17" s="65" t="s">
        <v>586</v>
      </c>
      <c r="C17" s="65" t="s">
        <v>549</v>
      </c>
      <c r="D17" s="65" t="s">
        <v>587</v>
      </c>
      <c r="E17" s="65" t="s">
        <v>535</v>
      </c>
      <c r="F17" s="65" t="s">
        <v>588</v>
      </c>
      <c r="G17" s="65" t="s">
        <v>106</v>
      </c>
      <c r="H17" s="65" t="s">
        <v>589</v>
      </c>
      <c r="I17" s="64"/>
      <c r="J17" s="65" t="s">
        <v>590</v>
      </c>
    </row>
    <row r="18" spans="1:10" ht="26.4">
      <c r="A18" s="64" t="s">
        <v>591</v>
      </c>
      <c r="B18" s="65" t="s">
        <v>592</v>
      </c>
      <c r="C18" s="65" t="s">
        <v>533</v>
      </c>
      <c r="D18" s="65" t="s">
        <v>542</v>
      </c>
      <c r="E18" s="65" t="s">
        <v>535</v>
      </c>
      <c r="F18" s="65" t="s">
        <v>536</v>
      </c>
      <c r="G18" s="65" t="s">
        <v>106</v>
      </c>
      <c r="H18" s="65" t="s">
        <v>593</v>
      </c>
      <c r="I18" s="64"/>
      <c r="J18" s="64" t="s">
        <v>594</v>
      </c>
    </row>
    <row r="19" spans="1:10">
      <c r="A19" s="64" t="s">
        <v>595</v>
      </c>
      <c r="B19" s="65" t="s">
        <v>584</v>
      </c>
      <c r="C19" s="65" t="s">
        <v>549</v>
      </c>
      <c r="D19" s="65" t="s">
        <v>294</v>
      </c>
      <c r="E19" s="65" t="s">
        <v>535</v>
      </c>
      <c r="F19" s="65" t="s">
        <v>596</v>
      </c>
      <c r="G19" s="65" t="s">
        <v>106</v>
      </c>
      <c r="H19" s="65" t="s">
        <v>589</v>
      </c>
      <c r="I19" s="64"/>
      <c r="J19" s="64"/>
    </row>
    <row r="20" spans="1:10">
      <c r="A20" s="64" t="s">
        <v>597</v>
      </c>
      <c r="B20" s="65" t="s">
        <v>584</v>
      </c>
      <c r="C20" s="65" t="s">
        <v>533</v>
      </c>
      <c r="D20" s="65" t="s">
        <v>598</v>
      </c>
      <c r="E20" s="65" t="s">
        <v>535</v>
      </c>
      <c r="F20" s="65" t="s">
        <v>599</v>
      </c>
      <c r="G20" s="65" t="s">
        <v>106</v>
      </c>
      <c r="H20" s="65" t="s">
        <v>589</v>
      </c>
      <c r="I20" s="64"/>
      <c r="J20" s="64"/>
    </row>
    <row r="21" spans="1:10">
      <c r="A21" s="64" t="s">
        <v>600</v>
      </c>
      <c r="B21" s="65" t="s">
        <v>601</v>
      </c>
      <c r="C21" s="65" t="s">
        <v>549</v>
      </c>
      <c r="D21" s="65" t="s">
        <v>602</v>
      </c>
      <c r="E21" s="65" t="s">
        <v>543</v>
      </c>
      <c r="F21" s="65" t="s">
        <v>603</v>
      </c>
      <c r="G21" s="65" t="s">
        <v>106</v>
      </c>
      <c r="H21" s="65" t="s">
        <v>537</v>
      </c>
      <c r="I21" s="64"/>
      <c r="J21" s="64"/>
    </row>
    <row r="22" spans="1:10">
      <c r="A22" s="65" t="s">
        <v>604</v>
      </c>
      <c r="B22" s="65" t="s">
        <v>601</v>
      </c>
      <c r="C22" s="65" t="s">
        <v>549</v>
      </c>
      <c r="D22" s="65" t="s">
        <v>602</v>
      </c>
      <c r="E22" s="65" t="s">
        <v>535</v>
      </c>
      <c r="F22" s="65" t="s">
        <v>605</v>
      </c>
      <c r="G22" s="65" t="s">
        <v>106</v>
      </c>
      <c r="H22" s="65" t="s">
        <v>537</v>
      </c>
      <c r="I22" s="64"/>
      <c r="J22" s="64"/>
    </row>
    <row r="23" spans="1:10">
      <c r="A23" s="64" t="s">
        <v>606</v>
      </c>
      <c r="B23" s="65" t="s">
        <v>601</v>
      </c>
      <c r="C23" s="65" t="s">
        <v>533</v>
      </c>
      <c r="D23" s="65" t="s">
        <v>607</v>
      </c>
      <c r="E23" s="65" t="s">
        <v>535</v>
      </c>
      <c r="F23" s="65" t="s">
        <v>608</v>
      </c>
      <c r="G23" s="65" t="s">
        <v>106</v>
      </c>
      <c r="H23" s="65" t="s">
        <v>579</v>
      </c>
      <c r="I23" s="65" t="s">
        <v>570</v>
      </c>
      <c r="J23" s="64"/>
    </row>
    <row r="24" spans="1:10">
      <c r="A24" s="64" t="s">
        <v>609</v>
      </c>
      <c r="B24" s="65" t="s">
        <v>601</v>
      </c>
      <c r="C24" s="65" t="s">
        <v>549</v>
      </c>
      <c r="D24" s="65" t="s">
        <v>294</v>
      </c>
      <c r="E24" s="65" t="s">
        <v>535</v>
      </c>
      <c r="F24" s="65" t="s">
        <v>578</v>
      </c>
      <c r="G24" s="65" t="s">
        <v>106</v>
      </c>
      <c r="H24" s="65" t="s">
        <v>537</v>
      </c>
      <c r="I24" s="64"/>
      <c r="J24" s="65" t="s">
        <v>610</v>
      </c>
    </row>
    <row r="25" spans="1:10">
      <c r="A25" s="64" t="s">
        <v>611</v>
      </c>
      <c r="B25" s="65" t="s">
        <v>601</v>
      </c>
      <c r="C25" s="65" t="s">
        <v>533</v>
      </c>
      <c r="D25" s="65" t="s">
        <v>612</v>
      </c>
      <c r="E25" s="65" t="s">
        <v>535</v>
      </c>
      <c r="F25" s="65" t="s">
        <v>613</v>
      </c>
      <c r="G25" s="65" t="s">
        <v>106</v>
      </c>
      <c r="H25" s="65" t="s">
        <v>579</v>
      </c>
      <c r="I25" s="64"/>
      <c r="J25" s="64"/>
    </row>
    <row r="26" spans="1:10">
      <c r="A26" s="64" t="s">
        <v>614</v>
      </c>
      <c r="B26" s="65" t="s">
        <v>601</v>
      </c>
      <c r="C26" s="65" t="s">
        <v>533</v>
      </c>
      <c r="D26" s="65" t="s">
        <v>615</v>
      </c>
      <c r="E26" s="65" t="s">
        <v>551</v>
      </c>
      <c r="F26" s="65" t="s">
        <v>616</v>
      </c>
      <c r="G26" s="65" t="s">
        <v>106</v>
      </c>
      <c r="H26" s="65" t="s">
        <v>579</v>
      </c>
      <c r="I26" s="64"/>
      <c r="J26" s="64"/>
    </row>
    <row r="27" spans="1:10">
      <c r="A27" s="64" t="s">
        <v>617</v>
      </c>
      <c r="B27" s="65" t="s">
        <v>601</v>
      </c>
      <c r="C27" s="65" t="s">
        <v>533</v>
      </c>
      <c r="D27" s="65" t="s">
        <v>618</v>
      </c>
      <c r="E27" s="65" t="s">
        <v>535</v>
      </c>
      <c r="F27" s="65" t="s">
        <v>608</v>
      </c>
      <c r="G27" s="65" t="s">
        <v>106</v>
      </c>
      <c r="H27" s="65" t="s">
        <v>579</v>
      </c>
      <c r="I27" s="64"/>
      <c r="J27" s="64"/>
    </row>
    <row r="28" spans="1:10" ht="26.4">
      <c r="A28" s="64" t="s">
        <v>619</v>
      </c>
      <c r="B28" s="65" t="s">
        <v>620</v>
      </c>
      <c r="C28" s="65" t="s">
        <v>549</v>
      </c>
      <c r="D28" s="65" t="s">
        <v>294</v>
      </c>
      <c r="E28" s="65" t="s">
        <v>535</v>
      </c>
      <c r="F28" s="65" t="s">
        <v>621</v>
      </c>
      <c r="G28" s="65" t="s">
        <v>106</v>
      </c>
      <c r="H28" s="65" t="s">
        <v>622</v>
      </c>
      <c r="I28" s="64"/>
      <c r="J28" s="64"/>
    </row>
    <row r="29" spans="1:10">
      <c r="A29" s="64" t="s">
        <v>623</v>
      </c>
      <c r="B29" s="64" t="s">
        <v>624</v>
      </c>
      <c r="C29" s="65" t="s">
        <v>549</v>
      </c>
      <c r="D29" s="65" t="s">
        <v>291</v>
      </c>
      <c r="E29" s="65" t="s">
        <v>535</v>
      </c>
      <c r="F29" s="65" t="s">
        <v>625</v>
      </c>
      <c r="G29" s="65" t="s">
        <v>106</v>
      </c>
      <c r="H29" s="65" t="s">
        <v>626</v>
      </c>
      <c r="I29" s="64"/>
      <c r="J29" s="65" t="s">
        <v>627</v>
      </c>
    </row>
    <row r="30" spans="1:10">
      <c r="A30" s="64" t="s">
        <v>628</v>
      </c>
      <c r="B30" s="65" t="s">
        <v>629</v>
      </c>
      <c r="C30" s="65" t="s">
        <v>533</v>
      </c>
      <c r="D30" s="65" t="s">
        <v>106</v>
      </c>
      <c r="E30" s="65" t="s">
        <v>535</v>
      </c>
      <c r="F30" s="65" t="s">
        <v>106</v>
      </c>
      <c r="G30" s="65" t="s">
        <v>106</v>
      </c>
      <c r="H30" s="65" t="s">
        <v>593</v>
      </c>
      <c r="I30" s="64"/>
      <c r="J30" s="65" t="s">
        <v>630</v>
      </c>
    </row>
    <row r="31" spans="1:10" ht="52.8">
      <c r="A31" s="64" t="s">
        <v>631</v>
      </c>
      <c r="B31" s="65" t="s">
        <v>632</v>
      </c>
      <c r="C31" s="65" t="s">
        <v>106</v>
      </c>
      <c r="D31" s="65" t="s">
        <v>106</v>
      </c>
      <c r="E31" s="65" t="s">
        <v>106</v>
      </c>
      <c r="F31" s="65" t="s">
        <v>106</v>
      </c>
      <c r="G31" s="65" t="s">
        <v>106</v>
      </c>
      <c r="H31" s="64" t="s">
        <v>633</v>
      </c>
      <c r="I31" s="64"/>
      <c r="J31" s="64" t="s">
        <v>634</v>
      </c>
    </row>
    <row r="33" spans="1:1">
      <c r="A33" s="66" t="s">
        <v>635</v>
      </c>
    </row>
  </sheetData>
  <phoneticPr fontId="25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4"/>
  <sheetViews>
    <sheetView topLeftCell="A13" zoomScaleNormal="100" workbookViewId="0">
      <selection activeCell="C11" sqref="C11"/>
    </sheetView>
  </sheetViews>
  <sheetFormatPr defaultColWidth="8.5546875" defaultRowHeight="14.4"/>
  <cols>
    <col min="1" max="1" width="6" customWidth="1"/>
    <col min="2" max="2" width="60" customWidth="1"/>
    <col min="3" max="3" width="70" customWidth="1"/>
  </cols>
  <sheetData>
    <row r="1" spans="1:3" ht="15.6">
      <c r="A1" s="59" t="s">
        <v>636</v>
      </c>
    </row>
    <row r="3" spans="1:3">
      <c r="A3" s="67" t="s">
        <v>637</v>
      </c>
      <c r="B3" s="68" t="s">
        <v>638</v>
      </c>
      <c r="C3" s="68" t="s">
        <v>639</v>
      </c>
    </row>
    <row r="4" spans="1:3" ht="31.5" customHeight="1">
      <c r="A4" s="65" t="s">
        <v>500</v>
      </c>
      <c r="B4" s="65" t="s">
        <v>640</v>
      </c>
      <c r="C4" s="64" t="s">
        <v>641</v>
      </c>
    </row>
    <row r="5" spans="1:3" ht="31.5" customHeight="1">
      <c r="A5" s="65" t="s">
        <v>492</v>
      </c>
      <c r="B5" s="65" t="s">
        <v>642</v>
      </c>
      <c r="C5" s="64" t="s">
        <v>643</v>
      </c>
    </row>
    <row r="6" spans="1:3" ht="31.5" customHeight="1">
      <c r="A6" s="65" t="s">
        <v>473</v>
      </c>
      <c r="B6" s="65" t="s">
        <v>644</v>
      </c>
      <c r="C6" s="64" t="s">
        <v>645</v>
      </c>
    </row>
    <row r="7" spans="1:3" ht="31.5" customHeight="1">
      <c r="A7" s="65" t="s">
        <v>646</v>
      </c>
      <c r="B7" s="65" t="s">
        <v>647</v>
      </c>
      <c r="C7" s="64" t="s">
        <v>648</v>
      </c>
    </row>
    <row r="8" spans="1:3" ht="31.5" customHeight="1">
      <c r="A8" s="65" t="s">
        <v>649</v>
      </c>
      <c r="B8" s="65" t="s">
        <v>650</v>
      </c>
      <c r="C8" s="64" t="s">
        <v>651</v>
      </c>
    </row>
    <row r="9" spans="1:3" ht="31.5" customHeight="1">
      <c r="A9" s="65" t="s">
        <v>652</v>
      </c>
      <c r="B9" s="65" t="s">
        <v>653</v>
      </c>
      <c r="C9" s="65" t="s">
        <v>654</v>
      </c>
    </row>
    <row r="10" spans="1:3" ht="31.5" customHeight="1">
      <c r="A10" s="65" t="s">
        <v>655</v>
      </c>
      <c r="B10" s="65" t="s">
        <v>656</v>
      </c>
      <c r="C10" s="64" t="s">
        <v>657</v>
      </c>
    </row>
    <row r="11" spans="1:3" ht="31.5" customHeight="1">
      <c r="A11" s="65" t="s">
        <v>658</v>
      </c>
      <c r="B11" s="65" t="s">
        <v>659</v>
      </c>
      <c r="C11" s="64" t="s">
        <v>660</v>
      </c>
    </row>
    <row r="12" spans="1:3" ht="31.5" customHeight="1">
      <c r="A12" s="65" t="s">
        <v>661</v>
      </c>
      <c r="B12" s="65" t="s">
        <v>662</v>
      </c>
      <c r="C12" s="64" t="s">
        <v>663</v>
      </c>
    </row>
    <row r="13" spans="1:3" ht="31.5" customHeight="1">
      <c r="A13" s="65" t="s">
        <v>664</v>
      </c>
      <c r="B13" s="65" t="s">
        <v>665</v>
      </c>
      <c r="C13" s="64" t="s">
        <v>666</v>
      </c>
    </row>
    <row r="14" spans="1:3" ht="31.5" customHeight="1">
      <c r="A14" s="65" t="s">
        <v>667</v>
      </c>
      <c r="B14" s="65" t="s">
        <v>668</v>
      </c>
      <c r="C14" s="65" t="s">
        <v>669</v>
      </c>
    </row>
    <row r="15" spans="1:3" ht="31.5" customHeight="1">
      <c r="A15" s="65" t="s">
        <v>670</v>
      </c>
      <c r="B15" s="65" t="s">
        <v>671</v>
      </c>
      <c r="C15" s="64" t="s">
        <v>672</v>
      </c>
    </row>
    <row r="16" spans="1:3" ht="31.5" customHeight="1">
      <c r="A16" s="65" t="s">
        <v>673</v>
      </c>
      <c r="B16" s="65" t="s">
        <v>674</v>
      </c>
      <c r="C16" s="64" t="s">
        <v>675</v>
      </c>
    </row>
    <row r="17" spans="1:3" ht="31.5" customHeight="1">
      <c r="A17" s="65" t="s">
        <v>676</v>
      </c>
      <c r="B17" s="65" t="s">
        <v>677</v>
      </c>
      <c r="C17" s="64" t="s">
        <v>678</v>
      </c>
    </row>
    <row r="19" spans="1:3">
      <c r="B19" s="24" t="s">
        <v>679</v>
      </c>
    </row>
    <row r="20" spans="1:3" ht="30" customHeight="1">
      <c r="B20" s="74" t="s">
        <v>680</v>
      </c>
      <c r="C20" s="74"/>
    </row>
    <row r="21" spans="1:3" ht="30" customHeight="1">
      <c r="B21" s="74" t="s">
        <v>681</v>
      </c>
      <c r="C21" s="74"/>
    </row>
    <row r="22" spans="1:3" ht="30" customHeight="1">
      <c r="B22" s="74" t="s">
        <v>682</v>
      </c>
      <c r="C22" s="74"/>
    </row>
    <row r="23" spans="1:3" ht="30" customHeight="1">
      <c r="B23" s="74" t="s">
        <v>683</v>
      </c>
      <c r="C23" s="74"/>
    </row>
    <row r="24" spans="1:3" ht="30" customHeight="1">
      <c r="B24" s="74" t="s">
        <v>684</v>
      </c>
      <c r="C24" s="74"/>
    </row>
  </sheetData>
  <mergeCells count="5">
    <mergeCell ref="B20:C20"/>
    <mergeCell ref="B21:C21"/>
    <mergeCell ref="B22:C22"/>
    <mergeCell ref="B23:C23"/>
    <mergeCell ref="B24:C24"/>
  </mergeCells>
  <phoneticPr fontId="25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人員一覧・判定</vt:lpstr>
      <vt:lpstr>動態表(日別)</vt:lpstr>
      <vt:lpstr>27Oct(Day0)</vt:lpstr>
      <vt:lpstr>28Oct(Day1)</vt:lpstr>
      <vt:lpstr>29Oct(Day2)</vt:lpstr>
      <vt:lpstr>30Oct(Day3)</vt:lpstr>
      <vt:lpstr>人員ギャップ分析</vt:lpstr>
      <vt:lpstr>参加者到着・出発(8月28日時点)</vt:lpstr>
      <vt:lpstr>出典・前提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ARAKIDA 荒木田</cp:lastModifiedBy>
  <cp:revision>0</cp:revision>
  <dcterms:created xsi:type="dcterms:W3CDTF">2026-09-04T02:17:32Z</dcterms:created>
  <dcterms:modified xsi:type="dcterms:W3CDTF">2026-09-04T03:20:11Z</dcterms:modified>
  <dc:language>en-US</dc:language>
</cp:coreProperties>
</file>