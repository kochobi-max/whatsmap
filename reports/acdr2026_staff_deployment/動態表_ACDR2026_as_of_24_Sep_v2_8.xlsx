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出典・前提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4E78"/>
      <sz val="14"/>
    </font>
    <font>
      <name val="WenQuanYi Zen Hei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WenQuanYi Zen Hei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WenQuanYi Zen Hei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WenQuanYi Zen Hei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charset val="1"/>
      <family val="0"/>
      <sz val="8"/>
    </font>
    <font>
      <name val="WenQuanYi Zen Hei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charset val="1"/>
      <family val="0"/>
      <b val="1"/>
      <color rgb="FF1F4E78"/>
      <sz val="13"/>
    </font>
    <font>
      <name val="WenQuanYi Zen Hei"/>
      <family val="2"/>
      <b val="1"/>
      <color rgb="FF1F4E78"/>
      <sz val="13"/>
    </font>
    <font>
      <name val="Arial"/>
      <charset val="1"/>
      <family val="0"/>
      <b val="1"/>
      <color rgb="FFFFFFFF"/>
      <sz val="10"/>
    </font>
    <font>
      <name val="WenQuanYi Zen Hei"/>
      <family val="2"/>
      <b val="1"/>
      <color rgb="FFFFFFFF"/>
      <sz val="10"/>
    </font>
    <font>
      <name val="Arial"/>
      <charset val="1"/>
      <family val="0"/>
      <sz val="9"/>
    </font>
    <font>
      <name val="WenQuanYi Zen Hei"/>
      <charset val="1"/>
      <family val="2"/>
      <sz val="9"/>
    </font>
    <font>
      <name val="WenQuanYi Zen Hei"/>
      <family val="2"/>
      <sz val="9"/>
    </font>
    <font>
      <name val="WenQuanYi Zen Hei"/>
      <charset val="1"/>
      <family val="2"/>
      <b val="1"/>
      <sz val="10"/>
    </font>
    <font>
      <name val="Arial"/>
      <charset val="1"/>
      <family val="0"/>
      <b val="1"/>
      <sz val="9"/>
    </font>
    <font>
      <name val="Arial"/>
      <charset val="1"/>
      <family val="2"/>
      <color rgb="FFC00000"/>
      <sz val="9"/>
    </font>
    <font>
      <name val="WenQuanYi Zen Hei"/>
      <family val="2"/>
      <color rgb="FFC00000"/>
      <sz val="9"/>
    </font>
  </fonts>
  <fills count="1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23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general" vertical="top" wrapText="1"/>
    </xf>
    <xf numFmtId="0" fontId="26" fillId="10" borderId="0" applyAlignment="1" pivotButton="0" quotePrefix="0" xfId="0">
      <alignment horizontal="general" vertical="top" wrapText="1"/>
    </xf>
    <xf numFmtId="0" fontId="25" fillId="10" borderId="0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5" fillId="11" borderId="1" applyAlignment="1" pivotButton="0" quotePrefix="0" xfId="0">
      <alignment horizontal="general" vertical="top" wrapText="1"/>
    </xf>
    <xf numFmtId="0" fontId="25" fillId="12" borderId="1" applyAlignment="1" pivotButton="0" quotePrefix="0" xfId="0">
      <alignment horizontal="general" vertical="top" wrapText="1"/>
    </xf>
    <xf numFmtId="0" fontId="26" fillId="12" borderId="1" applyAlignment="1" pivotButton="0" quotePrefix="0" xfId="0">
      <alignment horizontal="general" vertical="top" wrapText="1"/>
    </xf>
    <xf numFmtId="0" fontId="26" fillId="10" borderId="1" applyAlignment="1" pivotButton="0" quotePrefix="0" xfId="0">
      <alignment horizontal="general" vertical="top" wrapText="1"/>
    </xf>
    <xf numFmtId="0" fontId="25" fillId="13" borderId="1" applyAlignment="1" pivotButton="0" quotePrefix="0" xfId="0">
      <alignment horizontal="general" vertical="top" wrapText="1"/>
    </xf>
    <xf numFmtId="0" fontId="25" fillId="10" borderId="1" applyAlignment="1" pivotButton="0" quotePrefix="0" xfId="0">
      <alignment horizontal="general" vertical="top" wrapText="1"/>
    </xf>
    <xf numFmtId="0" fontId="26" fillId="14" borderId="1" applyAlignment="1" pivotButton="0" quotePrefix="0" xfId="0">
      <alignment horizontal="general" vertical="top" wrapText="1"/>
    </xf>
    <xf numFmtId="0" fontId="26" fillId="13" borderId="1" applyAlignment="1" pivotButton="0" quotePrefix="0" xfId="0">
      <alignment horizontal="general" vertical="top" wrapText="1"/>
    </xf>
    <xf numFmtId="0" fontId="25" fillId="15" borderId="1" applyAlignment="1" pivotButton="0" quotePrefix="0" xfId="0">
      <alignment horizontal="general" vertical="top" wrapText="1"/>
    </xf>
    <xf numFmtId="0" fontId="26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bottom" wrapText="1"/>
    </xf>
    <xf numFmtId="0" fontId="26" fillId="15" borderId="1" applyAlignment="1" pivotButton="0" quotePrefix="0" xfId="0">
      <alignment horizontal="general" vertical="top" wrapText="1"/>
    </xf>
    <xf numFmtId="0" fontId="25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 wrapText="1"/>
    </xf>
    <xf numFmtId="0" fontId="26" fillId="4" borderId="1" applyAlignment="1" pivotButton="0" quotePrefix="0" xfId="0">
      <alignment horizontal="general" vertical="top" wrapText="1"/>
    </xf>
    <xf numFmtId="0" fontId="27" fillId="15" borderId="1" applyAlignment="1" pivotButton="0" quotePrefix="0" xfId="0">
      <alignment horizontal="general" vertical="top" wrapText="1"/>
    </xf>
    <xf numFmtId="0" fontId="13" fillId="7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 wrapText="1"/>
    </xf>
    <xf numFmtId="0" fontId="25" fillId="16" borderId="1" applyAlignment="1" pivotButton="0" quotePrefix="0" xfId="0">
      <alignment horizontal="general" vertical="top" wrapText="1"/>
    </xf>
    <xf numFmtId="0" fontId="26" fillId="16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general" vertical="bottom"/>
    </xf>
    <xf numFmtId="0" fontId="26" fillId="10" borderId="1" applyAlignment="1" pivotButton="0" quotePrefix="0" xfId="0">
      <alignment horizontal="general" vertical="center"/>
    </xf>
    <xf numFmtId="0" fontId="26" fillId="10" borderId="0" applyAlignment="1" pivotButton="0" quotePrefix="0" xfId="0">
      <alignment horizontal="general" vertical="center"/>
    </xf>
    <xf numFmtId="0" fontId="26" fillId="14" borderId="1" applyAlignment="1" pivotButton="0" quotePrefix="0" xfId="0">
      <alignment horizontal="general" vertical="center"/>
    </xf>
    <xf numFmtId="0" fontId="26" fillId="12" borderId="1" applyAlignment="1" pivotButton="0" quotePrefix="0" xfId="0">
      <alignment horizontal="general" vertical="center"/>
    </xf>
    <xf numFmtId="0" fontId="26" fillId="16" borderId="1" applyAlignment="1" pivotButton="0" quotePrefix="0" xfId="0">
      <alignment horizontal="general" vertical="center"/>
    </xf>
    <xf numFmtId="0" fontId="25" fillId="16" borderId="1" applyAlignment="1" pivotButton="0" quotePrefix="0" xfId="0">
      <alignment horizontal="general" vertical="center"/>
    </xf>
    <xf numFmtId="0" fontId="26" fillId="15" borderId="1" applyAlignment="1" pivotButton="0" quotePrefix="0" xfId="0">
      <alignment horizontal="general" vertical="center"/>
    </xf>
    <xf numFmtId="0" fontId="25" fillId="15" borderId="1" applyAlignment="1" pivotButton="0" quotePrefix="0" xfId="0">
      <alignment horizontal="general" vertical="center"/>
    </xf>
    <xf numFmtId="0" fontId="30" fillId="7" borderId="1" applyAlignment="1" pivotButton="0" quotePrefix="0" xfId="0">
      <alignment horizontal="general" vertical="bottom" wrapText="1"/>
    </xf>
    <xf numFmtId="0" fontId="31" fillId="16" borderId="1" applyAlignment="1" pivotButton="0" quotePrefix="0" xfId="0">
      <alignment horizontal="general" vertical="center"/>
    </xf>
    <xf numFmtId="0" fontId="31" fillId="12" borderId="1" applyAlignment="1" pivotButton="0" quotePrefix="0" xfId="0">
      <alignment horizontal="general" vertical="center"/>
    </xf>
    <xf numFmtId="0" fontId="32" fillId="12" borderId="1" applyAlignment="1" pivotButton="0" quotePrefix="0" xfId="0">
      <alignment horizontal="general" vertical="center"/>
    </xf>
    <xf numFmtId="0" fontId="31" fillId="10" borderId="1" applyAlignment="1" pivotButton="0" quotePrefix="0" xfId="0">
      <alignment horizontal="general" vertical="center"/>
    </xf>
    <xf numFmtId="0" fontId="29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top" wrapText="1"/>
    </xf>
    <xf numFmtId="0" fontId="36" fillId="2" borderId="0" applyAlignment="1" pivotButton="0" quotePrefix="0" xfId="0">
      <alignment horizontal="general" vertical="bottom"/>
    </xf>
    <xf numFmtId="0" fontId="37" fillId="16" borderId="1" applyAlignment="1" pivotButton="0" quotePrefix="0" xfId="0">
      <alignment horizontal="general" vertical="center"/>
    </xf>
    <xf numFmtId="0" fontId="31" fillId="4" borderId="1" applyAlignment="1" pivotButton="0" quotePrefix="0" xfId="0">
      <alignment horizontal="general" vertical="center"/>
    </xf>
    <xf numFmtId="0" fontId="37" fillId="4" borderId="1" applyAlignment="1" pivotButton="0" quotePrefix="0" xfId="0">
      <alignment horizontal="general" vertical="center"/>
    </xf>
    <xf numFmtId="0" fontId="25" fillId="10" borderId="1" applyAlignment="1" pivotButton="0" quotePrefix="0" xfId="0">
      <alignment horizontal="general" vertical="center"/>
    </xf>
    <xf numFmtId="0" fontId="25" fillId="10" borderId="0" applyAlignment="1" pivotButton="0" quotePrefix="0" xfId="0">
      <alignment horizontal="general" vertical="center"/>
    </xf>
    <xf numFmtId="0" fontId="25" fillId="14" borderId="1" applyAlignment="1" pivotButton="0" quotePrefix="0" xfId="0">
      <alignment horizontal="general" vertical="center"/>
    </xf>
    <xf numFmtId="0" fontId="25" fillId="13" borderId="1" applyAlignment="1" pivotButton="0" quotePrefix="0" xfId="0">
      <alignment horizontal="general" vertical="center"/>
    </xf>
    <xf numFmtId="0" fontId="25" fillId="12" borderId="1" applyAlignment="1" pivotButton="0" quotePrefix="0" xfId="0">
      <alignment horizontal="general" vertical="center"/>
    </xf>
    <xf numFmtId="0" fontId="38" fillId="15" borderId="1" applyAlignment="1" pivotButton="0" quotePrefix="0" xfId="0">
      <alignment horizontal="general" vertical="center"/>
    </xf>
    <xf numFmtId="0" fontId="32" fillId="13" borderId="1" applyAlignment="1" pivotButton="0" quotePrefix="0" xfId="0">
      <alignment horizontal="general" vertical="center"/>
    </xf>
    <xf numFmtId="0" fontId="32" fillId="10" borderId="1" applyAlignment="1" pivotButton="0" quotePrefix="0" xfId="0">
      <alignment horizontal="general" vertical="center"/>
    </xf>
    <xf numFmtId="0" fontId="26" fillId="13" borderId="1" applyAlignment="1" pivotButton="0" quotePrefix="0" xfId="0">
      <alignment horizontal="general" vertical="center"/>
    </xf>
    <xf numFmtId="0" fontId="25" fillId="17" borderId="1" applyAlignment="1" pivotButton="0" quotePrefix="0" xfId="0">
      <alignment horizontal="general" vertical="center"/>
    </xf>
    <xf numFmtId="0" fontId="0" fillId="8" borderId="0" applyAlignment="1" pivotButton="0" quotePrefix="0" xfId="0">
      <alignment horizontal="general" vertical="bottom"/>
    </xf>
    <xf numFmtId="0" fontId="38" fillId="12" borderId="1" applyAlignment="1" pivotButton="0" quotePrefix="0" xfId="0">
      <alignment horizontal="general" vertical="center"/>
    </xf>
    <xf numFmtId="0" fontId="31" fillId="15" borderId="1" applyAlignment="1" pivotButton="0" quotePrefix="0" xfId="0">
      <alignment horizontal="general" vertical="center"/>
    </xf>
    <xf numFmtId="0" fontId="32" fillId="17" borderId="1" applyAlignment="1" pivotButton="0" quotePrefix="0" xfId="0">
      <alignment horizontal="general" vertical="center"/>
    </xf>
    <xf numFmtId="0" fontId="26" fillId="17" borderId="1" applyAlignment="1" pivotButton="0" quotePrefix="0" xfId="0">
      <alignment horizontal="general" vertical="center"/>
    </xf>
    <xf numFmtId="0" fontId="26" fillId="11" borderId="1" applyAlignment="1" pivotButton="0" quotePrefix="0" xfId="0">
      <alignment horizontal="general" vertical="center"/>
    </xf>
    <xf numFmtId="0" fontId="32" fillId="15" borderId="1" applyAlignment="1" pivotButton="0" quotePrefix="0" xfId="0">
      <alignment horizontal="general" vertical="center"/>
    </xf>
    <xf numFmtId="0" fontId="31" fillId="11" borderId="1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1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bottom"/>
    </xf>
    <xf numFmtId="0" fontId="44" fillId="2" borderId="1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general" vertical="top" wrapText="1"/>
    </xf>
    <xf numFmtId="0" fontId="47" fillId="9" borderId="1" applyAlignment="1" pivotButton="0" quotePrefix="0" xfId="0">
      <alignment horizontal="general" vertical="top" wrapText="1"/>
    </xf>
    <xf numFmtId="0" fontId="47" fillId="4" borderId="1" applyAlignment="1" pivotButton="0" quotePrefix="0" xfId="0">
      <alignment horizontal="center" vertical="top"/>
    </xf>
    <xf numFmtId="0" fontId="46" fillId="0" borderId="1" applyAlignment="1" pivotButton="0" quotePrefix="0" xfId="0">
      <alignment horizontal="general" vertical="top" wrapText="1"/>
    </xf>
    <xf numFmtId="0" fontId="47" fillId="0" borderId="1" applyAlignment="1" pivotButton="0" quotePrefix="0" xfId="0">
      <alignment horizontal="general" vertical="top" wrapText="1"/>
    </xf>
    <xf numFmtId="0" fontId="47" fillId="6" borderId="1" applyAlignment="1" pivotButton="0" quotePrefix="0" xfId="0">
      <alignment horizontal="center" vertical="top"/>
    </xf>
    <xf numFmtId="0" fontId="49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5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23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general" vertical="top" wrapText="1"/>
    </xf>
    <xf numFmtId="0" fontId="26" fillId="10" borderId="0" applyAlignment="1" pivotButton="0" quotePrefix="0" xfId="0">
      <alignment horizontal="general" vertical="top" wrapText="1"/>
    </xf>
    <xf numFmtId="0" fontId="25" fillId="10" borderId="0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5" fillId="11" borderId="1" applyAlignment="1" pivotButton="0" quotePrefix="0" xfId="0">
      <alignment horizontal="general" vertical="top" wrapText="1"/>
    </xf>
    <xf numFmtId="0" fontId="25" fillId="12" borderId="1" applyAlignment="1" pivotButton="0" quotePrefix="0" xfId="0">
      <alignment horizontal="general" vertical="top" wrapText="1"/>
    </xf>
    <xf numFmtId="0" fontId="26" fillId="12" borderId="1" applyAlignment="1" pivotButton="0" quotePrefix="0" xfId="0">
      <alignment horizontal="general" vertical="top" wrapText="1"/>
    </xf>
    <xf numFmtId="0" fontId="26" fillId="10" borderId="1" applyAlignment="1" pivotButton="0" quotePrefix="0" xfId="0">
      <alignment horizontal="general" vertical="top" wrapText="1"/>
    </xf>
    <xf numFmtId="0" fontId="25" fillId="13" borderId="1" applyAlignment="1" pivotButton="0" quotePrefix="0" xfId="0">
      <alignment horizontal="general" vertical="top" wrapText="1"/>
    </xf>
    <xf numFmtId="0" fontId="25" fillId="10" borderId="1" applyAlignment="1" pivotButton="0" quotePrefix="0" xfId="0">
      <alignment horizontal="general" vertical="top" wrapText="1"/>
    </xf>
    <xf numFmtId="0" fontId="26" fillId="14" borderId="1" applyAlignment="1" pivotButton="0" quotePrefix="0" xfId="0">
      <alignment horizontal="general" vertical="top" wrapText="1"/>
    </xf>
    <xf numFmtId="0" fontId="26" fillId="13" borderId="1" applyAlignment="1" pivotButton="0" quotePrefix="0" xfId="0">
      <alignment horizontal="general" vertical="top" wrapText="1"/>
    </xf>
    <xf numFmtId="0" fontId="25" fillId="15" borderId="1" applyAlignment="1" pivotButton="0" quotePrefix="0" xfId="0">
      <alignment horizontal="general" vertical="top" wrapText="1"/>
    </xf>
    <xf numFmtId="0" fontId="26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bottom" wrapText="1"/>
    </xf>
    <xf numFmtId="0" fontId="26" fillId="15" borderId="1" applyAlignment="1" pivotButton="0" quotePrefix="0" xfId="0">
      <alignment horizontal="general" vertical="top" wrapText="1"/>
    </xf>
    <xf numFmtId="0" fontId="25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 wrapText="1"/>
    </xf>
    <xf numFmtId="0" fontId="26" fillId="4" borderId="1" applyAlignment="1" pivotButton="0" quotePrefix="0" xfId="0">
      <alignment horizontal="general" vertical="top" wrapText="1"/>
    </xf>
    <xf numFmtId="0" fontId="27" fillId="15" borderId="1" applyAlignment="1" pivotButton="0" quotePrefix="0" xfId="0">
      <alignment horizontal="general" vertical="top" wrapText="1"/>
    </xf>
    <xf numFmtId="0" fontId="13" fillId="7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 wrapText="1"/>
    </xf>
    <xf numFmtId="0" fontId="25" fillId="16" borderId="1" applyAlignment="1" pivotButton="0" quotePrefix="0" xfId="0">
      <alignment horizontal="general" vertical="top" wrapText="1"/>
    </xf>
    <xf numFmtId="0" fontId="26" fillId="16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general" vertical="bottom"/>
    </xf>
    <xf numFmtId="0" fontId="26" fillId="10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26" fillId="10" borderId="0" applyAlignment="1" pivotButton="0" quotePrefix="0" xfId="0">
      <alignment horizontal="general" vertical="center"/>
    </xf>
    <xf numFmtId="0" fontId="26" fillId="14" borderId="1" applyAlignment="1" pivotButton="0" quotePrefix="0" xfId="0">
      <alignment horizontal="general" vertical="center"/>
    </xf>
    <xf numFmtId="0" fontId="26" fillId="12" borderId="1" applyAlignment="1" pivotButton="0" quotePrefix="0" xfId="0">
      <alignment horizontal="general" vertical="center"/>
    </xf>
    <xf numFmtId="0" fontId="26" fillId="16" borderId="1" applyAlignment="1" pivotButton="0" quotePrefix="0" xfId="0">
      <alignment horizontal="general" vertical="center"/>
    </xf>
    <xf numFmtId="0" fontId="25" fillId="16" borderId="1" applyAlignment="1" pivotButton="0" quotePrefix="0" xfId="0">
      <alignment horizontal="general" vertical="center"/>
    </xf>
    <xf numFmtId="0" fontId="26" fillId="15" borderId="1" applyAlignment="1" pivotButton="0" quotePrefix="0" xfId="0">
      <alignment horizontal="general" vertical="center"/>
    </xf>
    <xf numFmtId="0" fontId="25" fillId="15" borderId="1" applyAlignment="1" pivotButton="0" quotePrefix="0" xfId="0">
      <alignment horizontal="general" vertical="center"/>
    </xf>
    <xf numFmtId="0" fontId="30" fillId="7" borderId="1" applyAlignment="1" pivotButton="0" quotePrefix="0" xfId="0">
      <alignment horizontal="general" vertical="bottom" wrapText="1"/>
    </xf>
    <xf numFmtId="0" fontId="31" fillId="16" borderId="1" applyAlignment="1" pivotButton="0" quotePrefix="0" xfId="0">
      <alignment horizontal="general" vertical="center"/>
    </xf>
    <xf numFmtId="0" fontId="31" fillId="12" borderId="1" applyAlignment="1" pivotButton="0" quotePrefix="0" xfId="0">
      <alignment horizontal="general" vertical="center"/>
    </xf>
    <xf numFmtId="0" fontId="32" fillId="12" borderId="1" applyAlignment="1" pivotButton="0" quotePrefix="0" xfId="0">
      <alignment horizontal="general" vertical="center"/>
    </xf>
    <xf numFmtId="0" fontId="31" fillId="10" borderId="1" applyAlignment="1" pivotButton="0" quotePrefix="0" xfId="0">
      <alignment horizontal="general" vertical="center"/>
    </xf>
    <xf numFmtId="0" fontId="29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top" wrapText="1"/>
    </xf>
    <xf numFmtId="0" fontId="36" fillId="2" borderId="0" applyAlignment="1" pivotButton="0" quotePrefix="0" xfId="0">
      <alignment horizontal="general" vertical="bottom"/>
    </xf>
    <xf numFmtId="0" fontId="37" fillId="16" borderId="1" applyAlignment="1" pivotButton="0" quotePrefix="0" xfId="0">
      <alignment horizontal="general" vertical="center"/>
    </xf>
    <xf numFmtId="0" fontId="31" fillId="4" borderId="1" applyAlignment="1" pivotButton="0" quotePrefix="0" xfId="0">
      <alignment horizontal="general" vertical="center"/>
    </xf>
    <xf numFmtId="0" fontId="37" fillId="4" borderId="1" applyAlignment="1" pivotButton="0" quotePrefix="0" xfId="0">
      <alignment horizontal="general" vertical="center"/>
    </xf>
    <xf numFmtId="0" fontId="25" fillId="10" borderId="1" applyAlignment="1" pivotButton="0" quotePrefix="0" xfId="0">
      <alignment horizontal="general" vertical="center"/>
    </xf>
    <xf numFmtId="0" fontId="25" fillId="10" borderId="0" applyAlignment="1" pivotButton="0" quotePrefix="0" xfId="0">
      <alignment horizontal="general" vertical="center"/>
    </xf>
    <xf numFmtId="0" fontId="25" fillId="14" borderId="1" applyAlignment="1" pivotButton="0" quotePrefix="0" xfId="0">
      <alignment horizontal="general" vertical="center"/>
    </xf>
    <xf numFmtId="0" fontId="25" fillId="13" borderId="1" applyAlignment="1" pivotButton="0" quotePrefix="0" xfId="0">
      <alignment horizontal="general" vertical="center"/>
    </xf>
    <xf numFmtId="0" fontId="25" fillId="12" borderId="1" applyAlignment="1" pivotButton="0" quotePrefix="0" xfId="0">
      <alignment horizontal="general" vertical="center"/>
    </xf>
    <xf numFmtId="0" fontId="38" fillId="15" borderId="1" applyAlignment="1" pivotButton="0" quotePrefix="0" xfId="0">
      <alignment horizontal="general" vertical="center"/>
    </xf>
    <xf numFmtId="0" fontId="32" fillId="13" borderId="1" applyAlignment="1" pivotButton="0" quotePrefix="0" xfId="0">
      <alignment horizontal="general" vertical="center"/>
    </xf>
    <xf numFmtId="0" fontId="32" fillId="10" borderId="1" applyAlignment="1" pivotButton="0" quotePrefix="0" xfId="0">
      <alignment horizontal="general" vertical="center"/>
    </xf>
    <xf numFmtId="0" fontId="26" fillId="13" borderId="1" applyAlignment="1" pivotButton="0" quotePrefix="0" xfId="0">
      <alignment horizontal="general" vertical="center"/>
    </xf>
    <xf numFmtId="0" fontId="25" fillId="17" borderId="1" applyAlignment="1" pivotButton="0" quotePrefix="0" xfId="0">
      <alignment horizontal="general" vertical="center"/>
    </xf>
    <xf numFmtId="0" fontId="0" fillId="8" borderId="0" applyAlignment="1" pivotButton="0" quotePrefix="0" xfId="0">
      <alignment horizontal="general" vertical="bottom"/>
    </xf>
    <xf numFmtId="0" fontId="38" fillId="12" borderId="1" applyAlignment="1" pivotButton="0" quotePrefix="0" xfId="0">
      <alignment horizontal="general" vertical="center"/>
    </xf>
    <xf numFmtId="0" fontId="31" fillId="15" borderId="1" applyAlignment="1" pivotButton="0" quotePrefix="0" xfId="0">
      <alignment horizontal="general" vertical="center"/>
    </xf>
    <xf numFmtId="0" fontId="32" fillId="17" borderId="1" applyAlignment="1" pivotButton="0" quotePrefix="0" xfId="0">
      <alignment horizontal="general" vertical="center"/>
    </xf>
    <xf numFmtId="0" fontId="26" fillId="17" borderId="1" applyAlignment="1" pivotButton="0" quotePrefix="0" xfId="0">
      <alignment horizontal="general" vertical="center"/>
    </xf>
    <xf numFmtId="0" fontId="26" fillId="11" borderId="1" applyAlignment="1" pivotButton="0" quotePrefix="0" xfId="0">
      <alignment horizontal="general" vertical="center"/>
    </xf>
    <xf numFmtId="0" fontId="32" fillId="15" borderId="1" applyAlignment="1" pivotButton="0" quotePrefix="0" xfId="0">
      <alignment horizontal="general" vertical="center"/>
    </xf>
    <xf numFmtId="0" fontId="31" fillId="11" borderId="1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1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bottom"/>
    </xf>
    <xf numFmtId="0" fontId="44" fillId="2" borderId="1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general" vertical="top" wrapText="1"/>
    </xf>
    <xf numFmtId="0" fontId="47" fillId="9" borderId="1" applyAlignment="1" pivotButton="0" quotePrefix="0" xfId="0">
      <alignment horizontal="general" vertical="top" wrapText="1"/>
    </xf>
    <xf numFmtId="0" fontId="47" fillId="4" borderId="1" applyAlignment="1" pivotButton="0" quotePrefix="0" xfId="0">
      <alignment horizontal="center" vertical="top"/>
    </xf>
    <xf numFmtId="0" fontId="46" fillId="0" borderId="1" applyAlignment="1" pivotButton="0" quotePrefix="0" xfId="0">
      <alignment horizontal="general" vertical="top" wrapText="1"/>
    </xf>
    <xf numFmtId="0" fontId="47" fillId="0" borderId="1" applyAlignment="1" pivotButton="0" quotePrefix="0" xfId="0">
      <alignment horizontal="general" vertical="top" wrapText="1"/>
    </xf>
    <xf numFmtId="0" fontId="47" fillId="6" borderId="1" applyAlignment="1" pivotButton="0" quotePrefix="0" xfId="0">
      <alignment horizontal="center" vertical="top"/>
    </xf>
    <xf numFmtId="0" fontId="49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5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baseColWidth="8" defaultColWidth="8.55859375" defaultRowHeight="14.25" zeroHeight="0" outlineLevelRow="0"/>
  <cols>
    <col width="5" customWidth="1" style="122" min="1" max="1"/>
    <col width="12" customWidth="1" style="122" min="2" max="2"/>
    <col width="18" customWidth="1" style="122" min="3" max="3"/>
    <col width="15.56" customWidth="1" style="122" min="4" max="4"/>
    <col width="13.11" customWidth="1" style="122" min="5" max="5"/>
    <col width="24.67" customWidth="1" style="122" min="6" max="7"/>
    <col width="19" customWidth="1" style="122" min="8" max="8"/>
    <col width="36" customWidth="1" style="122" min="9" max="9"/>
    <col width="44" customWidth="1" style="122" min="10" max="10"/>
    <col width="32" customWidth="1" style="122" min="11" max="11"/>
  </cols>
  <sheetData>
    <row r="1" ht="17.25" customHeight="1" s="123">
      <c r="A1" s="124" t="inlineStr">
        <is>
          <t>SIDEX-ACDR2026（シンガポール, 2026/10/27-30）ADRC派遣スタッフ一覧と判定</t>
        </is>
      </c>
    </row>
    <row r="2" ht="30" customHeight="1" s="123">
      <c r="A2" s="125" t="inlineStr">
        <is>
          <t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／v2_1（9/4）: 藤本・塩見の本人承諾を反映し「確定」に。ドレスコードとCOSEMとの役割分担を「COSEM協議事項」シートに整理／v2_2（9/6）: 宮木・児玉の10/25泊が必要と確認（25日23:40着、荒木田 9/6 WhatsApp）。JAXA登壇者＝川北氏で確定。次回COSEM合同会議は第5回（9/15オンライン、Sylvia 6/18・内閣府8/31資料）に訂正／v2_3（9/6）: WhatsApp「ACDR2026 Coordination Team」（6/15–9/2）の要点を反映。Peridot 202-205拡張（8/24）、会場無償（8/25）、コーヒーブレイクOption 1（8/26）、LTC Yong Kai（司会・モデレーター 7/30）、Field Trip帰着17:00・パレード18:00着席（8/26）、無料パス13名承認待ち、Gala挨拶枠・MOU・日本パビリオンをプログラム項目（G）として追加／v2_4（9/6）: 吉田のフライトをフィンエアー（AY1534/AY131 10/26 18:40着、AY132/AY1531 10/30 22:05発）に変更（吉田 9/6 メール）／v2_5（9/7）: 藤本・塩見を10/26夜in・10/30夜outで確定（荒木田）。Hotel Miに空きがなければ周辺ホテルを追加手配。10/31朝の見送り・清算は藤中・田中の2名で対応することを許容　【v2_6 (2026/9/9)】8/26版アジェンダ（Draft Agenda EN 0826）と突合し、27日レセプションを19:00-21:00に修正。テクニカルセッションはEOS-NTU不参加確定によりBRINへ切替（9/7）。　【v2_7 (2026/9/24)】9/17-9/24のメール・WhatsApp・9/18週次会議で更新。TSモデレーター確定（LTC Chen Yong Kai）、会場 Peridot 201-203 確定・U字28席案を9/24にCOSEMへ提案、フィールドトリップ 13:00発-16:15着、招待状v2・コンセプトノートrev1.2を池田と確認済み、Day 1 前倒しは日本パビリオン所要時間次第。　【v2_8 (2026/9/24)】森口を削除（現地不参加）。塩見のTG便（9/9発注依頼）を反映。藤本はスクートTR819/TR818（WhatsApp 9/24）。</t>
        </is>
      </c>
    </row>
    <row r="4" ht="26.25" customHeight="1" s="123">
      <c r="A4" s="126" t="inlineStr">
        <is>
          <t>No.</t>
        </is>
      </c>
      <c r="B4" s="127" t="inlineStr">
        <is>
          <t>氏名</t>
        </is>
      </c>
      <c r="C4" s="126" t="inlineStr">
        <is>
          <t>Name</t>
        </is>
      </c>
      <c r="D4" s="127" t="inlineStr">
        <is>
          <t>役職</t>
        </is>
      </c>
      <c r="E4" s="127" t="inlineStr">
        <is>
          <t>現地参加の確定度</t>
        </is>
      </c>
      <c r="F4" s="127" t="inlineStr">
        <is>
          <t>往路</t>
        </is>
      </c>
      <c r="G4" s="127" t="inlineStr">
        <is>
          <t>復路</t>
        </is>
      </c>
      <c r="H4" s="127" t="inlineStr">
        <is>
          <t>宿泊</t>
        </is>
      </c>
      <c r="I4" s="127" t="inlineStr">
        <is>
          <t>デマケ上の担当（8/6版）</t>
        </is>
      </c>
      <c r="J4" s="127" t="inlineStr">
        <is>
          <t>会期中の主な現地役割（本表での想定）</t>
        </is>
      </c>
      <c r="K4" s="127" t="inlineStr">
        <is>
          <t>要確認・備考</t>
        </is>
      </c>
    </row>
    <row r="5" ht="39" customHeight="1" s="123">
      <c r="A5" s="128" t="n">
        <v>1</v>
      </c>
      <c r="B5" s="129" t="inlineStr">
        <is>
          <t>三浦 房紀</t>
        </is>
      </c>
      <c r="C5" s="128" t="inlineStr">
        <is>
          <t>MIURA Fusanori</t>
        </is>
      </c>
      <c r="D5" s="129" t="inlineStr">
        <is>
          <t>センター長(Chairman)</t>
        </is>
      </c>
      <c r="E5" s="130" t="inlineStr">
        <is>
          <t>確定</t>
        </is>
      </c>
      <c r="F5" s="128" t="inlineStr">
        <is>
          <t>10/26 SQ655 福岡09:30→SIN15:00</t>
        </is>
      </c>
      <c r="G5" s="128" t="inlineStr">
        <is>
          <t>10/31 SQ656 SIN01:20→福岡08:10</t>
        </is>
      </c>
      <c r="H5" s="128" t="inlineStr">
        <is>
          <t>Dorsett 10/26-30 (5泊)</t>
        </is>
      </c>
      <c r="I5" s="128" t="inlineStr">
        <is>
          <t>ACDR2026 Opening 挨拶／SC出席</t>
        </is>
      </c>
      <c r="J5" s="128" t="inlineStr">
        <is>
          <t>VIP対応（ADRC代表）。Opening (12:45)、Roundtable、SC、Gala、大使公邸レセプション、SIDEX Keynote出席</t>
        </is>
      </c>
      <c r="K5" s="129" t="inlineStr">
        <is>
          <t>パスポート更新済み（7月）。復路は10/30深夜発扱い</t>
        </is>
      </c>
    </row>
    <row r="6" ht="26.25" customHeight="1" s="123">
      <c r="A6" s="128" t="n">
        <v>2</v>
      </c>
      <c r="B6" s="129" t="inlineStr">
        <is>
          <t>北本 政行</t>
        </is>
      </c>
      <c r="C6" s="128" t="inlineStr">
        <is>
          <t>KITAMOTO Masayuki</t>
        </is>
      </c>
      <c r="D6" s="129" t="inlineStr">
        <is>
          <t>常務理事</t>
        </is>
      </c>
      <c r="E6" s="130" t="inlineStr">
        <is>
          <t>確定</t>
        </is>
      </c>
      <c r="F6" s="128" t="inlineStr">
        <is>
          <t>10/26 SQ637 成田10:00→SIN16:30</t>
        </is>
      </c>
      <c r="G6" s="128" t="inlineStr">
        <is>
          <t>10/30 SQ638 SIN23:55→成田10/31 07:30</t>
        </is>
      </c>
      <c r="H6" s="128" t="inlineStr">
        <is>
          <t>Dorsett 10/26-30 (5泊)</t>
        </is>
      </c>
      <c r="I6" s="129" t="inlineStr">
        <is>
          <t>（役員として出席）</t>
        </is>
      </c>
      <c r="J6" s="128" t="inlineStr">
        <is>
          <t>VIP対応。初参加のため事前ブリーフィング要。10/30は最終日夜に出発</t>
        </is>
      </c>
      <c r="K6" s="129" t="inlineStr">
        <is>
          <t>初参加。8/7・9/4打合せに出席。Dorsett宿泊は8/28リストで確認</t>
        </is>
      </c>
    </row>
    <row r="7" ht="52.5" customHeight="1" s="123">
      <c r="A7" s="128" t="n">
        <v>3</v>
      </c>
      <c r="B7" s="129" t="inlineStr">
        <is>
          <t>宮木 一寛</t>
        </is>
      </c>
      <c r="C7" s="128" t="inlineStr">
        <is>
          <t>MIYAKI Kazuhiro</t>
        </is>
      </c>
      <c r="D7" s="129" t="inlineStr">
        <is>
          <t>所長</t>
        </is>
      </c>
      <c r="E7" s="130" t="inlineStr">
        <is>
          <t>確定（フライト要確認）</t>
        </is>
      </c>
      <c r="F7" s="128" t="inlineStr">
        <is>
          <t>10/25 NH2178 ITM 14:00 → NRT 15:30   NH803 NRT 17:00 → SIN 23:40</t>
        </is>
      </c>
      <c r="G7" s="128" t="inlineStr">
        <is>
          <t xml:space="preserve">10/31 NH802 SIN 06:35 → NRT 14:30   </t>
        </is>
      </c>
      <c r="H7" s="129" t="inlineStr">
        <is>
          <t>10/25泊 必要（NH803 23:40着）→宿泊先（Dorsett/任意）を至急決定・手配。26日以降はDorsettシート「所長」行(10/26-30)</t>
        </is>
      </c>
      <c r="I7" s="129" t="inlineStr">
        <is>
          <t>全体総括／内閣府との連絡調整／Bi-meeting／SC議長(内閣府)との調整／広報(記者クラブ)</t>
        </is>
      </c>
      <c r="J7" s="129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131" t="inlineStr">
        <is>
          <t>フライト確定（児玉 9/4）。25日泊が必要と確認（荒木田 9/6, WhatsApp Coordination Team）。宿泊先（Dorsett/任意）は未定。10/26夜エリック長官夕食会（調整中）</t>
        </is>
      </c>
    </row>
    <row r="8" ht="39" customHeight="1" s="123">
      <c r="A8" s="128" t="n">
        <v>4</v>
      </c>
      <c r="B8" s="129" t="inlineStr">
        <is>
          <t>児玉 美樹</t>
        </is>
      </c>
      <c r="C8" s="128" t="inlineStr">
        <is>
          <t>KODAMA Miki</t>
        </is>
      </c>
      <c r="D8" s="129" t="inlineStr">
        <is>
          <t>研究部長</t>
        </is>
      </c>
      <c r="E8" s="130" t="inlineStr">
        <is>
          <t>確定（フライト要確認）</t>
        </is>
      </c>
      <c r="F8" s="128" t="inlineStr">
        <is>
          <t>10/25 NH2178 ITM 14:00 → NRT 15:30   NH803 NRT 17:00 → SIN 23:40</t>
        </is>
      </c>
      <c r="G8" s="128" t="inlineStr">
        <is>
          <t>10/31 NH802 SIN 06:35 → NRT 14:30   NH2177 NRT 17:35 → ITM 19:00</t>
        </is>
      </c>
      <c r="H8" s="128" t="inlineStr">
        <is>
          <t>Hotel Mi Bencoolen（Mシート: 10/26-30）→10/25泊の追加手配 必要（9/6確認）</t>
        </is>
      </c>
      <c r="I8" s="128" t="inlineStr">
        <is>
          <t>Bi-meeting／Welcome Reception(Program, MC)／レセプション手配／PC等機材サポート</t>
        </is>
      </c>
      <c r="J8" s="129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129" t="inlineStr">
        <is>
          <t>フライト確定（児玉 9/4）。10/25 23:40着のため25日泊が必要（荒木田 9/6, WhatsApp）。Hotel Miの10/25泊を追加手配。10/26夜エリック長官夕食会（調整中）。10/31 06:35発</t>
        </is>
      </c>
    </row>
    <row r="9" ht="39" customHeight="1" s="123">
      <c r="A9" s="128" t="n">
        <v>5</v>
      </c>
      <c r="B9" s="129" t="inlineStr">
        <is>
          <t>荒木田 勝</t>
        </is>
      </c>
      <c r="C9" s="128" t="inlineStr">
        <is>
          <t>ARAKIDA Masaru</t>
        </is>
      </c>
      <c r="D9" s="129" t="inlineStr">
        <is>
          <t>リサーチフェロー</t>
        </is>
      </c>
      <c r="E9" s="130" t="inlineStr">
        <is>
          <t>確定</t>
        </is>
      </c>
      <c r="F9" s="128" t="inlineStr">
        <is>
          <t>10/26 NH843 羽田00:25→SIN06:55</t>
        </is>
      </c>
      <c r="G9" s="128" t="inlineStr">
        <is>
          <t>10/30 NH844 SIN22:20→羽田10/31 05:55</t>
        </is>
      </c>
      <c r="H9" s="128" t="inlineStr">
        <is>
          <t>Hotel Mi Bencoolen（Mシート: 10/26-30）</t>
        </is>
      </c>
      <c r="I9" s="129" t="inlineStr">
        <is>
          <t>総括(PL)／Opening &amp; Closing／SIDEX Conference／Field Trip／会場手配・機材／Zoom当日</t>
        </is>
      </c>
      <c r="J9" s="129" t="inlineStr">
        <is>
          <t>全体統括。Opening/Closing進行、会場・AV・Zoom/AI翻訳の当日運用、Field Trip引率、Google等リソース対応</t>
        </is>
      </c>
      <c r="K9" s="128" t="inlineStr">
        <is>
          <t>10/30 22:20発のためClosing後〜Day3午後まで在場。</t>
        </is>
      </c>
    </row>
    <row r="10" ht="39" customHeight="1" s="123">
      <c r="A10" s="128" t="n">
        <v>6</v>
      </c>
      <c r="B10" s="131" t="inlineStr">
        <is>
          <t>吉田 真紀</t>
        </is>
      </c>
      <c r="C10" s="128" t="inlineStr">
        <is>
          <t>YOSHIDA Maki</t>
        </is>
      </c>
      <c r="D10" s="129" t="inlineStr">
        <is>
          <t>プロジェクト研究員（ジュネーブ）</t>
        </is>
      </c>
      <c r="E10" s="130" t="inlineStr">
        <is>
          <t>確定</t>
        </is>
      </c>
      <c r="F10" s="128" t="inlineStr">
        <is>
          <t>10/25 AY1534 GVA 19:05 → HEL 23:10   AY131 HEL 00:05 → SIN 10/26 18:40</t>
        </is>
      </c>
      <c r="G10" s="128" t="inlineStr">
        <is>
          <t>10/30 AY132 SIN 22:05 → HEL 10/31 05:45   AY1531 HEL 07:55 → GVA 10:00</t>
        </is>
      </c>
      <c r="H10" s="128" t="inlineStr">
        <is>
          <t>Hotel Mi Bencoolen（Mシート: 10/26-30）</t>
        </is>
      </c>
      <c r="I10" s="128" t="inlineStr">
        <is>
          <t>Roundtable(PIC)／Announcement／Web登録・コレポン／航空券(メンバー国)／Field Trip／Welcome Reception</t>
        </is>
      </c>
      <c r="J10" s="128" t="inlineStr">
        <is>
          <t>Roundtableセッション運営（ステートメント回収・共同モデレーター補佐）、レセプション進行補佐、Field Trip引率、参加者対応</t>
        </is>
      </c>
      <c r="K10" s="129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23">
      <c r="A11" s="128" t="n">
        <v>7</v>
      </c>
      <c r="B11" s="129" t="inlineStr">
        <is>
          <t>藤中 純子</t>
        </is>
      </c>
      <c r="C11" s="128" t="inlineStr">
        <is>
          <t>FUJINAKA Junko</t>
        </is>
      </c>
      <c r="D11" s="129" t="inlineStr">
        <is>
          <t>管理部</t>
        </is>
      </c>
      <c r="E11" s="130" t="inlineStr">
        <is>
          <t>確定</t>
        </is>
      </c>
      <c r="F11" s="128" t="inlineStr">
        <is>
          <t>10/25 TR819 関空11:30→SIN17:30</t>
        </is>
      </c>
      <c r="G11" s="128" t="inlineStr">
        <is>
          <t>11/1 TR818 SIN03:05→関空10:15</t>
        </is>
      </c>
      <c r="H11" s="128" t="inlineStr">
        <is>
          <t>Hotel Mi Bencoolen 10/25-31 (7泊)</t>
        </is>
      </c>
      <c r="I11" s="129" t="inlineStr">
        <is>
          <t>レセプション手配／予算管理／契約・支払／宿泊・送迎の確認／SC議案・会計報告／SC事務（議案・進行・会計報告）（9/24 荒木田）</t>
        </is>
      </c>
      <c r="J11" s="129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129" t="inlineStr">
        <is>
          <t>先発隊。10/25着で前日準備</t>
        </is>
      </c>
    </row>
    <row r="12" ht="39" customHeight="1" s="123">
      <c r="A12" s="128" t="n">
        <v>8</v>
      </c>
      <c r="B12" s="129" t="inlineStr">
        <is>
          <t>田中 智美</t>
        </is>
      </c>
      <c r="C12" s="128" t="inlineStr">
        <is>
          <t>TANAKA Tomomi</t>
        </is>
      </c>
      <c r="D12" s="129" t="inlineStr">
        <is>
          <t>事務局(ACDR2026 Secretariat)</t>
        </is>
      </c>
      <c r="E12" s="130" t="inlineStr">
        <is>
          <t>確定</t>
        </is>
      </c>
      <c r="F12" s="128" t="inlineStr">
        <is>
          <t>10/25 TR819 関空11:30→SIN17:30</t>
        </is>
      </c>
      <c r="G12" s="128" t="inlineStr">
        <is>
          <t>11/1 TR818 SIN03:05→関空10:15</t>
        </is>
      </c>
      <c r="H12" s="128" t="inlineStr">
        <is>
          <t>Hotel Mi Bencoolen 10/25-31 (7泊)</t>
        </is>
      </c>
      <c r="I12" s="128" t="inlineStr">
        <is>
          <t>Announcement／Web登録確認・コレポン／航空券／VISA／宿泊・送迎(COSEM調整)／お礼状／日当</t>
        </is>
      </c>
      <c r="J12" s="129" t="inlineStr">
        <is>
          <t>受付デスク（会場・レセプション）、参加者リスト・名札(QR)管理、ホテル・送迎の現地コレポン、リソース対応</t>
        </is>
      </c>
      <c r="K12" s="129" t="inlineStr">
        <is>
          <t>先発隊。</t>
        </is>
      </c>
    </row>
    <row r="13" ht="52.5" customHeight="1" s="123">
      <c r="A13" s="128" t="n">
        <v>9</v>
      </c>
      <c r="B13" s="129" t="inlineStr">
        <is>
          <t>池田　誠</t>
        </is>
      </c>
      <c r="C13" s="128" t="inlineStr">
        <is>
          <t>IKEDA Makoto</t>
        </is>
      </c>
      <c r="D13" s="129" t="inlineStr">
        <is>
          <t>主任研究員</t>
        </is>
      </c>
      <c r="E13" s="130" t="inlineStr">
        <is>
          <t>確定（便名要確認）</t>
        </is>
      </c>
      <c r="F13" s="128" t="inlineStr">
        <is>
          <t>10/26 SQ619  関空10:05→SIN16:00</t>
        </is>
      </c>
      <c r="G13" s="128" t="inlineStr">
        <is>
          <t>10/31 SQ622 SIN01:30→関空08:35</t>
        </is>
      </c>
      <c r="H13" s="128" t="inlineStr">
        <is>
          <t>Hotel Mi Bencoolen（候補欄・未割当）</t>
        </is>
      </c>
      <c r="I13" s="128" t="inlineStr">
        <is>
          <t>Technical Session(PIC)／SIDEX Exhibition調整／会場手配・機材／PC等機材</t>
        </is>
      </c>
      <c r="J13" s="128" t="inlineStr">
        <is>
          <t>Technical Session運営（登壇者対応・進行）、AV/PC操作（Day1）、SIDEX展示・Japan Pavilion連携</t>
        </is>
      </c>
      <c r="K13" s="129" t="inlineStr">
        <is>
          <t>便名確定（児玉 9/4）。復路の表記要確認: K Line見積(7/30)ではSQ622=14:25発→21:25着、01:30発→08:35着はSQ618。来週ネパール出張のためTS準備のフォローは荒木田（9/4）</t>
        </is>
      </c>
    </row>
    <row r="14" ht="64.5" customHeight="1" s="123">
      <c r="A14" s="128" t="n">
        <v>10</v>
      </c>
      <c r="B14" s="129" t="inlineStr">
        <is>
          <t>ジェラルド・エヘム・ポトゥタン</t>
        </is>
      </c>
      <c r="C14" s="128" t="inlineStr">
        <is>
          <t>Gerald Ejem Potutan</t>
        </is>
      </c>
      <c r="D14" s="129" t="inlineStr">
        <is>
          <t>研究部次長</t>
        </is>
      </c>
      <c r="E14" s="130" t="inlineStr">
        <is>
          <t>確定（便名要確認）</t>
        </is>
      </c>
      <c r="F14" s="128" t="inlineStr">
        <is>
          <t>10/26 SQ619  関空10:05→SIN16:00</t>
        </is>
      </c>
      <c r="G14" s="128" t="inlineStr">
        <is>
          <t>10/31 SQ622 SIN01:30→関空08:35</t>
        </is>
      </c>
      <c r="H14" s="128" t="inlineStr">
        <is>
          <t>Hotel Mi Bencoolen（候補欄・未割当）</t>
        </is>
      </c>
      <c r="I14" s="129" t="inlineStr">
        <is>
          <t>副総括／Concept Note／Roundtable／Draft Summary／広報／SCサマリーメモ</t>
        </is>
      </c>
      <c r="J14" s="128" t="inlineStr">
        <is>
          <t>Roundtable共同運営、Draft Summary執筆（Day1夜〜Day2朝）、SCメモ、必要に応じTechnical Session共同議長候補</t>
        </is>
      </c>
      <c r="K14" s="129" t="inlineStr">
        <is>
          <t>便名確定（児玉 9/4）。復路の表記要確認: K Line見積(7/30)ではSQ622=14:25発→21:25着、01:30発→08:35着はSQ618</t>
        </is>
      </c>
    </row>
    <row r="15" ht="39" customHeight="1" s="123">
      <c r="A15" s="128" t="n">
        <v>11</v>
      </c>
      <c r="B15" s="129" t="inlineStr">
        <is>
          <t>ミザン　ビスリ</t>
        </is>
      </c>
      <c r="C15" s="128" t="inlineStr">
        <is>
          <t>Mizan Bisri</t>
        </is>
      </c>
      <c r="D15" s="129" t="inlineStr">
        <is>
          <t>研究員</t>
        </is>
      </c>
      <c r="E15" s="132" t="inlineStr">
        <is>
          <t>見込（手配未確認）</t>
        </is>
      </c>
      <c r="F15" s="129" t="inlineStr">
        <is>
          <t>未確認</t>
        </is>
      </c>
      <c r="G15" s="129" t="inlineStr">
        <is>
          <t>未確認</t>
        </is>
      </c>
      <c r="H15" s="128" t="inlineStr">
        <is>
          <t>Hotel Mi Bencoolen（候補欄・未割当）</t>
        </is>
      </c>
      <c r="I15" s="128" t="inlineStr">
        <is>
          <t>Technical Session(PIC)／SIDEX Exhibition調整／Draft Summary</t>
        </is>
      </c>
      <c r="J15" s="128" t="inlineStr">
        <is>
          <t>Technical Session ADRC側Co-Chair（有力案）。登壇者（JAXA・EOS-NTU・DOST・BRIN/ネパール代替・ウズベキスタン）との調整・当日進行</t>
        </is>
      </c>
      <c r="K15" s="131" t="inlineStr">
        <is>
          <t>。出張が多く（8/23-29フィジー等）日程確保を至急確認　前後は厳しいが期間中は可能。 フライト未取得（9/4）</t>
        </is>
      </c>
    </row>
    <row r="16" ht="52.5" customHeight="1" s="123">
      <c r="A16" s="128" t="n">
        <v>12</v>
      </c>
      <c r="B16" s="129" t="inlineStr">
        <is>
          <t>藤本 絢子</t>
        </is>
      </c>
      <c r="C16" s="128" t="inlineStr">
        <is>
          <t>FUJIMOTO Ayako</t>
        </is>
      </c>
      <c r="D16" s="129" t="inlineStr">
        <is>
          <t>主任</t>
        </is>
      </c>
      <c r="E16" s="130" t="inlineStr">
        <is>
          <t>確定（本人承諾 9/4。スクート便を選択 9/24）</t>
        </is>
      </c>
      <c r="F16" s="129" t="inlineStr">
        <is>
          <t>10/26 TR819 関西11:30→SIN17:30</t>
        </is>
      </c>
      <c r="G16" s="129" t="inlineStr">
        <is>
          <t>11/01 TR818 SIN03:05→関西10:15（チェックイン10/31夜。藤中・田中と同便）</t>
        </is>
      </c>
      <c r="H16" s="128" t="inlineStr">
        <is>
          <t>Hotel Mi Bencoolen 10/26-30（4泊、31日夜は空港へ）→手配状況要確認</t>
        </is>
      </c>
      <c r="I16" s="129" t="inlineStr">
        <is>
          <t>アジェンダ(補)／広報・Flyer／Zoom webinar設定／Webサイト／各種リスト出力(リソース・研究部)／会議参加証明</t>
        </is>
      </c>
      <c r="J16" s="129" t="inlineStr">
        <is>
          <t>撮影（写真・動画）を主担当（児玉 9/4）。加えて公邸レセプションの設営補助、Zoom/AI翻訳の現地一次対応、参加者誘導</t>
        </is>
      </c>
      <c r="K16" s="129" t="inlineStr">
        <is>
          <t>本人承諾済み（9/4）。フライトはスクート（TR819/TR818、108,000円＋諸税約20,650円）を本人が選択（WhatsApp 9/24 15:48-15:54）。深夜便は一人では不安のため藤中・田中と同便。ANA成田便は26日23:40着のため不採用。発券状況はケイラインへ確認</t>
        </is>
      </c>
    </row>
    <row r="17" ht="39" customHeight="1" s="123">
      <c r="A17" s="128" t="n">
        <v>13</v>
      </c>
      <c r="B17" s="129" t="inlineStr">
        <is>
          <t>塩見 有美</t>
        </is>
      </c>
      <c r="C17" s="128" t="inlineStr">
        <is>
          <t>SHIOMI Yumi</t>
        </is>
      </c>
      <c r="D17" s="129" t="inlineStr">
        <is>
          <t>主任研究員</t>
        </is>
      </c>
      <c r="E17" s="130" t="inlineStr">
        <is>
          <t>確定（本人承諾 9/4。TG便を9/9にケイラインへ発注依頼）</t>
        </is>
      </c>
      <c r="F17" s="129" t="inlineStr">
        <is>
          <t>10/26 TG623 関西11:00→バンコク15:30／TG409 バンコク16:35→SIN19:55</t>
        </is>
      </c>
      <c r="G17" s="129" t="inlineStr">
        <is>
          <t>10/30 TG410 SIN21:00→バンコク22:20／TG622 バンコク23:59→関西10/31 07:20</t>
        </is>
      </c>
      <c r="H17" s="128" t="inlineStr">
        <is>
          <t>Hotel Mi Bencoolen 10/26-30（4泊）→要手配。Miに空きがなければ周辺ホテルを追加手配（荒木田 9/7）</t>
        </is>
      </c>
      <c r="I17" s="129" t="inlineStr">
        <is>
          <t>（デマケ上の現地担当なし）</t>
        </is>
      </c>
      <c r="J17" s="129" t="inlineStr">
        <is>
          <t>セッション記録・サマリー補助（2023年はS1サマリー担当）、中央アジア/ウズベキスタン対応、参加者誘導</t>
        </is>
      </c>
      <c r="K17" s="129" t="inlineStr">
        <is>
          <t>本人承諾済み（9/4）。フライトはTG便（バンコク経由）で9/9に発注依頼（塩見→藤本→ケイライン）。Eチケット控えはメール上で未確認。スクート・ANA成田便は本人が希望せずTG便で確定（藤本 WhatsApp 9/24）。30日は閉会16:50後すぐ空港へ移動。Hotel Miの手配状況を要確認</t>
        </is>
      </c>
    </row>
    <row r="18" ht="51.75" customHeight="1" s="123">
      <c r="A18" s="128" t="n">
        <v>15</v>
      </c>
      <c r="B18" s="129" t="inlineStr">
        <is>
          <t>中村</t>
        </is>
      </c>
      <c r="C18" s="128" t="inlineStr">
        <is>
          <t>NAKAMURA</t>
        </is>
      </c>
      <c r="D18" s="129" t="inlineStr">
        <is>
          <t>（研究部）</t>
        </is>
      </c>
      <c r="E18" s="133" t="inlineStr">
        <is>
          <t>国内サポート（確定）</t>
        </is>
      </c>
      <c r="F18" s="128" t="inlineStr">
        <is>
          <t>―</t>
        </is>
      </c>
      <c r="G18" s="128" t="inlineStr">
        <is>
          <t>―</t>
        </is>
      </c>
      <c r="H18" s="129" t="inlineStr">
        <is>
          <t>―（神戸）</t>
        </is>
      </c>
      <c r="I18" s="129" t="inlineStr">
        <is>
          <t>（デマケ8/6版に記載なし→追記要）</t>
        </is>
      </c>
      <c r="J18" s="129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129" t="inlineStr">
        <is>
          <t>荒木田 9/4指示。時差: 神戸はシンガポールより1時間進む（SGT 09:30 = JST 10:30）</t>
        </is>
      </c>
    </row>
    <row r="19" ht="51.75" customHeight="1" s="123">
      <c r="A19" s="128" t="n">
        <v>16</v>
      </c>
      <c r="B19" s="129" t="inlineStr">
        <is>
          <t>山口</t>
        </is>
      </c>
      <c r="C19" s="128" t="inlineStr">
        <is>
          <t>YAMAGUCHI</t>
        </is>
      </c>
      <c r="D19" s="129" t="inlineStr">
        <is>
          <t>（研究部）</t>
        </is>
      </c>
      <c r="E19" s="133" t="inlineStr">
        <is>
          <t>国内サポート（確定）</t>
        </is>
      </c>
      <c r="F19" s="128" t="inlineStr">
        <is>
          <t>―</t>
        </is>
      </c>
      <c r="G19" s="128" t="inlineStr">
        <is>
          <t>―</t>
        </is>
      </c>
      <c r="H19" s="129" t="inlineStr">
        <is>
          <t>―（神戸）</t>
        </is>
      </c>
      <c r="I19" s="129" t="inlineStr">
        <is>
          <t>（デマケ8/6版に記載なし→追記要）</t>
        </is>
      </c>
      <c r="J19" s="129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129" t="inlineStr">
        <is>
          <t>荒木田 9/4指示。2025年は現地でPhoto・CAM担当だったが2026年は日本側。オンライン質疑は中村（Q&amp;A確認）と分担</t>
        </is>
      </c>
    </row>
    <row r="20" ht="26.25" customHeight="1" s="123">
      <c r="A20" s="128" t="n">
        <v>17</v>
      </c>
      <c r="B20" s="129" t="inlineStr">
        <is>
          <t>伊達 孝</t>
        </is>
      </c>
      <c r="C20" s="128" t="inlineStr">
        <is>
          <t>DATE Takashi</t>
        </is>
      </c>
      <c r="D20" s="128" t="inlineStr">
        <is>
          <t>―</t>
        </is>
      </c>
      <c r="E20" s="133" t="inlineStr">
        <is>
          <t>国内サポート</t>
        </is>
      </c>
      <c r="F20" s="128" t="inlineStr">
        <is>
          <t>―</t>
        </is>
      </c>
      <c r="G20" s="128" t="inlineStr">
        <is>
          <t>―</t>
        </is>
      </c>
      <c r="H20" s="128" t="inlineStr">
        <is>
          <t>―</t>
        </is>
      </c>
      <c r="I20" s="128" t="inlineStr">
        <is>
          <t>PC等機材サポート／Webサイトサポート</t>
        </is>
      </c>
      <c r="J20" s="129" t="inlineStr">
        <is>
          <t>神戸からのリモート支援（Web更新、Highlights発行）</t>
        </is>
      </c>
      <c r="K20" s="128" t="inlineStr">
        <is>
          <t>2025年はWebinar設定・ホスト/録画確認を担当。中村のバックアップ候補（要確認）</t>
        </is>
      </c>
    </row>
    <row r="21" ht="39" customHeight="1" s="123">
      <c r="A21" s="128" t="n">
        <v>18</v>
      </c>
      <c r="B21" s="129" t="inlineStr">
        <is>
          <t>寺坂　佳津子</t>
        </is>
      </c>
      <c r="C21" s="128" t="inlineStr">
        <is>
          <t>TERASAKA Kazuko</t>
        </is>
      </c>
      <c r="D21" s="129" t="inlineStr">
        <is>
          <t>アシスタント</t>
        </is>
      </c>
      <c r="E21" s="133" t="inlineStr">
        <is>
          <t>国内（オンライン登録）</t>
        </is>
      </c>
      <c r="F21" s="128" t="inlineStr">
        <is>
          <t>―</t>
        </is>
      </c>
      <c r="G21" s="128" t="inlineStr">
        <is>
          <t>―</t>
        </is>
      </c>
      <c r="H21" s="128" t="inlineStr">
        <is>
          <t>―</t>
        </is>
      </c>
      <c r="I21" s="129" t="inlineStr">
        <is>
          <t>参加者情報・フライト・宿泊・送迎のWeb登録・リスト出力(メンバー国)／VISA</t>
        </is>
      </c>
      <c r="J21" s="129" t="inlineStr">
        <is>
          <t>神戸でマスターリスト管理・リスト出力</t>
        </is>
      </c>
      <c r="K21" s="129" t="inlineStr">
        <is>
          <t>2025年は録画（日英2台）・ローカル保存を担当。山口のバックアップ候補（要確認）</t>
        </is>
      </c>
    </row>
    <row r="22" ht="26.25" customHeight="1" s="123">
      <c r="A22" s="128" t="n">
        <v>19</v>
      </c>
      <c r="B22" s="129" t="inlineStr">
        <is>
          <t>田原 麻衣</t>
        </is>
      </c>
      <c r="C22" s="128" t="inlineStr">
        <is>
          <t>TAHARA Mai</t>
        </is>
      </c>
      <c r="D22" s="129" t="inlineStr">
        <is>
          <t>管理部</t>
        </is>
      </c>
      <c r="E22" s="133" t="inlineStr">
        <is>
          <t>国内（オンライン登録）</t>
        </is>
      </c>
      <c r="F22" s="128" t="inlineStr">
        <is>
          <t>―</t>
        </is>
      </c>
      <c r="G22" s="128" t="inlineStr">
        <is>
          <t>―</t>
        </is>
      </c>
      <c r="H22" s="128" t="inlineStr">
        <is>
          <t>―</t>
        </is>
      </c>
      <c r="I22" s="129" t="inlineStr">
        <is>
          <t>管理部（役員対応）</t>
        </is>
      </c>
      <c r="J22" s="129" t="inlineStr">
        <is>
          <t>神戸で管理部業務</t>
        </is>
      </c>
      <c r="K22" s="128" t="inlineStr">
        <is>
          <t>―</t>
        </is>
      </c>
    </row>
    <row r="23" ht="39" customHeight="1" s="123">
      <c r="A23" s="128" t="n">
        <v>20</v>
      </c>
      <c r="B23" s="129" t="inlineStr">
        <is>
          <t>立部　知保里</t>
        </is>
      </c>
      <c r="C23" s="128" t="inlineStr">
        <is>
          <t>TATEBE Chihori</t>
        </is>
      </c>
      <c r="D23" s="129" t="inlineStr">
        <is>
          <t>研究員</t>
        </is>
      </c>
      <c r="E23" s="133" t="inlineStr">
        <is>
          <t>国内（オンライン登録）</t>
        </is>
      </c>
      <c r="F23" s="128" t="inlineStr">
        <is>
          <t>―</t>
        </is>
      </c>
      <c r="G23" s="128" t="inlineStr">
        <is>
          <t>―</t>
        </is>
      </c>
      <c r="H23" s="128" t="inlineStr">
        <is>
          <t>―</t>
        </is>
      </c>
      <c r="I23" s="129" t="n"/>
      <c r="J23" s="129" t="inlineStr">
        <is>
          <t>神戸</t>
        </is>
      </c>
      <c r="K23" s="129" t="inlineStr">
        <is>
          <t>トルコ研修調整で多忙（児玉 5/18）</t>
        </is>
      </c>
    </row>
    <row r="24" s="123"/>
    <row r="25" ht="14.25" customHeight="1" s="123">
      <c r="B25" s="134" t="inlineStr">
        <is>
          <t>集計（自動計算）</t>
        </is>
      </c>
    </row>
    <row r="26" ht="14.25" customHeight="1" s="123">
      <c r="B26" s="135" t="inlineStr">
        <is>
          <t>現地参加 確定（フライト要確認含む）</t>
        </is>
      </c>
      <c r="E26" s="134">
        <f>COUNTIF(E5:E23,"確定*")</f>
        <v/>
      </c>
    </row>
    <row r="27" ht="14.25" customHeight="1" s="123">
      <c r="B27" s="135" t="inlineStr">
        <is>
          <t>見込・候補（手配未了）</t>
        </is>
      </c>
      <c r="E27" s="134">
        <f>COUNTIF(E5:E23,"見込*")+COUNTIF(E5:E23,"候補*")</f>
        <v/>
      </c>
    </row>
    <row r="28" ht="14.25" customHeight="1" s="123">
      <c r="B28" s="135" t="inlineStr">
        <is>
          <t>未定</t>
        </is>
      </c>
      <c r="E28" s="134">
        <f>COUNTIF(E5:E23,"未定*")</f>
        <v/>
      </c>
    </row>
    <row r="29" ht="14.25" customHeight="1" s="123">
      <c r="B29" s="135" t="inlineStr">
        <is>
          <t>うち役員（三浦・北本・宮木）＝運営要員から除く</t>
        </is>
      </c>
      <c r="E29" s="136" t="n">
        <v>3</v>
      </c>
    </row>
    <row r="30" ht="14.25" customHeight="1" s="123">
      <c r="B30" s="135" t="inlineStr">
        <is>
          <t>実働運営要員（確定＋見込(Mizan)−役員）</t>
        </is>
      </c>
      <c r="E30" s="134">
        <f>E26+COUNTIF(E5:E23,"見込*")-E29</f>
        <v/>
      </c>
      <c r="F30" s="137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23">
      <c r="B31" s="135" t="inlineStr">
        <is>
          <t>（参考）藤本・塩見を除く場合</t>
        </is>
      </c>
      <c r="E31" s="136">
        <f>E30-2</f>
        <v/>
      </c>
      <c r="F31" s="138" t="inlineStr">
        <is>
          <t>← 両名は9/4に本人承諾済みのため、E31（実働運営要員）に含めている</t>
        </is>
      </c>
    </row>
    <row r="32" ht="14.25" customHeight="1" s="123">
      <c r="B32" s="135" t="inlineStr">
        <is>
          <t>日本側サポート（中村・山口 確定、寺坂・伊達 仮置き）</t>
        </is>
      </c>
      <c r="E32" s="136">
        <f>COUNTIF(E5:E23,"国内サポート（確定）")</f>
        <v/>
      </c>
    </row>
    <row r="33" ht="14.25" customHeight="1" s="123">
      <c r="B33" s="134" t="inlineStr">
        <is>
          <t>凡例</t>
        </is>
      </c>
    </row>
    <row r="34" ht="14.25" customHeight="1" s="123">
      <c r="B34" s="139" t="n"/>
      <c r="C34" s="140" t="inlineStr">
        <is>
          <t>確定（航空券発券済み／確定情報あり）</t>
        </is>
      </c>
    </row>
    <row r="35" ht="14.25" customHeight="1" s="123">
      <c r="B35" s="141" t="n"/>
      <c r="C35" s="140" t="inlineStr">
        <is>
          <t>見込・候補（本人可または担当割当済みだが手配未了）</t>
        </is>
      </c>
    </row>
    <row r="36" ht="14.25" customHeight="1" s="123">
      <c r="B36" s="142" t="n"/>
      <c r="C36" s="140" t="inlineStr">
        <is>
          <t>未定（打診中・根拠不足）</t>
        </is>
      </c>
    </row>
    <row r="37" ht="14.25" customHeight="1" s="123">
      <c r="B37" s="143" t="n"/>
      <c r="C37" s="140" t="inlineStr">
        <is>
          <t>国内・オンライン参加</t>
        </is>
      </c>
    </row>
    <row r="38" s="123"/>
  </sheetData>
  <mergeCells count="1">
    <mergeCell ref="A2:L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baseColWidth="8" defaultColWidth="8.55859375" defaultRowHeight="14.25" zeroHeight="0" outlineLevelRow="0"/>
  <cols>
    <col width="14" customWidth="1" style="144" min="1" max="1"/>
    <col width="16" customWidth="1" style="122" min="2" max="19"/>
  </cols>
  <sheetData>
    <row r="1" ht="15" customHeight="1" s="123">
      <c r="A1" s="145" t="inlineStr">
        <is>
          <t>ACDR2026 動態表（日別 AM/PM）　as of 24 Sep 2026 v2_8</t>
        </is>
      </c>
    </row>
    <row r="2" ht="14.25" customHeight="1" s="123">
      <c r="G2" s="146" t="inlineStr">
        <is>
          <t>10/26夜: エリック長官夕食会（宮木・北本・三浦・児玉、調整中）</t>
        </is>
      </c>
    </row>
    <row r="3" ht="15" customHeight="1" s="123">
      <c r="A3" s="147" t="inlineStr">
        <is>
          <t>Staff</t>
        </is>
      </c>
      <c r="B3" s="148" t="inlineStr">
        <is>
          <t>10/24(土)</t>
        </is>
      </c>
      <c r="D3" s="148" t="inlineStr">
        <is>
          <t>10/25(日)</t>
        </is>
      </c>
      <c r="F3" s="148" t="inlineStr">
        <is>
          <t>10/26(月)</t>
        </is>
      </c>
      <c r="H3" s="148" t="inlineStr">
        <is>
          <t>10/27(火)</t>
        </is>
      </c>
      <c r="J3" s="148" t="inlineStr">
        <is>
          <t>10/28(水)</t>
        </is>
      </c>
      <c r="L3" s="148" t="inlineStr">
        <is>
          <t>10/29(木)</t>
        </is>
      </c>
      <c r="N3" s="148" t="inlineStr">
        <is>
          <t>10/30(金)</t>
        </is>
      </c>
      <c r="P3" s="148" t="inlineStr">
        <is>
          <t>10/31(土)</t>
        </is>
      </c>
      <c r="R3" s="148" t="inlineStr">
        <is>
          <t>11/1(日)</t>
        </is>
      </c>
    </row>
    <row r="4" ht="14.25" customHeight="1" s="123">
      <c r="B4" s="149" t="inlineStr">
        <is>
          <t>AM</t>
        </is>
      </c>
      <c r="C4" s="149" t="inlineStr">
        <is>
          <t>PM</t>
        </is>
      </c>
      <c r="D4" s="149" t="inlineStr">
        <is>
          <t>AM</t>
        </is>
      </c>
      <c r="E4" s="149" t="inlineStr">
        <is>
          <t>PM</t>
        </is>
      </c>
      <c r="F4" s="149" t="inlineStr">
        <is>
          <t>AM</t>
        </is>
      </c>
      <c r="G4" s="149" t="inlineStr">
        <is>
          <t>PM</t>
        </is>
      </c>
      <c r="H4" s="149" t="inlineStr">
        <is>
          <t>AM</t>
        </is>
      </c>
      <c r="I4" s="149" t="inlineStr">
        <is>
          <t>PM</t>
        </is>
      </c>
      <c r="J4" s="149" t="inlineStr">
        <is>
          <t>AM</t>
        </is>
      </c>
      <c r="K4" s="149" t="inlineStr">
        <is>
          <t>PM</t>
        </is>
      </c>
      <c r="L4" s="149" t="inlineStr">
        <is>
          <t>AM</t>
        </is>
      </c>
      <c r="M4" s="149" t="inlineStr">
        <is>
          <t>PM</t>
        </is>
      </c>
      <c r="N4" s="149" t="inlineStr">
        <is>
          <t>AM</t>
        </is>
      </c>
      <c r="O4" s="149" t="inlineStr">
        <is>
          <t>PM</t>
        </is>
      </c>
      <c r="P4" s="149" t="inlineStr">
        <is>
          <t>AM</t>
        </is>
      </c>
      <c r="Q4" s="149" t="inlineStr">
        <is>
          <t>PM</t>
        </is>
      </c>
      <c r="R4" s="149" t="inlineStr">
        <is>
          <t>AM</t>
        </is>
      </c>
      <c r="S4" s="149" t="inlineStr">
        <is>
          <t>PM</t>
        </is>
      </c>
    </row>
    <row r="5" ht="48" customHeight="1" s="123">
      <c r="A5" s="147" t="inlineStr">
        <is>
          <t>PROGRAM</t>
        </is>
      </c>
      <c r="B5" s="150" t="n"/>
      <c r="C5" s="150" t="n"/>
      <c r="D5" s="150" t="n"/>
      <c r="E5" s="150" t="n"/>
      <c r="F5" s="151" t="inlineStr">
        <is>
          <t>参加者到着(Dorsett)</t>
        </is>
      </c>
      <c r="G5" s="151" t="inlineStr">
        <is>
          <t>参加者到着(〜深夜)／Day-1準備</t>
        </is>
      </c>
      <c r="H5" s="151" t="inlineStr">
        <is>
          <t>参加者到着／会場・名札準備</t>
        </is>
      </c>
      <c r="I5" s="152" t="inlineStr">
        <is>
          <t>16:00設営→19:00-21:00 大使公邸レセプション</t>
        </is>
      </c>
      <c r="J5" s="152" t="inlineStr">
        <is>
          <t>07:30会場テスト／10:00 Joint Opening／VIP Tour</t>
        </is>
      </c>
      <c r="K5" s="152" t="inlineStr">
        <is>
          <t>12:45 ACDR Opening／13:00 Roundtable／15:45 SC／18:30 Gala</t>
        </is>
      </c>
      <c r="L5" s="152" t="inlineStr">
        <is>
          <t>09:30 Technical Session／11:45 Closing</t>
        </is>
      </c>
      <c r="M5" s="152" t="inlineStr">
        <is>
          <t>13:00〜 Field Trip(CDA)／18:30 SCDF Parade &amp; Dinner</t>
        </is>
      </c>
      <c r="N5" s="152" t="inlineStr">
        <is>
          <t>09:00 SIDEX Keynote/Panel1</t>
        </is>
      </c>
      <c r="O5" s="152" t="inlineStr">
        <is>
          <t>13:50 Exhibition Tour／15:00 Panel2／16:30閉会／夜:出発</t>
        </is>
      </c>
      <c r="P5" s="151" t="inlineStr">
        <is>
          <t>参加者出発(見送り)</t>
        </is>
      </c>
      <c r="Q5" s="151" t="inlineStr">
        <is>
          <t>参加者出発</t>
        </is>
      </c>
      <c r="R5" s="150" t="n"/>
      <c r="S5" s="150" t="n"/>
    </row>
    <row r="6" ht="39.75" customHeight="1" s="123">
      <c r="A6" s="153">
        <f>人員一覧・判定!B5</f>
        <v/>
      </c>
      <c r="B6" s="154" t="n"/>
      <c r="C6" s="154" t="n"/>
      <c r="D6" s="154" t="n"/>
      <c r="E6" s="154" t="n"/>
      <c r="F6" s="155" t="inlineStr">
        <is>
          <t>FUK-SIN(SQ655)</t>
        </is>
      </c>
      <c r="G6" s="156" t="inlineStr">
        <is>
          <t>SIN着15:00/Dorsett/夜:エリック長官夕食会(調整中)</t>
        </is>
      </c>
      <c r="H6" s="157" t="inlineStr">
        <is>
          <t>会場下見(全員)/資料確認</t>
        </is>
      </c>
      <c r="I6" s="158" t="inlineStr">
        <is>
          <t>レセプション(VIP)</t>
        </is>
      </c>
      <c r="J6" s="159" t="inlineStr">
        <is>
          <t>Joint Opening/VIP Tour</t>
        </is>
      </c>
      <c r="K6" s="160" t="inlineStr">
        <is>
          <t>ACDR Opening挨拶/RT/SC/Gala</t>
        </is>
      </c>
      <c r="L6" s="159" t="inlineStr">
        <is>
          <t>Tech Session/Closing</t>
        </is>
      </c>
      <c r="M6" s="160" t="inlineStr">
        <is>
          <t>Field Trip/Parade Dinner</t>
        </is>
      </c>
      <c r="N6" s="159" t="inlineStr">
        <is>
          <t>SIDEX Keynote</t>
        </is>
      </c>
      <c r="O6" s="156" t="inlineStr">
        <is>
          <t>Panel2/閉会</t>
        </is>
      </c>
      <c r="P6" s="155" t="inlineStr">
        <is>
          <t>SIN-FUK(SQ656 01:20)</t>
        </is>
      </c>
      <c r="Q6" s="154" t="n"/>
      <c r="R6" s="154" t="n"/>
      <c r="S6" s="154" t="n"/>
    </row>
    <row r="7" ht="39.75" customHeight="1" s="123">
      <c r="A7" s="153">
        <f>人員一覧・判定!B6</f>
        <v/>
      </c>
      <c r="B7" s="154" t="n"/>
      <c r="C7" s="154" t="n"/>
      <c r="D7" s="154" t="n"/>
      <c r="E7" s="154" t="n"/>
      <c r="F7" s="155" t="inlineStr">
        <is>
          <t>NRT-SIN(SQ637)</t>
        </is>
      </c>
      <c r="G7" s="156" t="inlineStr">
        <is>
          <t>SIN着16:30/Dorsett/夜:エリック長官夕食会(調整中)</t>
        </is>
      </c>
      <c r="H7" s="157" t="inlineStr">
        <is>
          <t>会場下見(全員)→ブリーフィング(荒木田)</t>
        </is>
      </c>
      <c r="I7" s="158" t="inlineStr">
        <is>
          <t>レセプション(VIP)</t>
        </is>
      </c>
      <c r="J7" s="159" t="inlineStr">
        <is>
          <t>Joint Opening/VIP Tour</t>
        </is>
      </c>
      <c r="K7" s="160" t="inlineStr">
        <is>
          <t>RT/SC/Gala</t>
        </is>
      </c>
      <c r="L7" s="159" t="inlineStr">
        <is>
          <t>Tech Session/Closing</t>
        </is>
      </c>
      <c r="M7" s="160" t="inlineStr">
        <is>
          <t>Field Trip/Parade Dinner</t>
        </is>
      </c>
      <c r="N7" s="159" t="inlineStr">
        <is>
          <t>SIDEX Keynote</t>
        </is>
      </c>
      <c r="O7" s="155" t="inlineStr">
        <is>
          <t>Panel2/閉会/SIN-NRT(SQ638 23:55)</t>
        </is>
      </c>
      <c r="P7" s="159" t="inlineStr">
        <is>
          <t>NRT着07:30</t>
        </is>
      </c>
      <c r="Q7" s="154" t="n"/>
      <c r="R7" s="154" t="n"/>
      <c r="S7" s="154" t="n"/>
    </row>
    <row r="8" ht="39.75" customHeight="1" s="123">
      <c r="A8" s="153">
        <f>人員一覧・判定!B7</f>
        <v/>
      </c>
      <c r="B8" s="154" t="n"/>
      <c r="C8" s="154" t="n"/>
      <c r="D8" s="154" t="n"/>
      <c r="E8" s="155" t="inlineStr">
        <is>
          <t>ITM-NRT-SIN(NH2178/NH803) 23:40着</t>
        </is>
      </c>
      <c r="F8" s="157" t="inlineStr">
        <is>
          <t>内閣府到着対応準備/COSEM調整</t>
        </is>
      </c>
      <c r="G8" s="161" t="inlineStr">
        <is>
          <t>内閣府到着確認(出迎え不要・公用車)/COSEM調整/夜:エリック長官夕食会(調整中)</t>
        </is>
      </c>
      <c r="H8" s="157" t="inlineStr">
        <is>
          <t>会場下見(全員)→COSEM・内閣府調整</t>
        </is>
      </c>
      <c r="I8" s="158" t="inlineStr">
        <is>
          <t>レセプション(内閣府随行・大使対応)</t>
        </is>
      </c>
      <c r="J8" s="162" t="inlineStr">
        <is>
          <t>事務局・受付設営/Opening/VIP Tour(内閣府に同行)</t>
        </is>
      </c>
      <c r="K8" s="160" t="inlineStr">
        <is>
          <t>ACDR Opening/RT/SC進行補佐/Gala</t>
        </is>
      </c>
      <c r="L8" s="159" t="inlineStr">
        <is>
          <t>Tech Session/Closing</t>
        </is>
      </c>
      <c r="M8" s="160" t="inlineStr">
        <is>
          <t>Field Trip/Parade Dinner</t>
        </is>
      </c>
      <c r="N8" s="159" t="inlineStr">
        <is>
          <t>SIDEX Keynote(内閣府随行)</t>
        </is>
      </c>
      <c r="O8" s="156" t="inlineStr">
        <is>
          <t>Panel2/閉会</t>
        </is>
      </c>
      <c r="P8" s="155" t="inlineStr">
        <is>
          <t>SIN-NRT(NH802 06:35)</t>
        </is>
      </c>
      <c r="Q8" s="154" t="n"/>
      <c r="R8" s="154" t="n"/>
      <c r="S8" s="154" t="n"/>
    </row>
    <row r="9" ht="39.75" customHeight="1" s="123">
      <c r="A9" s="153">
        <f>人員一覧・判定!B8</f>
        <v/>
      </c>
      <c r="B9" s="154" t="n"/>
      <c r="C9" s="154" t="n"/>
      <c r="D9" s="154" t="n"/>
      <c r="E9" s="155" t="inlineStr">
        <is>
          <t>ITM-NRT-SIN(NH2178/NH803) 23:40着</t>
        </is>
      </c>
      <c r="F9" s="156" t="inlineStr">
        <is>
          <t>Dorsett受付準備/COSEM打合せ</t>
        </is>
      </c>
      <c r="G9" s="163" t="inlineStr">
        <is>
          <t>Dorsettフロント対応(到着ピーク)/接続テスト①/夜:エリック長官夕食会(調整中)</t>
        </is>
      </c>
      <c r="H9" s="158" t="inlineStr">
        <is>
          <t>会場下見(全員)→公邸・ケータリング最終確認</t>
        </is>
      </c>
      <c r="I9" s="156" t="inlineStr">
        <is>
          <t>16:00公邸設営/MC・進行</t>
        </is>
      </c>
      <c r="J9" s="159" t="inlineStr">
        <is>
          <t>07:30会場テスト/事務局設営/Opening/COSEM調整</t>
        </is>
      </c>
      <c r="K9" s="160" t="inlineStr">
        <is>
          <t>RT/SC/Gala引率</t>
        </is>
      </c>
      <c r="L9" s="159" t="inlineStr">
        <is>
          <t>Tech Session/Closing</t>
        </is>
      </c>
      <c r="M9" s="158" t="inlineStr">
        <is>
          <t>事務局撤収(藤中と)/Parade Dinner</t>
        </is>
      </c>
      <c r="N9" s="159" t="inlineStr">
        <is>
          <t>SIDEX Keynote</t>
        </is>
      </c>
      <c r="O9" s="156" t="inlineStr">
        <is>
          <t>Exhibition Tour/Panel2/閉会</t>
        </is>
      </c>
      <c r="P9" s="164" t="inlineStr">
        <is>
          <t>SIN-NRT-ITM(NH802 06:35)</t>
        </is>
      </c>
      <c r="Q9" s="154" t="n"/>
      <c r="R9" s="154" t="n"/>
      <c r="S9" s="154" t="n"/>
    </row>
    <row r="10" ht="39.75" customHeight="1" s="123">
      <c r="A10" s="165">
        <f>人員一覧・判定!B9</f>
        <v/>
      </c>
      <c r="B10" s="154" t="n"/>
      <c r="C10" s="154" t="n"/>
      <c r="D10" s="154" t="n"/>
      <c r="E10" s="154" t="n"/>
      <c r="F10" s="156" t="inlineStr">
        <is>
          <t>SIN着06:55(NH843)/会場・機材確認</t>
        </is>
      </c>
      <c r="G10" s="163" t="inlineStr">
        <is>
          <t>Dorsettフロント対応/内閣府到着対応/日本側(中村・山口)とZoom・AI通訳接続テスト①(JST 15-17)</t>
        </is>
      </c>
      <c r="H10" s="157" t="inlineStr">
        <is>
          <t>会場下見引率(全員)→北本ブリーフ/持込PCで接続テスト②</t>
        </is>
      </c>
      <c r="I10" s="158" t="inlineStr">
        <is>
          <t>日本側と接続テスト②(Webinar・AI通訳・録画, JST 14-17)→公邸設営/レセプション運営</t>
        </is>
      </c>
      <c r="J10" s="159" t="inlineStr">
        <is>
          <t>07:30会場・NWテスト/Zoom/Opening進行</t>
        </is>
      </c>
      <c r="K10" s="160" t="inlineStr">
        <is>
          <t>ACDR Opening進行/RT運営(AV)/SC/Gala</t>
        </is>
      </c>
      <c r="L10" s="159" t="inlineStr">
        <is>
          <t>Tech Session(AV・Zoom)/Summary/Closing進行</t>
        </is>
      </c>
      <c r="M10" s="160" t="inlineStr">
        <is>
          <t>Field Trip引率</t>
        </is>
      </c>
      <c r="N10" s="159" t="inlineStr">
        <is>
          <t>SIDEX Keynote(リソース対応)</t>
        </is>
      </c>
      <c r="O10" s="155" t="inlineStr">
        <is>
          <t>Exhibition Tour/Panel2/閉会/SIN-HND(NH844 22:20)</t>
        </is>
      </c>
      <c r="P10" s="156" t="inlineStr">
        <is>
          <t>HND着05:55</t>
        </is>
      </c>
      <c r="Q10" s="154" t="n"/>
      <c r="R10" s="154" t="n"/>
      <c r="S10" s="154" t="n"/>
    </row>
    <row r="11" ht="39.75" customHeight="1" s="123">
      <c r="A11" s="165">
        <f>人員一覧・判定!B10</f>
        <v/>
      </c>
      <c r="B11" s="154" t="n"/>
      <c r="C11" s="154" t="n"/>
      <c r="D11" s="155" t="inlineStr">
        <is>
          <t>GVA-HEL(AY1534 19:05発)</t>
        </is>
      </c>
      <c r="E11" s="155" t="inlineStr">
        <is>
          <t>HEL-SIN(AY131 00:05発)</t>
        </is>
      </c>
      <c r="F11" s="157" t="inlineStr">
        <is>
          <t>フライト移動中(AY131)</t>
        </is>
      </c>
      <c r="G11" s="163" t="inlineStr">
        <is>
          <t>SIN着18:40→Hotel Mi/夜:参加者対応</t>
        </is>
      </c>
      <c r="H11" s="162" t="inlineStr">
        <is>
          <t>会場下見(全員)→公邸・ケータリング最終確認</t>
        </is>
      </c>
      <c r="I11" s="166" t="inlineStr">
        <is>
          <t>16:00公邸設営/受付/進行補佐</t>
        </is>
      </c>
      <c r="J11" s="159" t="inlineStr">
        <is>
          <t>Opening/参加者誘導</t>
        </is>
      </c>
      <c r="K11" s="160" t="inlineStr">
        <is>
          <t>RT運営(PIC)/SC/Gala引率</t>
        </is>
      </c>
      <c r="L11" s="159" t="inlineStr">
        <is>
          <t>Tech Session(記録)</t>
        </is>
      </c>
      <c r="M11" s="160" t="inlineStr">
        <is>
          <t>Field Trip引率/ホテル→EXPO誘導(パレード)/Parade Dinner</t>
        </is>
      </c>
      <c r="N11" s="159" t="inlineStr">
        <is>
          <t>Dorsett→EXPO誘導/SIDEX Keynote</t>
        </is>
      </c>
      <c r="O11" s="155" t="inlineStr">
        <is>
          <t>Panel2/閉会/SIN-HEL(AY132 22:05)</t>
        </is>
      </c>
      <c r="P11" s="156" t="inlineStr">
        <is>
          <t>HEL経由 GVA着10:00</t>
        </is>
      </c>
      <c r="Q11" s="154" t="n"/>
      <c r="R11" s="154" t="n"/>
      <c r="S11" s="154" t="n"/>
    </row>
    <row r="12" ht="39.75" customHeight="1" s="123">
      <c r="A12" s="165">
        <f>人員一覧・判定!B11</f>
        <v/>
      </c>
      <c r="B12" s="154" t="n"/>
      <c r="C12" s="154" t="n"/>
      <c r="D12" s="155" t="inlineStr">
        <is>
          <t>KIX-SIN(TR819)</t>
        </is>
      </c>
      <c r="E12" s="156" t="inlineStr">
        <is>
          <t>SIN着17:30/Hotel Mi</t>
        </is>
      </c>
      <c r="F12" s="163" t="inlineStr">
        <is>
          <t>COSEM打合せ/Dorsett受付準備</t>
        </is>
      </c>
      <c r="G12" s="163" t="inlineStr">
        <is>
          <t>Dorsettフロント対応(到着ピーク)</t>
        </is>
      </c>
      <c r="H12" s="163" t="inlineStr">
        <is>
          <t>Dorsett受付(下見は交代で)/名札セット</t>
        </is>
      </c>
      <c r="I12" s="166" t="inlineStr">
        <is>
          <t>公邸受付/名札配布</t>
        </is>
      </c>
      <c r="J12" s="166" t="inlineStr">
        <is>
          <t>受付デスク(Peridot)</t>
        </is>
      </c>
      <c r="K12" s="166" t="inlineStr">
        <is>
          <t>受付/SC事務(議案・進行・会計報告)/Gala</t>
        </is>
      </c>
      <c r="L12" s="166" t="inlineStr">
        <is>
          <t>受付デスク/支払</t>
        </is>
      </c>
      <c r="M12" s="158" t="inlineStr">
        <is>
          <t>事務局撤収(児玉と)/精算/Parade Dinner</t>
        </is>
      </c>
      <c r="N12" s="163" t="inlineStr">
        <is>
          <t>SIDEX(受付・清算)</t>
        </is>
      </c>
      <c r="O12" s="157" t="inlineStr">
        <is>
          <t>出発案内/支払</t>
        </is>
      </c>
      <c r="P12" s="157" t="inlineStr">
        <is>
          <t>見送り/清算</t>
        </is>
      </c>
      <c r="Q12" s="155" t="inlineStr">
        <is>
          <t>SIN-KIX(TR818 11/1 03:05)</t>
        </is>
      </c>
      <c r="R12" s="155" t="inlineStr">
        <is>
          <t>SIN-KIX(TR818 03:05)</t>
        </is>
      </c>
      <c r="S12" s="156" t="inlineStr">
        <is>
          <t>KIX着10:15</t>
        </is>
      </c>
    </row>
    <row r="13" ht="39.75" customHeight="1" s="123">
      <c r="A13" s="165">
        <f>人員一覧・判定!B12</f>
        <v/>
      </c>
      <c r="B13" s="154" t="n"/>
      <c r="C13" s="154" t="n"/>
      <c r="D13" s="155" t="inlineStr">
        <is>
          <t>KIX-SIN(TR819)</t>
        </is>
      </c>
      <c r="E13" s="156" t="inlineStr">
        <is>
          <t>SIN着17:30/Hotel Mi</t>
        </is>
      </c>
      <c r="F13" s="157" t="inlineStr">
        <is>
          <t>名札(QR)受取/リスト確認</t>
        </is>
      </c>
      <c r="G13" s="163" t="inlineStr">
        <is>
          <t>Dorsettフロント対応(到着ピーク)</t>
        </is>
      </c>
      <c r="H13" s="163" t="inlineStr">
        <is>
          <t>Dorsett受付(下見は交代で)/送迎確認</t>
        </is>
      </c>
      <c r="I13" s="166" t="inlineStr">
        <is>
          <t>公邸受付/名札配布</t>
        </is>
      </c>
      <c r="J13" s="166" t="inlineStr">
        <is>
          <t>受付デスク(Peridot)</t>
        </is>
      </c>
      <c r="K13" s="166" t="inlineStr">
        <is>
          <t>受付/RT/Gala引率</t>
        </is>
      </c>
      <c r="L13" s="166" t="inlineStr">
        <is>
          <t>Dorsett→EXPO誘導/受付デスク</t>
        </is>
      </c>
      <c r="M13" s="160" t="inlineStr">
        <is>
          <t>Field Trip名簿/ホテル→EXPO誘導(パレード)/Parade Dinner</t>
        </is>
      </c>
      <c r="N13" s="163" t="inlineStr">
        <is>
          <t>Dorsett→EXPO誘導/SIDEX(受付)</t>
        </is>
      </c>
      <c r="O13" s="157" t="inlineStr">
        <is>
          <t>出発案内(送迎)</t>
        </is>
      </c>
      <c r="P13" s="157" t="inlineStr">
        <is>
          <t>見送り</t>
        </is>
      </c>
      <c r="Q13" s="155" t="inlineStr">
        <is>
          <t>SIN-KIX(TR818 11/1 03:05)</t>
        </is>
      </c>
      <c r="R13" s="155" t="inlineStr">
        <is>
          <t>SIN-KIX(TR818 03:05)</t>
        </is>
      </c>
      <c r="S13" s="156" t="inlineStr">
        <is>
          <t>KIX着10:15</t>
        </is>
      </c>
    </row>
    <row r="14" ht="39.75" customHeight="1" s="123">
      <c r="A14" s="165">
        <f>人員一覧・判定!B13</f>
        <v/>
      </c>
      <c r="B14" s="154" t="n"/>
      <c r="C14" s="154" t="n"/>
      <c r="D14" s="154" t="n"/>
      <c r="E14" s="154" t="n"/>
      <c r="F14" s="155" t="inlineStr">
        <is>
          <t>KIX-SIN(SQ619)</t>
        </is>
      </c>
      <c r="G14" s="156" t="inlineStr">
        <is>
          <t>SIN着16:00/Hotel Mi/日本側と接続テスト①に合流</t>
        </is>
      </c>
      <c r="H14" s="157" t="inlineStr">
        <is>
          <t>会場下見(全員)→Japan Pavilion確認/接続テスト②</t>
        </is>
      </c>
      <c r="I14" s="158" t="inlineStr">
        <is>
          <t>16:00公邸設営補助/レセプション</t>
        </is>
      </c>
      <c r="J14" s="156" t="inlineStr">
        <is>
          <t>07:30会場テスト/AV・PC操作</t>
        </is>
      </c>
      <c r="K14" s="160" t="inlineStr">
        <is>
          <t>RT(AV・PC)/Gala</t>
        </is>
      </c>
      <c r="L14" s="159" t="inlineStr">
        <is>
          <t>Tech Session運営(PIC)</t>
        </is>
      </c>
      <c r="M14" s="160" t="inlineStr">
        <is>
          <t>Field Trip or SIDEX展示調整/Parade Dinner</t>
        </is>
      </c>
      <c r="N14" s="159" t="inlineStr">
        <is>
          <t>SIDEX Keynote</t>
        </is>
      </c>
      <c r="O14" s="156" t="inlineStr">
        <is>
          <t>Exhibition Tour(誘導)/Panel2</t>
        </is>
      </c>
      <c r="P14" s="155" t="inlineStr">
        <is>
          <t>SIN-KIX(01:30発 便名要確認)</t>
        </is>
      </c>
      <c r="Q14" s="154" t="n"/>
      <c r="R14" s="154" t="n"/>
      <c r="S14" s="154" t="n"/>
    </row>
    <row r="15" ht="39.75" customHeight="1" s="123">
      <c r="A15" s="165">
        <f>人員一覧・判定!C14</f>
        <v/>
      </c>
      <c r="B15" s="154" t="n"/>
      <c r="C15" s="154" t="n"/>
      <c r="D15" s="154" t="n"/>
      <c r="E15" s="154" t="n"/>
      <c r="F15" s="155" t="inlineStr">
        <is>
          <t>KIX-SIN(SQ619)</t>
        </is>
      </c>
      <c r="G15" s="156" t="inlineStr">
        <is>
          <t>SIN着16:00/Hotel Mi</t>
        </is>
      </c>
      <c r="H15" s="162" t="inlineStr">
        <is>
          <t>会場下見(全員)→RT準備</t>
        </is>
      </c>
      <c r="I15" s="158" t="inlineStr">
        <is>
          <t>16:00公邸設営補助/レセプション</t>
        </is>
      </c>
      <c r="J15" s="159" t="inlineStr">
        <is>
          <t>Opening</t>
        </is>
      </c>
      <c r="K15" s="160" t="inlineStr">
        <is>
          <t>RT運営(共同)/ノート/SCメモ/Gala</t>
        </is>
      </c>
      <c r="L15" s="159" t="inlineStr">
        <is>
          <t>Tech Session(ノート)/Draft Summary</t>
        </is>
      </c>
      <c r="M15" s="160" t="inlineStr">
        <is>
          <t>Field Trip/Parade Dinner</t>
        </is>
      </c>
      <c r="N15" s="159" t="inlineStr">
        <is>
          <t>SIDEX Keynote/Summary</t>
        </is>
      </c>
      <c r="O15" s="156" t="inlineStr">
        <is>
          <t>Panel2/閉会</t>
        </is>
      </c>
      <c r="P15" s="155" t="inlineStr">
        <is>
          <t>SIN-KIX(01:30発 便名要確認)</t>
        </is>
      </c>
      <c r="Q15" s="154" t="n"/>
      <c r="R15" s="154" t="n"/>
      <c r="S15" s="154" t="n"/>
    </row>
    <row r="16" ht="39.75" customHeight="1" s="123">
      <c r="A16" s="165">
        <f>人員一覧・判定!C15</f>
        <v/>
      </c>
      <c r="B16" s="154" t="n"/>
      <c r="C16" s="154" t="n"/>
      <c r="D16" s="154" t="n"/>
      <c r="E16" s="154" t="n"/>
      <c r="F16" s="167" t="inlineStr">
        <is>
          <t>(未手配)</t>
        </is>
      </c>
      <c r="G16" s="167" t="inlineStr">
        <is>
          <t>(未手配)</t>
        </is>
      </c>
      <c r="H16" s="157" t="inlineStr">
        <is>
          <t>会場下見(全員)→登壇者対応</t>
        </is>
      </c>
      <c r="I16" s="158" t="inlineStr">
        <is>
          <t>16:00公邸設営補助/レセプション</t>
        </is>
      </c>
      <c r="J16" s="159" t="inlineStr">
        <is>
          <t>Opening</t>
        </is>
      </c>
      <c r="K16" s="160" t="inlineStr">
        <is>
          <t>RT(ノート)/Gala</t>
        </is>
      </c>
      <c r="L16" s="159" t="inlineStr">
        <is>
          <t>Tech Session Co-Chair</t>
        </is>
      </c>
      <c r="M16" s="160" t="inlineStr">
        <is>
          <t>Field Trip/Parade Dinner</t>
        </is>
      </c>
      <c r="N16" s="159" t="inlineStr">
        <is>
          <t>SIDEX Keynote</t>
        </is>
      </c>
      <c r="O16" s="156" t="inlineStr">
        <is>
          <t>Panel2/閉会</t>
        </is>
      </c>
      <c r="P16" s="167" t="inlineStr">
        <is>
          <t>(未手配)</t>
        </is>
      </c>
      <c r="Q16" s="154" t="n"/>
      <c r="R16" s="154" t="n"/>
      <c r="S16" s="154" t="n"/>
    </row>
    <row r="17" ht="39.75" customHeight="1" s="123">
      <c r="A17" s="165">
        <f>人員一覧・判定!B16</f>
        <v/>
      </c>
      <c r="B17" s="154" t="n"/>
      <c r="C17" s="154" t="n"/>
      <c r="D17" s="154" t="n"/>
      <c r="E17" s="154" t="n"/>
      <c r="F17" s="164" t="inlineStr">
        <is>
          <t>KIX-SIN(TR819)</t>
        </is>
      </c>
      <c r="G17" s="170" t="inlineStr">
        <is>
          <t>SIN着17:30→Hotel Mi</t>
        </is>
      </c>
      <c r="H17" s="166" t="inlineStr">
        <is>
          <t>会場下見(全員)→公邸・ケータリング最終確認/撮影準備</t>
        </is>
      </c>
      <c r="I17" s="166" t="inlineStr">
        <is>
          <t>16:00公邸設営・MC進行確認/撮影</t>
        </is>
      </c>
      <c r="J17" s="156" t="inlineStr">
        <is>
          <t>Zoom・AI翻訳/写真</t>
        </is>
      </c>
      <c r="K17" s="166" t="inlineStr">
        <is>
          <t>受付/Zoom/写真/Gala</t>
        </is>
      </c>
      <c r="L17" s="156" t="inlineStr">
        <is>
          <t>Zoom・AI翻訳/写真</t>
        </is>
      </c>
      <c r="M17" s="156" t="inlineStr">
        <is>
          <t>Japan Pavilion/参加者誘導</t>
        </is>
      </c>
      <c r="N17" s="159" t="inlineStr">
        <is>
          <t>SIDEX(写真・誘導)</t>
        </is>
      </c>
      <c r="O17" s="156" t="inlineStr">
        <is>
          <t>Exhibition Tour誘導/閉会/深夜:空港へ（藤中・田中と同行）</t>
        </is>
      </c>
      <c r="P17" s="157" t="inlineStr">
        <is>
          <t>SIN-KIX(TR818 03:05発) KIX着10:15</t>
        </is>
      </c>
      <c r="Q17" s="154" t="n"/>
      <c r="R17" s="154" t="n"/>
      <c r="S17" s="154" t="n"/>
    </row>
    <row r="18" ht="39.75" customHeight="1" s="123">
      <c r="A18" s="165">
        <f>人員一覧・判定!B17</f>
        <v/>
      </c>
      <c r="B18" s="154" t="n"/>
      <c r="C18" s="154" t="n"/>
      <c r="D18" s="154" t="n"/>
      <c r="E18" s="154" t="n"/>
      <c r="F18" s="164" t="inlineStr">
        <is>
          <t>KIX-BKK-SIN(TG623/TG409)</t>
        </is>
      </c>
      <c r="G18" s="170" t="inlineStr">
        <is>
          <t>SIN着19:55→Hotel Mi</t>
        </is>
      </c>
      <c r="H18" s="157" t="inlineStr">
        <is>
          <t>会場下見(全員)→到着者対応</t>
        </is>
      </c>
      <c r="I18" s="166" t="inlineStr">
        <is>
          <t>16:00公邸設営補助/レセプション</t>
        </is>
      </c>
      <c r="J18" s="159" t="inlineStr">
        <is>
          <t>Opening/参加者誘導</t>
        </is>
      </c>
      <c r="K18" s="160" t="inlineStr">
        <is>
          <t>RT記録・サマリー補助/Gala</t>
        </is>
      </c>
      <c r="L18" s="159" t="inlineStr">
        <is>
          <t>Dorsett→EXPO誘導/Tech Session記録</t>
        </is>
      </c>
      <c r="M18" s="160" t="inlineStr">
        <is>
          <t>Field Trip/ホテル→EXPO誘導(パレード)/Parade Dinner</t>
        </is>
      </c>
      <c r="N18" s="159" t="inlineStr">
        <is>
          <t>SIDEX Keynote/サマリー</t>
        </is>
      </c>
      <c r="O18" s="156" t="inlineStr">
        <is>
          <t>Panel2/閉会/空港へ(TG410 21:00発)</t>
        </is>
      </c>
      <c r="P18" s="157" t="inlineStr">
        <is>
          <t>BKK経由 KIX着07:20</t>
        </is>
      </c>
      <c r="Q18" s="154" t="n"/>
      <c r="R18" s="154" t="n"/>
      <c r="S18" s="154" t="n"/>
    </row>
    <row r="19" ht="14.25" customHeight="1" s="123">
      <c r="A19" s="171" t="inlineStr">
        <is>
          <t>在場人数(役員・藤本・塩見含む)</t>
        </is>
      </c>
      <c r="B19" s="172">
        <f>COUNTA(B6:B18)-COUNTIF(B6:B18,"*未手配*")-COUNTIF(B6:B18,"*要確認*")-COUNTIF(B6:B18,"*NRT着*")-COUNTIF(B6:B18,"*HND着*")-COUNTIF(B6:B18,"*KIX着*")-COUNTIF(B6:B18,"*GVA着*")</f>
        <v/>
      </c>
      <c r="C19" s="172">
        <f>COUNTA(C6:C18)-COUNTIF(C6:C18,"*未手配*")-COUNTIF(C6:C18,"*要確認*")-COUNTIF(C6:C18,"*NRT着*")-COUNTIF(C6:C18,"*HND着*")-COUNTIF(C6:C18,"*KIX着*")-COUNTIF(C6:C18,"*GVA着*")</f>
        <v/>
      </c>
      <c r="D19" s="172">
        <f>COUNTA(D6:D18)-COUNTIF(D6:D18,"*未手配*")-COUNTIF(D6:D18,"*要確認*")-COUNTIF(D6:D18,"*NRT着*")-COUNTIF(D6:D18,"*HND着*")-COUNTIF(D6:D18,"*KIX着*")-COUNTIF(D6:D18,"*GVA着*")</f>
        <v/>
      </c>
      <c r="E19" s="172">
        <f>COUNTA(E6:E18)-COUNTIF(E6:E18,"*未手配*")-COUNTIF(E6:E18,"*要確認*")-COUNTIF(E6:E18,"*NRT着*")-COUNTIF(E6:E18,"*HND着*")-COUNTIF(E6:E18,"*KIX着*")-COUNTIF(E6:E18,"*GVA着*")</f>
        <v/>
      </c>
      <c r="F19" s="172">
        <f>COUNTA(F6:F18)-COUNTIF(F6:F18,"*未手配*")-COUNTIF(F6:F18,"*要確認*")-COUNTIF(F6:F18,"*NRT着*")-COUNTIF(F6:F18,"*HND着*")-COUNTIF(F6:F18,"*KIX着*")-COUNTIF(F6:F18,"*GVA着*")</f>
        <v/>
      </c>
      <c r="G19" s="172">
        <f>COUNTA(G6:G18)-COUNTIF(G6:G18,"*未手配*")-COUNTIF(G6:G18,"*要確認*")-COUNTIF(G6:G18,"*NRT着*")-COUNTIF(G6:G18,"*HND着*")-COUNTIF(G6:G18,"*KIX着*")-COUNTIF(G6:G18,"*GVA着*")</f>
        <v/>
      </c>
      <c r="H19" s="172">
        <f>COUNTA(H6:H18)-COUNTIF(H6:H18,"*未手配*")-COUNTIF(H6:H18,"*要確認*")-COUNTIF(H6:H18,"*NRT着*")-COUNTIF(H6:H18,"*HND着*")-COUNTIF(H6:H18,"*KIX着*")-COUNTIF(H6:H18,"*GVA着*")</f>
        <v/>
      </c>
      <c r="I19" s="172">
        <f>COUNTA(I6:I18)-COUNTIF(I6:I18,"*未手配*")-COUNTIF(I6:I18,"*要確認*")-COUNTIF(I6:I18,"*NRT着*")-COUNTIF(I6:I18,"*HND着*")-COUNTIF(I6:I18,"*KIX着*")-COUNTIF(I6:I18,"*GVA着*")</f>
        <v/>
      </c>
      <c r="J19" s="172">
        <f>COUNTA(J6:J18)-COUNTIF(J6:J18,"*未手配*")-COUNTIF(J6:J18,"*要確認*")-COUNTIF(J6:J18,"*NRT着*")-COUNTIF(J6:J18,"*HND着*")-COUNTIF(J6:J18,"*KIX着*")-COUNTIF(J6:J18,"*GVA着*")</f>
        <v/>
      </c>
      <c r="K19" s="172">
        <f>COUNTA(K6:K18)-COUNTIF(K6:K18,"*未手配*")-COUNTIF(K6:K18,"*要確認*")-COUNTIF(K6:K18,"*NRT着*")-COUNTIF(K6:K18,"*HND着*")-COUNTIF(K6:K18,"*KIX着*")-COUNTIF(K6:K18,"*GVA着*")</f>
        <v/>
      </c>
      <c r="L19" s="172">
        <f>COUNTA(L6:L18)-COUNTIF(L6:L18,"*未手配*")-COUNTIF(L6:L18,"*要確認*")-COUNTIF(L6:L18,"*NRT着*")-COUNTIF(L6:L18,"*HND着*")-COUNTIF(L6:L18,"*KIX着*")-COUNTIF(L6:L18,"*GVA着*")</f>
        <v/>
      </c>
      <c r="M19" s="172">
        <f>COUNTA(M6:M18)-COUNTIF(M6:M18,"*未手配*")-COUNTIF(M6:M18,"*要確認*")-COUNTIF(M6:M18,"*NRT着*")-COUNTIF(M6:M18,"*HND着*")-COUNTIF(M6:M18,"*KIX着*")-COUNTIF(M6:M18,"*GVA着*")</f>
        <v/>
      </c>
      <c r="N19" s="172">
        <f>COUNTA(N6:N18)-COUNTIF(N6:N18,"*未手配*")-COUNTIF(N6:N18,"*要確認*")-COUNTIF(N6:N18,"*NRT着*")-COUNTIF(N6:N18,"*HND着*")-COUNTIF(N6:N18,"*KIX着*")-COUNTIF(N6:N18,"*GVA着*")</f>
        <v/>
      </c>
      <c r="O19" s="172">
        <f>COUNTA(O6:O18)-COUNTIF(O6:O18,"*未手配*")-COUNTIF(O6:O18,"*要確認*")-COUNTIF(O6:O18,"*NRT着*")-COUNTIF(O6:O18,"*HND着*")-COUNTIF(O6:O18,"*KIX着*")-COUNTIF(O6:O18,"*GVA着*")</f>
        <v/>
      </c>
      <c r="P19" s="172">
        <f>COUNTA(P6:P18)-COUNTIF(P6:P18,"*未手配*")-COUNTIF(P6:P18,"*要確認*")-COUNTIF(P6:P18,"*NRT着*")-COUNTIF(P6:P18,"*HND着*")-COUNTIF(P6:P18,"*KIX着*")-COUNTIF(P6:P18,"*GVA着*")</f>
        <v/>
      </c>
      <c r="Q19" s="172">
        <f>COUNTA(Q6:Q18)-COUNTIF(Q6:Q18,"*未手配*")-COUNTIF(Q6:Q18,"*要確認*")-COUNTIF(Q6:Q18,"*NRT着*")-COUNTIF(Q6:Q18,"*HND着*")-COUNTIF(Q6:Q18,"*KIX着*")-COUNTIF(Q6:Q18,"*GVA着*")</f>
        <v/>
      </c>
      <c r="R19" s="172">
        <f>COUNTA(R6:R18)-COUNTIF(R6:R18,"*未手配*")-COUNTIF(R6:R18,"*要確認*")-COUNTIF(R6:R18,"*NRT着*")-COUNTIF(R6:R18,"*HND着*")-COUNTIF(R6:R18,"*KIX着*")-COUNTIF(R6:R18,"*GVA着*")</f>
        <v/>
      </c>
      <c r="S19" s="172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123">
      <c r="A20" s="171" t="inlineStr">
        <is>
          <t>うち藤本・塩見</t>
        </is>
      </c>
      <c r="B20" s="173">
        <f>COUNTA(B17:B18)-COUNTIF(B17:B18,"*未手配*")-COUNTIF(B17:B18,"*要確認*")-COUNTIF(B17:B18,"*NRT着*")-COUNTIF(B17:B18,"*HND着*")-COUNTIF(B17:B18,"*KIX着*")-COUNTIF(B17:B18,"*GVA着*")</f>
        <v/>
      </c>
      <c r="C20" s="173">
        <f>COUNTA(C17:C18)-COUNTIF(C17:C18,"*未手配*")-COUNTIF(C17:C18,"*要確認*")-COUNTIF(C17:C18,"*NRT着*")-COUNTIF(C17:C18,"*HND着*")-COUNTIF(C17:C18,"*KIX着*")-COUNTIF(C17:C18,"*GVA着*")</f>
        <v/>
      </c>
      <c r="D20" s="173">
        <f>COUNTA(D17:D18)-COUNTIF(D17:D18,"*未手配*")-COUNTIF(D17:D18,"*要確認*")-COUNTIF(D17:D18,"*NRT着*")-COUNTIF(D17:D18,"*HND着*")-COUNTIF(D17:D18,"*KIX着*")-COUNTIF(D17:D18,"*GVA着*")</f>
        <v/>
      </c>
      <c r="E20" s="173">
        <f>COUNTA(E17:E18)-COUNTIF(E17:E18,"*未手配*")-COUNTIF(E17:E18,"*要確認*")-COUNTIF(E17:E18,"*NRT着*")-COUNTIF(E17:E18,"*HND着*")-COUNTIF(E17:E18,"*KIX着*")-COUNTIF(E17:E18,"*GVA着*")</f>
        <v/>
      </c>
      <c r="F20" s="173">
        <f>COUNTA(F17:F18)-COUNTIF(F17:F18,"*未手配*")-COUNTIF(F17:F18,"*要確認*")-COUNTIF(F17:F18,"*NRT着*")-COUNTIF(F17:F18,"*HND着*")-COUNTIF(F17:F18,"*KIX着*")-COUNTIF(F17:F18,"*GVA着*")</f>
        <v/>
      </c>
      <c r="G20" s="173">
        <f>COUNTA(G17:G18)-COUNTIF(G17:G18,"*未手配*")-COUNTIF(G17:G18,"*要確認*")-COUNTIF(G17:G18,"*NRT着*")-COUNTIF(G17:G18,"*HND着*")-COUNTIF(G17:G18,"*KIX着*")-COUNTIF(G17:G18,"*GVA着*")</f>
        <v/>
      </c>
      <c r="H20" s="173">
        <f>COUNTA(H17:H18)-COUNTIF(H17:H18,"*未手配*")-COUNTIF(H17:H18,"*要確認*")-COUNTIF(H17:H18,"*NRT着*")-COUNTIF(H17:H18,"*HND着*")-COUNTIF(H17:H18,"*KIX着*")-COUNTIF(H17:H18,"*GVA着*")</f>
        <v/>
      </c>
      <c r="I20" s="173">
        <f>COUNTA(I17:I18)-COUNTIF(I17:I18,"*未手配*")-COUNTIF(I17:I18,"*要確認*")-COUNTIF(I17:I18,"*NRT着*")-COUNTIF(I17:I18,"*HND着*")-COUNTIF(I17:I18,"*KIX着*")-COUNTIF(I17:I18,"*GVA着*")</f>
        <v/>
      </c>
      <c r="J20" s="173">
        <f>COUNTA(J17:J18)-COUNTIF(J17:J18,"*未手配*")-COUNTIF(J17:J18,"*要確認*")-COUNTIF(J17:J18,"*NRT着*")-COUNTIF(J17:J18,"*HND着*")-COUNTIF(J17:J18,"*KIX着*")-COUNTIF(J17:J18,"*GVA着*")</f>
        <v/>
      </c>
      <c r="K20" s="173">
        <f>COUNTA(K17:K18)-COUNTIF(K17:K18,"*未手配*")-COUNTIF(K17:K18,"*要確認*")-COUNTIF(K17:K18,"*NRT着*")-COUNTIF(K17:K18,"*HND着*")-COUNTIF(K17:K18,"*KIX着*")-COUNTIF(K17:K18,"*GVA着*")</f>
        <v/>
      </c>
      <c r="L20" s="173">
        <f>COUNTA(L17:L18)-COUNTIF(L17:L18,"*未手配*")-COUNTIF(L17:L18,"*要確認*")-COUNTIF(L17:L18,"*NRT着*")-COUNTIF(L17:L18,"*HND着*")-COUNTIF(L17:L18,"*KIX着*")-COUNTIF(L17:L18,"*GVA着*")</f>
        <v/>
      </c>
      <c r="M20" s="173">
        <f>COUNTA(M17:M18)-COUNTIF(M17:M18,"*未手配*")-COUNTIF(M17:M18,"*要確認*")-COUNTIF(M17:M18,"*NRT着*")-COUNTIF(M17:M18,"*HND着*")-COUNTIF(M17:M18,"*KIX着*")-COUNTIF(M17:M18,"*GVA着*")</f>
        <v/>
      </c>
      <c r="N20" s="173">
        <f>COUNTA(N17:N18)-COUNTIF(N17:N18,"*未手配*")-COUNTIF(N17:N18,"*要確認*")-COUNTIF(N17:N18,"*NRT着*")-COUNTIF(N17:N18,"*HND着*")-COUNTIF(N17:N18,"*KIX着*")-COUNTIF(N17:N18,"*GVA着*")</f>
        <v/>
      </c>
      <c r="O20" s="173">
        <f>COUNTA(O17:O18)-COUNTIF(O17:O18,"*未手配*")-COUNTIF(O17:O18,"*要確認*")-COUNTIF(O17:O18,"*NRT着*")-COUNTIF(O17:O18,"*HND着*")-COUNTIF(O17:O18,"*KIX着*")-COUNTIF(O17:O18,"*GVA着*")</f>
        <v/>
      </c>
      <c r="P20" s="173">
        <f>COUNTA(P17:P18)-COUNTIF(P17:P18,"*未手配*")-COUNTIF(P17:P18,"*要確認*")-COUNTIF(P17:P18,"*NRT着*")-COUNTIF(P17:P18,"*HND着*")-COUNTIF(P17:P18,"*KIX着*")-COUNTIF(P17:P18,"*GVA着*")</f>
        <v/>
      </c>
      <c r="Q20" s="173">
        <f>COUNTA(Q17:Q18)-COUNTIF(Q17:Q18,"*未手配*")-COUNTIF(Q17:Q18,"*要確認*")-COUNTIF(Q17:Q18,"*NRT着*")-COUNTIF(Q17:Q18,"*HND着*")-COUNTIF(Q17:Q18,"*KIX着*")-COUNTIF(Q17:Q18,"*GVA着*")</f>
        <v/>
      </c>
      <c r="R20" s="173">
        <f>COUNTA(R17:R18)-COUNTIF(R17:R18,"*未手配*")-COUNTIF(R17:R18,"*要確認*")-COUNTIF(R17:R18,"*NRT着*")-COUNTIF(R17:R18,"*HND着*")-COUNTIF(R17:R18,"*KIX着*")-COUNTIF(R17:R18,"*GVA着*")</f>
        <v/>
      </c>
      <c r="S20" s="173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123">
      <c r="A21" s="174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23">
      <c r="A22" s="122" t="inlineStr">
        <is>
          <t>None</t>
        </is>
      </c>
    </row>
    <row r="23" ht="14.25" customHeight="1" s="123">
      <c r="A23" s="175" t="inlineStr">
        <is>
          <t>日本側サポート（神戸）　※JST = SGT + 1時間</t>
        </is>
      </c>
    </row>
    <row r="24" ht="39.75" customHeight="1" s="123">
      <c r="A24" s="176">
        <f>人員一覧・判定!B18</f>
        <v/>
      </c>
      <c r="B24" s="154" t="n"/>
      <c r="C24" s="154" t="n"/>
      <c r="D24" s="154" t="n"/>
      <c r="E24" s="154" t="n"/>
      <c r="F24" s="177" t="inlineStr">
        <is>
          <t>Webinar/Zoom/AI通訳 設定・リハーサル</t>
        </is>
      </c>
      <c r="G24" s="178" t="inlineStr">
        <is>
          <t>現地(荒木田・池田)と接続テスト①(JST 15-17)</t>
        </is>
      </c>
      <c r="H24" s="177" t="inlineStr">
        <is>
          <t>AI通訳ツール最終設定</t>
        </is>
      </c>
      <c r="I24" s="177" t="inlineStr">
        <is>
          <t>Webinar・Zoomホスト設定/接続テスト②(JST 14-17)/SCリハ(Q&amp;A確認)</t>
        </is>
      </c>
      <c r="J24" s="177" t="inlineStr">
        <is>
          <t>Webinar開始/AI通訳監視 (JST 9:30-)</t>
        </is>
      </c>
      <c r="K24" s="177" t="inlineStr">
        <is>
          <t>RT・SC: Q&amp;A/コメント確認・AI通訳監視</t>
        </is>
      </c>
      <c r="L24" s="177" t="inlineStr">
        <is>
          <t>TS: Q&amp;A/コメント確認・AI通訳監視</t>
        </is>
      </c>
      <c r="M24" s="178" t="inlineStr">
        <is>
          <t>（配信なし）ログ回収</t>
        </is>
      </c>
      <c r="N24" s="178" t="inlineStr">
        <is>
          <t>（SIDEX配信はSCDF側）</t>
        </is>
      </c>
      <c r="O24" s="177" t="inlineStr">
        <is>
          <t>Webinar/Zoom終了処理</t>
        </is>
      </c>
      <c r="P24" s="154" t="n"/>
      <c r="Q24" s="154" t="n"/>
      <c r="R24" s="154" t="n"/>
      <c r="S24" s="154" t="n"/>
    </row>
    <row r="25" ht="39.75" customHeight="1" s="123">
      <c r="A25" s="176">
        <f>人員一覧・判定!B19</f>
        <v/>
      </c>
      <c r="B25" s="154" t="n"/>
      <c r="C25" s="154" t="n"/>
      <c r="D25" s="154" t="n"/>
      <c r="E25" s="154" t="n"/>
      <c r="F25" s="178" t="inlineStr">
        <is>
          <t>録画設定テスト(クラウド+ローカル)</t>
        </is>
      </c>
      <c r="G25" s="154" t="n"/>
      <c r="H25" s="178" t="inlineStr">
        <is>
          <t>録画リハーサル</t>
        </is>
      </c>
      <c r="I25" s="178" t="inlineStr">
        <is>
          <t>接続テスト②(録画・Q&amp;A確認)/SCリハ録画</t>
        </is>
      </c>
      <c r="J25" s="177" t="inlineStr">
        <is>
          <t>Opening/RT 録画・オンライン質疑</t>
        </is>
      </c>
      <c r="K25" s="177" t="inlineStr">
        <is>
          <t>SC 録画</t>
        </is>
      </c>
      <c r="L25" s="177" t="inlineStr">
        <is>
          <t>TS/Closing 録画・オンライン質疑</t>
        </is>
      </c>
      <c r="M25" s="178" t="inlineStr">
        <is>
          <t>録画データ整理・保存</t>
        </is>
      </c>
      <c r="N25" s="154" t="n"/>
      <c r="O25" s="178" t="inlineStr">
        <is>
          <t>録画データ整理・保存</t>
        </is>
      </c>
      <c r="P25" s="154" t="n"/>
      <c r="Q25" s="154" t="n"/>
      <c r="R25" s="154" t="n"/>
      <c r="S25" s="154" t="n"/>
    </row>
    <row r="26" ht="39.75" customHeight="1" s="123">
      <c r="A26" s="176">
        <f>人員一覧・判定!B21</f>
        <v/>
      </c>
      <c r="B26" s="154" t="n"/>
      <c r="C26" s="154" t="n"/>
      <c r="D26" s="154" t="n"/>
      <c r="E26" s="154" t="n"/>
      <c r="F26" s="154" t="n"/>
      <c r="G26" s="154" t="n"/>
      <c r="H26" s="169" t="inlineStr">
        <is>
          <t>録画テスト(日英2台) ※仮置き</t>
        </is>
      </c>
      <c r="I26" s="154" t="n"/>
      <c r="J26" s="169" t="inlineStr">
        <is>
          <t>録画(日英)ローカル保存 ※仮置き</t>
        </is>
      </c>
      <c r="K26" s="169" t="inlineStr">
        <is>
          <t>録画(日英)ローカル保存 ※仮置き</t>
        </is>
      </c>
      <c r="L26" s="169" t="inlineStr">
        <is>
          <t>録画(日英)ローカル保存 ※仮置き</t>
        </is>
      </c>
      <c r="M26" s="154" t="n"/>
      <c r="N26" s="154" t="n"/>
      <c r="O26" s="154" t="n"/>
      <c r="P26" s="154" t="n"/>
      <c r="Q26" s="154" t="n"/>
      <c r="R26" s="154" t="n"/>
      <c r="S26" s="154" t="n"/>
    </row>
    <row r="27" ht="39.75" customHeight="1" s="123">
      <c r="A27" s="176">
        <f>人員一覧・判定!B20</f>
        <v/>
      </c>
      <c r="B27" s="154" t="n"/>
      <c r="C27" s="154" t="n"/>
      <c r="D27" s="154" t="n"/>
      <c r="E27" s="154" t="n"/>
      <c r="F27" s="154" t="n"/>
      <c r="G27" s="154" t="n"/>
      <c r="H27" s="167" t="inlineStr">
        <is>
          <t>Webinar設定・ホスト/録画確認 ※仮置き</t>
        </is>
      </c>
      <c r="I27" s="154" t="n"/>
      <c r="J27" s="167" t="inlineStr">
        <is>
          <t>Webinarホスト・録画確認 ※仮置き</t>
        </is>
      </c>
      <c r="K27" s="167" t="inlineStr">
        <is>
          <t>SC Zoom設定 ※仮置き</t>
        </is>
      </c>
      <c r="L27" s="167" t="inlineStr">
        <is>
          <t>Webinarホスト・録画確認 ※仮置き</t>
        </is>
      </c>
      <c r="M27" s="154" t="n"/>
      <c r="N27" s="154" t="n"/>
      <c r="O27" s="154" t="n"/>
      <c r="P27" s="154" t="n"/>
      <c r="Q27" s="154" t="n"/>
      <c r="R27" s="154" t="n"/>
      <c r="S27" s="154" t="n"/>
    </row>
    <row r="28" ht="14.25" customHeight="1" s="123">
      <c r="A28" s="138" t="inlineStr">
        <is>
          <t>※中村・山口は荒木田指示（9/4）により確定。寺坂・伊達はACDR2025の実績に基づくバックアップの仮置きで、本人未確認。</t>
        </is>
      </c>
    </row>
    <row r="29" s="123"/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B4" s="182" t="inlineStr">
        <is>
          <t>参加者到着(Dorsett): 07:15モルディブ/08:10スリランカ/08:45アルメニア・トルコ・ウズベキスタン/11:15パキスタン/11:20インドネシア</t>
        </is>
      </c>
      <c r="C4" s="183" t="n"/>
      <c r="D4" s="183" t="n"/>
      <c r="E4" s="183" t="n"/>
      <c r="F4" s="183" t="n"/>
      <c r="G4" s="183" t="n"/>
      <c r="H4" s="183" t="n"/>
      <c r="I4" s="183" t="n"/>
      <c r="J4" s="183" t="n"/>
      <c r="K4" s="184" t="n"/>
      <c r="L4" s="182" t="inlineStr">
        <is>
          <t>到着: 12:20マレーシア/14:30ブルネイ/14:50タイ/15:10ミャンマー</t>
        </is>
      </c>
      <c r="M4" s="183" t="n"/>
      <c r="N4" s="183" t="n"/>
      <c r="O4" s="183" t="n"/>
      <c r="P4" s="183" t="n"/>
      <c r="Q4" s="183" t="n"/>
      <c r="R4" s="183" t="n"/>
      <c r="S4" s="184" t="n"/>
      <c r="T4" s="182" t="inlineStr">
        <is>
          <t>大使公邸 設営（名札セット持込・受付配置）</t>
        </is>
      </c>
      <c r="U4" s="183" t="n"/>
      <c r="V4" s="183" t="n"/>
      <c r="W4" s="183" t="n"/>
      <c r="X4" s="183" t="n"/>
      <c r="Y4" s="184" t="n"/>
      <c r="Z4" s="182" t="inlineStr">
        <is>
          <t>レセプション 19:00-21:00（大使挨拶・乾杯・内閣府発表）</t>
        </is>
      </c>
      <c r="AA4" s="183" t="n"/>
      <c r="AB4" s="183" t="n"/>
      <c r="AC4" s="183" t="n"/>
      <c r="AD4" s="184" t="n"/>
      <c r="AE4" s="122" t="inlineStr">
        <is>
          <t>撤収</t>
        </is>
      </c>
    </row>
    <row r="5" ht="1.5" customHeight="1" s="123">
      <c r="A5" s="181" t="n"/>
      <c r="B5" s="185" t="n"/>
      <c r="C5" s="185" t="n"/>
      <c r="D5" s="185" t="n"/>
      <c r="E5" s="185" t="n"/>
      <c r="F5" s="185" t="n"/>
      <c r="G5" s="185" t="n"/>
      <c r="H5" s="185" t="n"/>
      <c r="I5" s="185" t="n"/>
      <c r="J5" s="185" t="n"/>
      <c r="K5" s="185" t="n"/>
      <c r="L5" s="185" t="n"/>
      <c r="M5" s="185" t="n"/>
      <c r="N5" s="185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2" t="n"/>
      <c r="Y5" s="182" t="n"/>
      <c r="Z5" s="182" t="n"/>
      <c r="AA5" s="182" t="n"/>
      <c r="AB5" s="182" t="n"/>
      <c r="AC5" s="182" t="n"/>
    </row>
    <row r="6" ht="21.75" customHeight="1" s="123">
      <c r="A6" s="165">
        <f>人員一覧・判定!B5</f>
        <v/>
      </c>
      <c r="X6" s="186" t="n"/>
      <c r="Y6" s="186" t="inlineStr">
        <is>
          <t>レセプション出席(VIP)</t>
        </is>
      </c>
      <c r="Z6" s="183" t="n"/>
      <c r="AA6" s="183" t="n"/>
      <c r="AB6" s="183" t="n"/>
      <c r="AC6" s="183" t="n"/>
      <c r="AD6" s="184" t="n"/>
    </row>
    <row r="7" ht="21.75" customHeight="1" s="123">
      <c r="A7" s="165">
        <f>人員一覧・判定!B6</f>
        <v/>
      </c>
      <c r="H7" s="187" t="inlineStr">
        <is>
          <t>会場下見(全員 9-11)→事前ブリーフィング(荒木田)</t>
        </is>
      </c>
      <c r="I7" s="183" t="n"/>
      <c r="J7" s="184" t="n"/>
      <c r="X7" s="186" t="n"/>
      <c r="Y7" s="186" t="inlineStr">
        <is>
          <t>レセプション出席(VIP)</t>
        </is>
      </c>
      <c r="Z7" s="183" t="n"/>
      <c r="AA7" s="183" t="n"/>
      <c r="AB7" s="183" t="n"/>
      <c r="AC7" s="183" t="n"/>
      <c r="AD7" s="184" t="n"/>
    </row>
    <row r="8" ht="21.75" customHeight="1" s="123">
      <c r="A8" s="165">
        <f>人員一覧・判定!B7</f>
        <v/>
      </c>
      <c r="F8" s="186" t="inlineStr">
        <is>
          <t>会場下見(全員 9-11)→COSEM・内閣府調整（出迎え不要）</t>
        </is>
      </c>
      <c r="G8" s="183" t="n"/>
      <c r="H8" s="183" t="n"/>
      <c r="I8" s="183" t="n"/>
      <c r="J8" s="183" t="n"/>
      <c r="K8" s="184" t="n"/>
      <c r="W8" s="186" t="inlineStr">
        <is>
          <t>レセプション(大使・内閣府対応)</t>
        </is>
      </c>
      <c r="X8" s="183" t="n"/>
      <c r="Y8" s="183" t="n"/>
      <c r="Z8" s="183" t="n"/>
      <c r="AA8" s="183" t="n"/>
      <c r="AB8" s="183" t="n"/>
      <c r="AC8" s="183" t="n"/>
      <c r="AD8" s="184" t="n"/>
    </row>
    <row r="9" ht="21.75" customHeight="1" s="123">
      <c r="A9" s="165">
        <f>人員一覧・判定!B8</f>
        <v/>
      </c>
      <c r="F9" s="187" t="inlineStr">
        <is>
          <t>会場下見(全員 9-11)→公邸・ケータリング最終確認</t>
        </is>
      </c>
      <c r="G9" s="183" t="n"/>
      <c r="H9" s="183" t="n"/>
      <c r="I9" s="183" t="n"/>
      <c r="J9" s="183" t="n"/>
      <c r="K9" s="184" t="n"/>
      <c r="T9" s="188" t="inlineStr">
        <is>
          <t>公邸設営・MC進行確認</t>
        </is>
      </c>
      <c r="U9" s="183" t="n"/>
      <c r="V9" s="183" t="n"/>
      <c r="W9" s="183" t="n"/>
      <c r="X9" s="184" t="n"/>
      <c r="Y9" s="189" t="inlineStr">
        <is>
          <t>MC/進行</t>
        </is>
      </c>
      <c r="Z9" s="183" t="n"/>
      <c r="AA9" s="183" t="n"/>
      <c r="AB9" s="183" t="n"/>
      <c r="AC9" s="183" t="n"/>
      <c r="AD9" s="184" t="n"/>
    </row>
    <row r="10" ht="21.75" customHeight="1" s="123">
      <c r="A10" s="165">
        <f>人員一覧・判定!B9</f>
        <v/>
      </c>
      <c r="F10" s="187" t="inlineStr">
        <is>
          <t>会場下見引率(全員 9-11)</t>
        </is>
      </c>
      <c r="G10" s="184" t="n"/>
      <c r="H10" s="187" t="inlineStr">
        <is>
          <t>→北本ブリーフ(11:00-)</t>
        </is>
      </c>
      <c r="I10" s="183" t="n"/>
      <c r="J10" s="184" t="n"/>
      <c r="N10" s="188" t="inlineStr">
        <is>
          <t>機材・Zoom・AI通訳準備／日本側(中村・山口)と接続テスト②(JST14-17)</t>
        </is>
      </c>
      <c r="O10" s="183" t="n"/>
      <c r="P10" s="183" t="n"/>
      <c r="Q10" s="183" t="n"/>
      <c r="R10" s="183" t="n"/>
      <c r="S10" s="184" t="n"/>
      <c r="T10" s="188" t="inlineStr">
        <is>
          <t>公邸設営・運営・撤収</t>
        </is>
      </c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4" t="n"/>
    </row>
    <row r="11" ht="21.75" customHeight="1" s="123">
      <c r="A11" s="165">
        <f>人員一覧・判定!B10</f>
        <v/>
      </c>
      <c r="F11" s="187" t="inlineStr">
        <is>
          <t>会場下見(全員 9-11)→公邸・ケータリング最終確認</t>
        </is>
      </c>
      <c r="G11" s="183" t="n"/>
      <c r="H11" s="183" t="n"/>
      <c r="I11" s="183" t="n"/>
      <c r="J11" s="183" t="n"/>
      <c r="K11" s="184" t="n"/>
      <c r="T11" s="190" t="inlineStr">
        <is>
          <t>公邸受付準備</t>
        </is>
      </c>
      <c r="U11" s="183" t="n"/>
      <c r="V11" s="183" t="n"/>
      <c r="W11" s="183" t="n"/>
      <c r="X11" s="184" t="n"/>
      <c r="Y11" s="190" t="inlineStr">
        <is>
          <t>受付/進行補佐</t>
        </is>
      </c>
      <c r="Z11" s="183" t="n"/>
      <c r="AA11" s="183" t="n"/>
      <c r="AB11" s="183" t="n"/>
      <c r="AC11" s="183" t="n"/>
      <c r="AD11" s="184" t="n"/>
    </row>
    <row r="12" ht="21.75" customHeight="1" s="123">
      <c r="A12" s="165">
        <f>人員一覧・判定!B11</f>
        <v/>
      </c>
      <c r="D12" s="191" t="inlineStr">
        <is>
          <t>Dorsett受付(到着者対応)／下見は交代で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4" t="n"/>
      <c r="T12" s="190" t="inlineStr">
        <is>
          <t>公邸受付準備(名札セット)</t>
        </is>
      </c>
      <c r="U12" s="183" t="n"/>
      <c r="V12" s="183" t="n"/>
      <c r="W12" s="183" t="n"/>
      <c r="X12" s="184" t="n"/>
      <c r="Y12" s="190" t="inlineStr">
        <is>
          <t>受付/名札配布</t>
        </is>
      </c>
      <c r="Z12" s="183" t="n"/>
      <c r="AA12" s="183" t="n"/>
      <c r="AB12" s="183" t="n"/>
      <c r="AC12" s="183" t="n"/>
      <c r="AD12" s="184" t="n"/>
    </row>
    <row r="13" ht="21.75" customHeight="1" s="123">
      <c r="A13" s="165">
        <f>人員一覧・判定!B12</f>
        <v/>
      </c>
      <c r="D13" s="191" t="inlineStr">
        <is>
          <t>Dorsett受付(到着者・送迎確認)／下見は交代で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4" t="n"/>
      <c r="T13" s="190" t="inlineStr">
        <is>
          <t>公邸受付準備</t>
        </is>
      </c>
      <c r="U13" s="183" t="n"/>
      <c r="V13" s="183" t="n"/>
      <c r="W13" s="183" t="n"/>
      <c r="X13" s="184" t="n"/>
      <c r="Y13" s="190" t="inlineStr">
        <is>
          <t>受付/名札配布</t>
        </is>
      </c>
      <c r="Z13" s="183" t="n"/>
      <c r="AA13" s="183" t="n"/>
      <c r="AB13" s="183" t="n"/>
      <c r="AC13" s="183" t="n"/>
      <c r="AD13" s="184" t="n"/>
    </row>
    <row r="14" ht="21.75" customHeight="1" s="123">
      <c r="A14" s="165">
        <f>人員一覧・判定!B13</f>
        <v/>
      </c>
      <c r="F14" s="188" t="inlineStr">
        <is>
          <t>会場下見(全員 9-11)→Japan Pavilion確認</t>
        </is>
      </c>
      <c r="G14" s="183" t="n"/>
      <c r="H14" s="183" t="n"/>
      <c r="I14" s="183" t="n"/>
      <c r="J14" s="183" t="n"/>
      <c r="K14" s="184" t="n"/>
      <c r="N14" s="188" t="inlineStr">
        <is>
          <t>機材準備／日本側と接続テスト②(録画・Q&amp;A確認)</t>
        </is>
      </c>
      <c r="O14" s="183" t="n"/>
      <c r="P14" s="183" t="n"/>
      <c r="Q14" s="183" t="n"/>
      <c r="R14" s="183" t="n"/>
      <c r="S14" s="184" t="n"/>
      <c r="W14" s="182" t="inlineStr">
        <is>
          <t>レセプション(設営補助)</t>
        </is>
      </c>
      <c r="X14" s="183" t="n"/>
      <c r="Y14" s="183" t="n"/>
      <c r="Z14" s="183" t="n"/>
      <c r="AA14" s="183" t="n"/>
      <c r="AB14" s="183" t="n"/>
      <c r="AC14" s="183" t="n"/>
      <c r="AD14" s="184" t="n"/>
    </row>
    <row r="15" ht="24.75" customHeight="1" s="123">
      <c r="A15" s="192">
        <f>人員一覧・判定!C14</f>
        <v/>
      </c>
      <c r="F15" s="187" t="inlineStr">
        <is>
          <t>会場下見(全員 9-11)→RT/Summary準備</t>
        </is>
      </c>
      <c r="G15" s="183" t="n"/>
      <c r="H15" s="183" t="n"/>
      <c r="I15" s="183" t="n"/>
      <c r="J15" s="183" t="n"/>
      <c r="K15" s="184" t="n"/>
      <c r="T15" s="193" t="inlineStr">
        <is>
          <t>公邸設営補助</t>
        </is>
      </c>
      <c r="U15" s="183" t="n"/>
      <c r="V15" s="184" t="n"/>
      <c r="W15" s="182" t="inlineStr">
        <is>
          <t>レセプション</t>
        </is>
      </c>
      <c r="X15" s="183" t="n"/>
      <c r="Y15" s="183" t="n"/>
      <c r="Z15" s="183" t="n"/>
      <c r="AA15" s="183" t="n"/>
      <c r="AB15" s="183" t="n"/>
      <c r="AC15" s="183" t="n"/>
      <c r="AD15" s="184" t="n"/>
    </row>
    <row r="16" ht="21" customHeight="1" s="123">
      <c r="A16" s="165">
        <f>人員一覧・判定!C15</f>
        <v/>
      </c>
      <c r="F16" s="187" t="inlineStr">
        <is>
          <t>会場下見(全員 9-11)→登壇者連絡・接続テスト</t>
        </is>
      </c>
      <c r="G16" s="183" t="n"/>
      <c r="H16" s="183" t="n"/>
      <c r="I16" s="183" t="n"/>
      <c r="J16" s="183" t="n"/>
      <c r="K16" s="184" t="n"/>
      <c r="T16" s="193" t="inlineStr">
        <is>
          <t>公邸設営補助</t>
        </is>
      </c>
      <c r="U16" s="183" t="n"/>
      <c r="V16" s="184" t="n"/>
      <c r="W16" s="182" t="inlineStr">
        <is>
          <t>レセプション</t>
        </is>
      </c>
      <c r="X16" s="183" t="n"/>
      <c r="Y16" s="183" t="n"/>
      <c r="Z16" s="183" t="n"/>
      <c r="AA16" s="183" t="n"/>
      <c r="AB16" s="183" t="n"/>
      <c r="AC16" s="183" t="n"/>
      <c r="AD16" s="184" t="n"/>
    </row>
    <row r="17" ht="21.75" customHeight="1" s="123">
      <c r="A17" s="165">
        <f>人員一覧・判定!B16</f>
        <v/>
      </c>
      <c r="F17" s="187" t="inlineStr">
        <is>
          <t>会場下見(全員 9-11)→公邸・ケータリング最終確認/撮影準備</t>
        </is>
      </c>
      <c r="G17" s="183" t="n"/>
      <c r="H17" s="183" t="n"/>
      <c r="I17" s="183" t="n"/>
      <c r="J17" s="183" t="n"/>
      <c r="K17" s="184" t="n"/>
      <c r="T17" s="188" t="inlineStr">
        <is>
          <t>公邸設営・MC進行確認</t>
        </is>
      </c>
      <c r="U17" s="183" t="n"/>
      <c r="V17" s="183" t="n"/>
      <c r="W17" s="183" t="n"/>
      <c r="X17" s="184" t="n"/>
      <c r="Y17" s="188" t="inlineStr">
        <is>
          <t>写真</t>
        </is>
      </c>
      <c r="Z17" s="183" t="n"/>
      <c r="AA17" s="183" t="n"/>
      <c r="AB17" s="183" t="n"/>
      <c r="AC17" s="183" t="n"/>
      <c r="AD17" s="184" t="n"/>
    </row>
    <row r="18" ht="21.75" customHeight="1" s="123">
      <c r="A18" s="165">
        <f>人員一覧・判定!B17</f>
        <v/>
      </c>
      <c r="F18" s="190" t="inlineStr">
        <is>
          <t>会場下見(全員 9-11)→到着者対応(ウズベキスタン等)</t>
        </is>
      </c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4" t="n"/>
      <c r="T18" s="193" t="inlineStr">
        <is>
          <t>公邸設営補助</t>
        </is>
      </c>
      <c r="U18" s="183" t="n"/>
      <c r="V18" s="184" t="n"/>
      <c r="W18" s="190" t="inlineStr">
        <is>
          <t>レセプション受付補助</t>
        </is>
      </c>
      <c r="X18" s="183" t="n"/>
      <c r="Y18" s="183" t="n"/>
      <c r="Z18" s="183" t="n"/>
      <c r="AA18" s="183" t="n"/>
      <c r="AB18" s="183" t="n"/>
      <c r="AC18" s="183" t="n"/>
      <c r="AD18" s="184" t="n"/>
    </row>
    <row r="19" ht="14.25" customHeight="1" s="123">
      <c r="A19" s="134" t="inlineStr">
        <is>
          <t>稼働人数(自動)</t>
        </is>
      </c>
      <c r="B19" s="197">
        <f>COUNTA(B5:B18)</f>
        <v/>
      </c>
      <c r="C19" s="197">
        <f>COUNTA(C5:C18)</f>
        <v/>
      </c>
      <c r="D19" s="197">
        <f>COUNTA(D5:D18)</f>
        <v/>
      </c>
      <c r="E19" s="197">
        <f>COUNTA(E5:E18)</f>
        <v/>
      </c>
      <c r="F19" s="197">
        <f>COUNTA(F5:F18)</f>
        <v/>
      </c>
      <c r="G19" s="197">
        <f>COUNTA(G5:G18)</f>
        <v/>
      </c>
      <c r="H19" s="197">
        <f>COUNTA(H5:H18)</f>
        <v/>
      </c>
      <c r="I19" s="197">
        <f>COUNTA(I5:I18)</f>
        <v/>
      </c>
      <c r="J19" s="197">
        <f>COUNTA(J5:J18)</f>
        <v/>
      </c>
      <c r="K19" s="197">
        <f>COUNTA(K5:K18)</f>
        <v/>
      </c>
      <c r="L19" s="197">
        <f>COUNTA(L5:L18)</f>
        <v/>
      </c>
      <c r="M19" s="197">
        <f>COUNTA(M5:M18)</f>
        <v/>
      </c>
      <c r="N19" s="197">
        <f>COUNTA(N5:N18)</f>
        <v/>
      </c>
      <c r="O19" s="197">
        <f>COUNTA(O5:O18)</f>
        <v/>
      </c>
      <c r="P19" s="197">
        <f>COUNTA(P5:P18)</f>
        <v/>
      </c>
      <c r="Q19" s="197">
        <f>COUNTA(Q5:Q18)</f>
        <v/>
      </c>
      <c r="R19" s="197">
        <f>COUNTA(R5:R18)</f>
        <v/>
      </c>
      <c r="S19" s="197">
        <f>COUNTA(S5:S18)</f>
        <v/>
      </c>
      <c r="T19" s="197">
        <f>COUNTA(T5:T18)</f>
        <v/>
      </c>
      <c r="U19" s="197">
        <f>COUNTA(U5:U18)</f>
        <v/>
      </c>
      <c r="V19" s="197">
        <f>COUNTA(V5:V18)</f>
        <v/>
      </c>
      <c r="W19" s="197">
        <f>COUNTA(W5:W18)</f>
        <v/>
      </c>
      <c r="X19" s="197">
        <f>COUNTA(X5:X18)</f>
        <v/>
      </c>
      <c r="Y19" s="197">
        <f>COUNTA(Y5:Y18)</f>
        <v/>
      </c>
      <c r="Z19" s="197">
        <f>COUNTA(Z5:Z18)</f>
        <v/>
      </c>
      <c r="AA19" s="197">
        <f>COUNTA(AA5:AA18)</f>
        <v/>
      </c>
      <c r="AB19" s="197">
        <f>COUNTA(AB5:AB18)</f>
        <v/>
      </c>
      <c r="AC19" s="197">
        <f>COUNTA(AC5:AC18)</f>
        <v/>
      </c>
      <c r="AD19" s="197">
        <f>COUNTA(AD5:AD18)</f>
        <v/>
      </c>
      <c r="AE19" s="197">
        <f>COUNTA(AE5:AE18)</f>
        <v/>
      </c>
      <c r="AF19" s="197">
        <f>COUNTA(AF5:AF18)</f>
        <v/>
      </c>
      <c r="AG19" s="197">
        <f>COUNTA(AG5:AG18)</f>
        <v/>
      </c>
    </row>
    <row r="20" ht="14.25" customHeight="1" s="123">
      <c r="A20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1" ht="60" customHeight="1" s="123">
      <c r="A21" s="199" t="inlineStr">
        <is>
          <t>ギャップ: (1) 19:00-21:00に受付(名札セット配布100-120名)・MC・VIP対応・写真・バス誘導(Dorsett→公邸)が同時発生。受付2名(藤中・田中)＋吉田で名札配布、写真担当が空白。(2)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27日午前は全員で会場下見のため、Dorsettは藤中・田中のみ。午後はDorsett到着対応と公邸設営準備が並行し、荒木田・池田は機材、児玉は公邸に張り付くため、Dorsett側の到着対応が手薄になる。(3) 開始が19:00（8/26版アジェンダ）に後ろ倒しになったため、Dorsett→公邸の送迎バス出発（従来想定17:30〜18:30）と撤収時刻をCOSEMと再確認する必要がある。</t>
        </is>
      </c>
    </row>
    <row r="22" ht="14.25" customHeight="1" s="123"/>
    <row r="23" ht="14.25" customHeight="1" s="123">
      <c r="A23" s="200" t="inlineStr">
        <is>
          <t>日本側サポート（神戸）※列はシンガポール時間、JSTは+1時間</t>
        </is>
      </c>
    </row>
    <row r="24" ht="21.75" customHeight="1" s="123">
      <c r="A24" s="176">
        <f>人員一覧・判定!B18</f>
        <v/>
      </c>
      <c r="F24" s="201" t="inlineStr">
        <is>
          <t>AI通訳ツール最終設定 (JST10-13)</t>
        </is>
      </c>
      <c r="G24" s="183" t="n"/>
      <c r="H24" s="183" t="n"/>
      <c r="I24" s="183" t="n"/>
      <c r="J24" s="183" t="n"/>
      <c r="K24" s="184" t="n"/>
      <c r="N24" s="193" t="inlineStr">
        <is>
          <t>接続テスト②: Webinar/Zoomホスト設定・現地(荒木田・池田)と接続 (JST14-17)</t>
        </is>
      </c>
      <c r="O24" s="183" t="n"/>
      <c r="P24" s="183" t="n"/>
      <c r="Q24" s="183" t="n"/>
      <c r="R24" s="183" t="n"/>
      <c r="S24" s="184" t="n"/>
    </row>
    <row r="25" ht="21.75" customHeight="1" s="123">
      <c r="A25" s="176">
        <f>人員一覧・判定!B19</f>
        <v/>
      </c>
      <c r="F25" s="193" t="inlineStr">
        <is>
          <t>録画設定テスト(クラウド+ローカル)</t>
        </is>
      </c>
      <c r="G25" s="183" t="n"/>
      <c r="H25" s="183" t="n"/>
      <c r="I25" s="183" t="n"/>
      <c r="J25" s="183" t="n"/>
      <c r="K25" s="184" t="n"/>
      <c r="N25" s="193" t="inlineStr">
        <is>
          <t>接続テスト②参加・録画リハ</t>
        </is>
      </c>
      <c r="O25" s="183" t="n"/>
      <c r="P25" s="183" t="n"/>
      <c r="Q25" s="183" t="n"/>
      <c r="R25" s="183" t="n"/>
      <c r="S25" s="184" t="n"/>
    </row>
    <row r="26" ht="21.75" customHeight="1" s="123">
      <c r="A26" s="176">
        <f>人員一覧・判定!B21</f>
        <v/>
      </c>
      <c r="N26" s="202" t="inlineStr">
        <is>
          <t>録画テスト(日英2台) ※仮置き</t>
        </is>
      </c>
      <c r="O26" s="183" t="n"/>
      <c r="P26" s="183" t="n"/>
      <c r="Q26" s="183" t="n"/>
      <c r="R26" s="183" t="n"/>
      <c r="S26" s="184" t="n"/>
    </row>
    <row r="27" ht="21.75" customHeight="1" s="123">
      <c r="A27" s="176">
        <f>人員一覧・判定!B20</f>
        <v/>
      </c>
      <c r="N27" s="203" t="inlineStr">
        <is>
          <t>Webinar設定・ホスト/録画確認 ※仮置き</t>
        </is>
      </c>
      <c r="O27" s="183" t="n"/>
      <c r="P27" s="183" t="n"/>
      <c r="Q27" s="183" t="n"/>
      <c r="R27" s="183" t="n"/>
      <c r="S27" s="184" t="n"/>
    </row>
    <row r="28" ht="14.25" customHeight="1" s="123">
      <c r="A28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  <row r="29" s="123"/>
  </sheetData>
  <mergeCells count="48">
    <mergeCell ref="F24:K24"/>
    <mergeCell ref="T10:AE10"/>
    <mergeCell ref="Y11:AD11"/>
    <mergeCell ref="F10:G10"/>
    <mergeCell ref="F18:Q18"/>
    <mergeCell ref="F17:K17"/>
    <mergeCell ref="N14:S14"/>
    <mergeCell ref="Y17:AD17"/>
    <mergeCell ref="F8:K8"/>
    <mergeCell ref="W15:AD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A21:T21"/>
    <mergeCell ref="T11:X11"/>
    <mergeCell ref="T18:V18"/>
    <mergeCell ref="N26:S26"/>
    <mergeCell ref="T15:V15"/>
    <mergeCell ref="W18:AD18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W8:AD8"/>
    <mergeCell ref="Y9:AD9"/>
    <mergeCell ref="T4:Y4"/>
    <mergeCell ref="W14:AD14"/>
    <mergeCell ref="F15:K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28 OCT 2026 (WED)  Day 1: Joint Opening / ACDR Opening / Roundtable / SC / Gala Dinner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C4" s="182" t="inlineStr">
        <is>
          <t>会場・NW最終テスト(演台・客席・事務局部屋)／事務局部屋立上げ／Hotel Mi→EXPO バス</t>
        </is>
      </c>
      <c r="D4" s="183" t="n"/>
      <c r="E4" s="183" t="n"/>
      <c r="F4" s="184" t="n"/>
      <c r="H4" s="204" t="inlineStr">
        <is>
          <t>Joint Opening (Hall 3)</t>
        </is>
      </c>
      <c r="I4" s="204" t="inlineStr">
        <is>
          <t>VIP Tour(Japan Pavilion Opening)／11:15表敬</t>
        </is>
      </c>
      <c r="J4" s="184" t="n"/>
      <c r="K4" s="204" t="inlineStr">
        <is>
          <t>Lunch (Hall 3)</t>
        </is>
      </c>
      <c r="L4" s="184" t="n"/>
      <c r="M4" s="204" t="inlineStr">
        <is>
          <t>ACDR Opening</t>
        </is>
      </c>
      <c r="N4" s="204" t="inlineStr">
        <is>
          <t>Roundtable (Peridot) 13:00-15:30 SCDFモデレーター+メンバー国Co-Mod　※前倒し検討中</t>
        </is>
      </c>
      <c r="O4" s="183" t="n"/>
      <c r="P4" s="183" t="n"/>
      <c r="Q4" s="183" t="n"/>
      <c r="R4" s="184" t="n"/>
      <c r="S4" s="204" t="inlineStr">
        <is>
          <t>Steering Committee</t>
        </is>
      </c>
      <c r="T4" s="184" t="n"/>
      <c r="W4" s="204" t="inlineStr">
        <is>
          <t>Dorsett 17:30発→Orchard Hotel</t>
        </is>
      </c>
      <c r="X4" s="184" t="n"/>
      <c r="Y4" s="204" t="inlineStr">
        <is>
          <t>SIDEX Gala Dinner (Grand Ballroom)</t>
        </is>
      </c>
      <c r="Z4" s="183" t="n"/>
      <c r="AA4" s="183" t="n"/>
      <c r="AB4" s="183" t="n"/>
      <c r="AC4" s="184" t="n"/>
    </row>
    <row r="5" ht="3.75" customHeight="1" s="123">
      <c r="A5" s="181" t="n"/>
      <c r="C5" s="185" t="n"/>
      <c r="D5" s="185" t="n"/>
      <c r="E5" s="185" t="n"/>
      <c r="F5" s="185" t="n"/>
      <c r="H5" s="204" t="n"/>
      <c r="I5" s="204" t="n"/>
      <c r="J5" s="204" t="n"/>
      <c r="K5" s="205" t="n"/>
      <c r="L5" s="205" t="n"/>
      <c r="M5" s="204" t="n"/>
      <c r="N5" s="204" t="n"/>
      <c r="O5" s="204" t="n"/>
      <c r="P5" s="204" t="n"/>
      <c r="Q5" s="204" t="n"/>
      <c r="R5" s="204" t="n"/>
      <c r="S5" s="204" t="n"/>
      <c r="T5" s="204" t="n"/>
      <c r="W5" s="204" t="n"/>
      <c r="X5" s="204" t="n"/>
      <c r="Y5" s="204" t="n"/>
      <c r="Z5" s="204" t="n"/>
      <c r="AA5" s="204" t="n"/>
      <c r="AB5" s="204" t="n"/>
      <c r="AC5" s="204" t="n"/>
    </row>
    <row r="6" ht="21.75" customHeight="1" s="123">
      <c r="A6" s="165">
        <f>人員一覧・判定!B5</f>
        <v/>
      </c>
      <c r="G6" s="206" t="inlineStr">
        <is>
          <t>Joint Opening/VIP Tour</t>
        </is>
      </c>
      <c r="H6" s="183" t="n"/>
      <c r="I6" s="183" t="n"/>
      <c r="J6" s="184" t="n"/>
      <c r="M6" s="207" t="inlineStr">
        <is>
          <t>ACDR Opening 挨拶</t>
        </is>
      </c>
      <c r="N6" s="207" t="inlineStr">
        <is>
          <t>Roundtable</t>
        </is>
      </c>
      <c r="O6" s="183" t="n"/>
      <c r="P6" s="183" t="n"/>
      <c r="Q6" s="183" t="n"/>
      <c r="R6" s="184" t="n"/>
      <c r="S6" s="207" t="inlineStr">
        <is>
          <t>SC</t>
        </is>
      </c>
      <c r="T6" s="184" t="n"/>
      <c r="W6" s="204" t="inlineStr">
        <is>
          <t>Gala</t>
        </is>
      </c>
      <c r="X6" s="183" t="n"/>
      <c r="Y6" s="183" t="n"/>
      <c r="Z6" s="183" t="n"/>
      <c r="AA6" s="183" t="n"/>
      <c r="AB6" s="183" t="n"/>
      <c r="AC6" s="184" t="n"/>
    </row>
    <row r="7" ht="21.75" customHeight="1" s="123">
      <c r="A7" s="165">
        <f>人員一覧・判定!B6</f>
        <v/>
      </c>
      <c r="G7" s="206" t="inlineStr">
        <is>
          <t>Joint Opening/VIP Tour</t>
        </is>
      </c>
      <c r="H7" s="183" t="n"/>
      <c r="I7" s="183" t="n"/>
      <c r="J7" s="184" t="n"/>
      <c r="M7" s="207" t="inlineStr">
        <is>
          <t>Opening/Roundtable</t>
        </is>
      </c>
      <c r="N7" s="183" t="n"/>
      <c r="O7" s="183" t="n"/>
      <c r="P7" s="183" t="n"/>
      <c r="Q7" s="183" t="n"/>
      <c r="R7" s="184" t="n"/>
      <c r="S7" s="207" t="inlineStr">
        <is>
          <t>SC</t>
        </is>
      </c>
      <c r="T7" s="184" t="n"/>
      <c r="W7" s="204" t="inlineStr">
        <is>
          <t>Gala</t>
        </is>
      </c>
      <c r="X7" s="183" t="n"/>
      <c r="Y7" s="183" t="n"/>
      <c r="Z7" s="183" t="n"/>
      <c r="AA7" s="183" t="n"/>
      <c r="AB7" s="183" t="n"/>
      <c r="AC7" s="184" t="n"/>
    </row>
    <row r="8" ht="21.75" customHeight="1" s="123">
      <c r="A8" s="165">
        <f>人員一覧・判定!B7</f>
        <v/>
      </c>
      <c r="F8" s="186" t="inlineStr">
        <is>
          <t>Opening/VIP Tour(内閣府に同行、随行ではない)</t>
        </is>
      </c>
      <c r="G8" s="183" t="n"/>
      <c r="H8" s="183" t="n"/>
      <c r="I8" s="183" t="n"/>
      <c r="J8" s="184" t="n"/>
      <c r="M8" s="207" t="inlineStr">
        <is>
          <t>Opening/RT(内閣府随行)</t>
        </is>
      </c>
      <c r="N8" s="183" t="n"/>
      <c r="O8" s="183" t="n"/>
      <c r="P8" s="183" t="n"/>
      <c r="Q8" s="183" t="n"/>
      <c r="R8" s="184" t="n"/>
      <c r="S8" s="207" t="inlineStr">
        <is>
          <t>SC(議長=内閣府 補佐)</t>
        </is>
      </c>
      <c r="T8" s="184" t="n"/>
      <c r="W8" s="204" t="inlineStr">
        <is>
          <t>Gala(内閣府随行)</t>
        </is>
      </c>
      <c r="X8" s="183" t="n"/>
      <c r="Y8" s="183" t="n"/>
      <c r="Z8" s="183" t="n"/>
      <c r="AA8" s="183" t="n"/>
      <c r="AB8" s="183" t="n"/>
      <c r="AC8" s="184" t="n"/>
    </row>
    <row r="9" ht="21.75" customHeight="1" s="123">
      <c r="A9" s="165">
        <f>人員一覧・判定!B8</f>
        <v/>
      </c>
      <c r="C9" s="188" t="inlineStr">
        <is>
          <t>会場テスト/事務局部屋</t>
        </is>
      </c>
      <c r="D9" s="183" t="n"/>
      <c r="E9" s="183" t="n"/>
      <c r="F9" s="184" t="n"/>
      <c r="G9" s="186" t="inlineStr">
        <is>
          <t>COSEM調整・VIP動線(臨機応変)</t>
        </is>
      </c>
      <c r="H9" s="183" t="n"/>
      <c r="I9" s="183" t="n"/>
      <c r="J9" s="184" t="n"/>
      <c r="M9" s="207" t="inlineStr">
        <is>
          <t>RT(バイ会談調整)</t>
        </is>
      </c>
      <c r="N9" s="183" t="n"/>
      <c r="O9" s="183" t="n"/>
      <c r="P9" s="183" t="n"/>
      <c r="Q9" s="183" t="n"/>
      <c r="R9" s="184" t="n"/>
      <c r="S9" s="207" t="inlineStr">
        <is>
          <t>SC</t>
        </is>
      </c>
      <c r="T9" s="184" t="n"/>
      <c r="V9" s="204" t="inlineStr">
        <is>
          <t>Gala引率(バス)</t>
        </is>
      </c>
      <c r="W9" s="183" t="n"/>
      <c r="X9" s="183" t="n"/>
      <c r="Y9" s="183" t="n"/>
      <c r="Z9" s="183" t="n"/>
      <c r="AA9" s="183" t="n"/>
      <c r="AB9" s="183" t="n"/>
      <c r="AC9" s="184" t="n"/>
    </row>
    <row r="10" ht="21.75" customHeight="1" s="123">
      <c r="A10" s="165">
        <f>人員一覧・判定!B9</f>
        <v/>
      </c>
      <c r="C10" s="188" t="inlineStr">
        <is>
          <t>会場・NW・Zoom・AI通訳テスト／日本側と接続確認</t>
        </is>
      </c>
      <c r="D10" s="183" t="n"/>
      <c r="E10" s="183" t="n"/>
      <c r="F10" s="184" t="n"/>
      <c r="G10" s="206" t="inlineStr">
        <is>
          <t>Opening進行確認/VIP Tour同行</t>
        </is>
      </c>
      <c r="H10" s="183" t="n"/>
      <c r="I10" s="183" t="n"/>
      <c r="J10" s="184" t="n"/>
      <c r="M10" s="207" t="inlineStr">
        <is>
          <t>ACDR Opening進行</t>
        </is>
      </c>
      <c r="N10" s="189" t="inlineStr">
        <is>
          <t>RT AV/Zoom運用</t>
        </is>
      </c>
      <c r="O10" s="183" t="n"/>
      <c r="P10" s="183" t="n"/>
      <c r="Q10" s="183" t="n"/>
      <c r="R10" s="184" t="n"/>
      <c r="S10" s="207" t="inlineStr">
        <is>
          <t>SC(記録)</t>
        </is>
      </c>
      <c r="T10" s="184" t="n"/>
      <c r="W10" s="204" t="inlineStr">
        <is>
          <t>Gala</t>
        </is>
      </c>
      <c r="X10" s="183" t="n"/>
      <c r="Y10" s="183" t="n"/>
      <c r="Z10" s="183" t="n"/>
      <c r="AA10" s="183" t="n"/>
      <c r="AB10" s="183" t="n"/>
      <c r="AC10" s="184" t="n"/>
    </row>
    <row r="11" ht="21.75" customHeight="1" s="123">
      <c r="A11" s="165">
        <f>人員一覧・判定!B10</f>
        <v/>
      </c>
      <c r="D11" s="208" t="inlineStr">
        <is>
          <t>RT準備(ステートメント・席札)</t>
        </is>
      </c>
      <c r="E11" s="183" t="n"/>
      <c r="F11" s="184" t="n"/>
      <c r="G11" s="190" t="inlineStr">
        <is>
          <t>参加者誘導(Hall3→昼食)</t>
        </is>
      </c>
      <c r="H11" s="183" t="n"/>
      <c r="I11" s="183" t="n"/>
      <c r="J11" s="184" t="n"/>
      <c r="M11" s="207" t="inlineStr">
        <is>
          <t>RT運営(PIC)</t>
        </is>
      </c>
      <c r="N11" s="183" t="n"/>
      <c r="O11" s="183" t="n"/>
      <c r="P11" s="183" t="n"/>
      <c r="Q11" s="183" t="n"/>
      <c r="R11" s="184" t="n"/>
      <c r="S11" s="207" t="inlineStr">
        <is>
          <t>SC補助</t>
        </is>
      </c>
      <c r="T11" s="184" t="n"/>
      <c r="V11" s="204" t="inlineStr">
        <is>
          <t>Gala引率</t>
        </is>
      </c>
      <c r="W11" s="183" t="n"/>
      <c r="X11" s="183" t="n"/>
      <c r="Y11" s="183" t="n"/>
      <c r="Z11" s="183" t="n"/>
      <c r="AA11" s="183" t="n"/>
      <c r="AB11" s="183" t="n"/>
      <c r="AC11" s="184" t="n"/>
    </row>
    <row r="12" ht="21.75" customHeight="1" s="123">
      <c r="A12" s="165">
        <f>人員一覧・判定!B11</f>
        <v/>
      </c>
      <c r="D12" s="209" t="inlineStr">
        <is>
          <t>受付デスク設営・運営(Peridot)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90" t="inlineStr">
        <is>
          <t>受付/RT</t>
        </is>
      </c>
      <c r="N12" s="183" t="n"/>
      <c r="O12" s="183" t="n"/>
      <c r="P12" s="183" t="n"/>
      <c r="Q12" s="183" t="n"/>
      <c r="R12" s="184" t="n"/>
      <c r="S12" s="207" t="inlineStr">
        <is>
          <t>SC事務(議案・進行・会計報告)</t>
        </is>
      </c>
      <c r="T12" s="184" t="n"/>
      <c r="W12" s="204" t="inlineStr">
        <is>
          <t>Gala</t>
        </is>
      </c>
      <c r="X12" s="183" t="n"/>
      <c r="Y12" s="183" t="n"/>
      <c r="Z12" s="183" t="n"/>
      <c r="AA12" s="183" t="n"/>
      <c r="AB12" s="183" t="n"/>
      <c r="AC12" s="184" t="n"/>
    </row>
    <row r="13" ht="21.75" customHeight="1" s="123">
      <c r="A13" s="165">
        <f>人員一覧・判定!B12</f>
        <v/>
      </c>
      <c r="D13" s="209" t="inlineStr">
        <is>
          <t>受付デスク設営・運営(Peridot)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90" t="inlineStr">
        <is>
          <t>受付/RT</t>
        </is>
      </c>
      <c r="N13" s="183" t="n"/>
      <c r="O13" s="183" t="n"/>
      <c r="P13" s="183" t="n"/>
      <c r="Q13" s="183" t="n"/>
      <c r="R13" s="184" t="n"/>
      <c r="S13" s="190" t="inlineStr">
        <is>
          <t>受付</t>
        </is>
      </c>
      <c r="T13" s="184" t="n"/>
      <c r="V13" s="204" t="inlineStr">
        <is>
          <t>Gala引率(名簿)</t>
        </is>
      </c>
      <c r="W13" s="183" t="n"/>
      <c r="X13" s="183" t="n"/>
      <c r="Y13" s="183" t="n"/>
      <c r="Z13" s="183" t="n"/>
      <c r="AA13" s="183" t="n"/>
      <c r="AB13" s="183" t="n"/>
      <c r="AC13" s="184" t="n"/>
    </row>
    <row r="14" ht="21.75" customHeight="1" s="123">
      <c r="A14" s="165">
        <f>人員一覧・判定!B13</f>
        <v/>
      </c>
      <c r="C14" s="188" t="inlineStr">
        <is>
          <t>会場AVテスト／日本側と接続確認</t>
        </is>
      </c>
      <c r="D14" s="183" t="n"/>
      <c r="E14" s="183" t="n"/>
      <c r="F14" s="184" t="n"/>
      <c r="G14" s="189" t="inlineStr">
        <is>
          <t>Japan Pavilion連携</t>
        </is>
      </c>
      <c r="H14" s="183" t="n"/>
      <c r="I14" s="183" t="n"/>
      <c r="J14" s="184" t="n"/>
      <c r="M14" s="189" t="inlineStr">
        <is>
          <t>RT PC・スクリーン操作</t>
        </is>
      </c>
      <c r="N14" s="183" t="n"/>
      <c r="O14" s="183" t="n"/>
      <c r="P14" s="183" t="n"/>
      <c r="Q14" s="183" t="n"/>
      <c r="R14" s="184" t="n"/>
      <c r="S14" s="189" t="inlineStr">
        <is>
          <t>SC(AV)</t>
        </is>
      </c>
      <c r="T14" s="184" t="n"/>
      <c r="W14" s="204" t="inlineStr">
        <is>
          <t>Gala</t>
        </is>
      </c>
      <c r="X14" s="183" t="n"/>
      <c r="Y14" s="183" t="n"/>
      <c r="Z14" s="183" t="n"/>
      <c r="AA14" s="183" t="n"/>
      <c r="AB14" s="183" t="n"/>
      <c r="AC14" s="184" t="n"/>
    </row>
    <row r="15" ht="21.75" customHeight="1" s="123">
      <c r="A15" s="192">
        <f>人員一覧・判定!C14</f>
        <v/>
      </c>
      <c r="C15" s="135" t="inlineStr">
        <is>
          <t>事務局部屋・受付デスク設営</t>
        </is>
      </c>
      <c r="D15" s="187" t="inlineStr">
        <is>
          <t>受付デスク設営</t>
        </is>
      </c>
      <c r="E15" s="183" t="n"/>
      <c r="F15" s="184" t="n"/>
      <c r="G15" s="207" t="inlineStr">
        <is>
          <t>Opening</t>
        </is>
      </c>
      <c r="H15" s="183" t="n"/>
      <c r="I15" s="183" t="n"/>
      <c r="J15" s="184" t="n"/>
      <c r="M15" s="207" t="inlineStr">
        <is>
          <t>RT共同運営/ノート</t>
        </is>
      </c>
      <c r="N15" s="183" t="n"/>
      <c r="O15" s="183" t="n"/>
      <c r="P15" s="183" t="n"/>
      <c r="Q15" s="183" t="n"/>
      <c r="R15" s="184" t="n"/>
      <c r="S15" s="207" t="inlineStr">
        <is>
          <t>SCメモ</t>
        </is>
      </c>
      <c r="T15" s="184" t="n"/>
      <c r="W15" s="204" t="inlineStr">
        <is>
          <t>Gala</t>
        </is>
      </c>
      <c r="X15" s="183" t="n"/>
      <c r="Y15" s="183" t="n"/>
      <c r="Z15" s="183" t="n"/>
      <c r="AA15" s="183" t="n"/>
      <c r="AB15" s="183" t="n"/>
      <c r="AC15" s="184" t="n"/>
      <c r="AD15" s="208" t="inlineStr">
        <is>
          <t>Draft Summary執筆</t>
        </is>
      </c>
      <c r="AE15" s="183" t="n"/>
      <c r="AF15" s="184" t="n"/>
    </row>
    <row r="16" ht="21.75" customHeight="1" s="123">
      <c r="A16" s="165">
        <f>人員一覧・判定!C15</f>
        <v/>
      </c>
      <c r="C16" s="135" t="inlineStr">
        <is>
          <t>事務局部屋・受付デスク設営</t>
        </is>
      </c>
      <c r="D16" s="187" t="inlineStr">
        <is>
          <t>受付デスク設営</t>
        </is>
      </c>
      <c r="E16" s="183" t="n"/>
      <c r="F16" s="184" t="n"/>
      <c r="G16" s="207" t="inlineStr">
        <is>
          <t>Opening</t>
        </is>
      </c>
      <c r="H16" s="183" t="n"/>
      <c r="I16" s="183" t="n"/>
      <c r="J16" s="184" t="n"/>
      <c r="M16" s="207" t="inlineStr">
        <is>
          <t>RTノート/翌日登壇者対応</t>
        </is>
      </c>
      <c r="N16" s="183" t="n"/>
      <c r="O16" s="183" t="n"/>
      <c r="P16" s="183" t="n"/>
      <c r="Q16" s="183" t="n"/>
      <c r="R16" s="184" t="n"/>
      <c r="S16" s="187" t="inlineStr">
        <is>
          <t>登壇者リハ調整</t>
        </is>
      </c>
      <c r="T16" s="184" t="n"/>
      <c r="W16" s="204" t="inlineStr">
        <is>
          <t>Gala</t>
        </is>
      </c>
      <c r="X16" s="183" t="n"/>
      <c r="Y16" s="183" t="n"/>
      <c r="Z16" s="183" t="n"/>
      <c r="AA16" s="183" t="n"/>
      <c r="AB16" s="183" t="n"/>
      <c r="AC16" s="184" t="n"/>
    </row>
    <row r="17" ht="21.75" customHeight="1" s="123">
      <c r="A17" s="165">
        <f>人員一覧・判定!B16</f>
        <v/>
      </c>
      <c r="C17" s="188" t="inlineStr">
        <is>
          <t>Zoom/AI翻訳セットアップ</t>
        </is>
      </c>
      <c r="D17" s="183" t="n"/>
      <c r="E17" s="183" t="n"/>
      <c r="F17" s="184" t="n"/>
      <c r="G17" s="188" t="inlineStr">
        <is>
          <t>写真/誘導</t>
        </is>
      </c>
      <c r="H17" s="183" t="n"/>
      <c r="I17" s="183" t="n"/>
      <c r="J17" s="184" t="n"/>
      <c r="M17" s="188" t="inlineStr">
        <is>
          <t>Zoom・AI翻訳オペ/写真</t>
        </is>
      </c>
      <c r="N17" s="183" t="n"/>
      <c r="O17" s="183" t="n"/>
      <c r="P17" s="183" t="n"/>
      <c r="Q17" s="183" t="n"/>
      <c r="R17" s="183" t="n"/>
      <c r="S17" s="183" t="n"/>
      <c r="T17" s="184" t="n"/>
      <c r="W17" s="182" t="inlineStr">
        <is>
          <t>Gala(写真)</t>
        </is>
      </c>
      <c r="X17" s="183" t="n"/>
      <c r="Y17" s="183" t="n"/>
      <c r="Z17" s="183" t="n"/>
      <c r="AA17" s="183" t="n"/>
      <c r="AB17" s="183" t="n"/>
      <c r="AC17" s="184" t="n"/>
    </row>
    <row r="18" ht="21.75" customHeight="1" s="123">
      <c r="A18" s="165">
        <f>人員一覧・判定!B17</f>
        <v/>
      </c>
      <c r="C18" s="135" t="inlineStr">
        <is>
          <t>事務局部屋・受付デスク設営</t>
        </is>
      </c>
      <c r="D18" s="187" t="inlineStr">
        <is>
          <t>受付デスク設営</t>
        </is>
      </c>
      <c r="E18" s="183" t="n"/>
      <c r="F18" s="184" t="n"/>
      <c r="G18" s="190" t="inlineStr">
        <is>
          <t>参加者誘導</t>
        </is>
      </c>
      <c r="H18" s="183" t="n"/>
      <c r="I18" s="183" t="n"/>
      <c r="J18" s="184" t="n"/>
      <c r="M18" s="212" t="inlineStr">
        <is>
          <t>RT記録</t>
        </is>
      </c>
      <c r="N18" s="183" t="n"/>
      <c r="O18" s="183" t="n"/>
      <c r="P18" s="183" t="n"/>
      <c r="Q18" s="183" t="n"/>
      <c r="R18" s="184" t="n"/>
      <c r="S18" s="212" t="inlineStr">
        <is>
          <t>SC記録補助</t>
        </is>
      </c>
      <c r="T18" s="184" t="n"/>
      <c r="W18" s="182" t="inlineStr">
        <is>
          <t>Gala</t>
        </is>
      </c>
      <c r="X18" s="183" t="n"/>
      <c r="Y18" s="183" t="n"/>
      <c r="Z18" s="183" t="n"/>
      <c r="AA18" s="183" t="n"/>
      <c r="AB18" s="183" t="n"/>
      <c r="AC18" s="184" t="n"/>
    </row>
    <row r="19" ht="14.25" customHeight="1" s="123">
      <c r="A19" s="134" t="inlineStr">
        <is>
          <t>稼働人数(自動)</t>
        </is>
      </c>
      <c r="B19" s="197">
        <f>COUNTA(B5:B18)</f>
        <v/>
      </c>
      <c r="C19" s="197">
        <f>COUNTA(C5:C18)</f>
        <v/>
      </c>
      <c r="D19" s="197">
        <f>COUNTA(D5:D18)</f>
        <v/>
      </c>
      <c r="E19" s="197">
        <f>COUNTA(E5:E18)</f>
        <v/>
      </c>
      <c r="F19" s="197">
        <f>COUNTA(F5:F18)</f>
        <v/>
      </c>
      <c r="G19" s="197">
        <f>COUNTA(G5:G18)</f>
        <v/>
      </c>
      <c r="H19" s="197">
        <f>COUNTA(H5:H18)</f>
        <v/>
      </c>
      <c r="I19" s="197">
        <f>COUNTA(I5:I18)</f>
        <v/>
      </c>
      <c r="J19" s="197">
        <f>COUNTA(J5:J18)</f>
        <v/>
      </c>
      <c r="K19" s="197">
        <f>COUNTA(K5:K18)</f>
        <v/>
      </c>
      <c r="L19" s="197">
        <f>COUNTA(L5:L18)</f>
        <v/>
      </c>
      <c r="M19" s="197">
        <f>COUNTA(M5:M18)</f>
        <v/>
      </c>
      <c r="N19" s="197">
        <f>COUNTA(N5:N18)</f>
        <v/>
      </c>
      <c r="O19" s="197">
        <f>COUNTA(O5:O18)</f>
        <v/>
      </c>
      <c r="P19" s="197">
        <f>COUNTA(P5:P18)</f>
        <v/>
      </c>
      <c r="Q19" s="197">
        <f>COUNTA(Q5:Q18)</f>
        <v/>
      </c>
      <c r="R19" s="197">
        <f>COUNTA(R5:R18)</f>
        <v/>
      </c>
      <c r="S19" s="197">
        <f>COUNTA(S5:S18)</f>
        <v/>
      </c>
      <c r="T19" s="197">
        <f>COUNTA(T5:T18)</f>
        <v/>
      </c>
      <c r="U19" s="197">
        <f>COUNTA(U5:U18)</f>
        <v/>
      </c>
      <c r="V19" s="197">
        <f>COUNTA(V5:V18)</f>
        <v/>
      </c>
      <c r="W19" s="197">
        <f>COUNTA(W5:W18)</f>
        <v/>
      </c>
      <c r="X19" s="197">
        <f>COUNTA(X5:X18)</f>
        <v/>
      </c>
      <c r="Y19" s="197">
        <f>COUNTA(Y5:Y18)</f>
        <v/>
      </c>
      <c r="Z19" s="197">
        <f>COUNTA(Z5:Z18)</f>
        <v/>
      </c>
      <c r="AA19" s="197">
        <f>COUNTA(AA5:AA18)</f>
        <v/>
      </c>
      <c r="AB19" s="197">
        <f>COUNTA(AB5:AB18)</f>
        <v/>
      </c>
      <c r="AC19" s="197">
        <f>COUNTA(AC5:AC18)</f>
        <v/>
      </c>
      <c r="AD19" s="197">
        <f>COUNTA(AD5:AD18)</f>
        <v/>
      </c>
      <c r="AE19" s="197">
        <f>COUNTA(AE5:AE18)</f>
        <v/>
      </c>
      <c r="AF19" s="197">
        <f>COUNTA(AF5:AF18)</f>
        <v/>
      </c>
      <c r="AG19" s="197">
        <f>COUNTA(AG5:AG18)</f>
        <v/>
      </c>
    </row>
    <row r="20" ht="14.25" customHeight="1" s="123">
      <c r="A20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1" ht="60" customHeight="1" s="123">
      <c r="A21" s="199" t="inlineStr">
        <is>
          <t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　(4)【9/24】Sylvia氏（9/18）からDay 1全体の前倒し要望。RT・SCは短縮不可と回答済み。前倒しの可否は日本パビリオン開会式（GOHツアー内）の所要時間次第で、9/25内閣府連絡会後に田中経由で正式回答。前倒しする場合は昼食を11:45-12:30に短縮し、開会12:30・RT12:45-15:15・SC15:30-16:30が候補。　(5)【9/24】森口は現地不参加に変更。SC事務のうち議案・進行の担当を再割当（会計報告は藤中）。</t>
        </is>
      </c>
    </row>
    <row r="22" ht="14.25" customHeight="1" s="123">
      <c r="A22" t="inlineStr">
        <is>
          <t>None</t>
        </is>
      </c>
    </row>
    <row r="23" ht="14.25" customHeight="1" s="123">
      <c r="A23" s="200" t="inlineStr">
        <is>
          <t>日本側サポート（神戸）※列はシンガポール時間、JSTは+1時間</t>
        </is>
      </c>
    </row>
    <row r="24" ht="21.75" customHeight="1" s="123">
      <c r="A24" s="176">
        <f>人員一覧・判定!B18</f>
        <v/>
      </c>
      <c r="D24" s="201" t="inlineStr">
        <is>
          <t>Webinar起動・AI通訳・現地接続確認 (JST9-10:30)</t>
        </is>
      </c>
      <c r="E24" s="183" t="n"/>
      <c r="F24" s="184" t="n"/>
      <c r="M24" s="201" t="inlineStr">
        <is>
          <t>ACDR Opening/RT: Q&amp;A・コメント確認・AI通訳監視</t>
        </is>
      </c>
      <c r="N24" s="183" t="n"/>
      <c r="O24" s="183" t="n"/>
      <c r="P24" s="183" t="n"/>
      <c r="Q24" s="183" t="n"/>
      <c r="R24" s="184" t="n"/>
      <c r="S24" s="201" t="inlineStr">
        <is>
          <t>SC: Zoom設定・Q&amp;A確認</t>
        </is>
      </c>
      <c r="T24" s="184" t="n"/>
    </row>
    <row r="25" ht="21.75" customHeight="1" s="123">
      <c r="A25" s="176">
        <f>人員一覧・判定!B19</f>
        <v/>
      </c>
      <c r="D25" s="193" t="inlineStr">
        <is>
          <t>録画準備</t>
        </is>
      </c>
      <c r="E25" s="183" t="n"/>
      <c r="F25" s="184" t="n"/>
      <c r="M25" s="201" t="inlineStr">
        <is>
          <t>Opening/RT 録画・オンライン質疑取次</t>
        </is>
      </c>
      <c r="N25" s="183" t="n"/>
      <c r="O25" s="183" t="n"/>
      <c r="P25" s="183" t="n"/>
      <c r="Q25" s="183" t="n"/>
      <c r="R25" s="184" t="n"/>
      <c r="S25" s="201" t="inlineStr">
        <is>
          <t>SC 録画</t>
        </is>
      </c>
      <c r="T25" s="184" t="n"/>
    </row>
    <row r="26" ht="21.75" customHeight="1" s="123">
      <c r="A26" s="176">
        <f>人員一覧・判定!B21</f>
        <v/>
      </c>
      <c r="M26" s="202" t="inlineStr">
        <is>
          <t>録画(日英2台)ローカル保存 ※仮置き</t>
        </is>
      </c>
      <c r="N26" s="183" t="n"/>
      <c r="O26" s="183" t="n"/>
      <c r="P26" s="183" t="n"/>
      <c r="Q26" s="183" t="n"/>
      <c r="R26" s="183" t="n"/>
      <c r="S26" s="183" t="n"/>
      <c r="T26" s="184" t="n"/>
    </row>
    <row r="27" ht="21.75" customHeight="1" s="123">
      <c r="A27" s="176">
        <f>人員一覧・判定!B20</f>
        <v/>
      </c>
      <c r="D27" s="203" t="inlineStr">
        <is>
          <t>Webinarホスト・録画確認 ※仮置き</t>
        </is>
      </c>
      <c r="E27" s="183" t="n"/>
      <c r="F27" s="184" t="n"/>
      <c r="S27" s="203" t="inlineStr">
        <is>
          <t>SC Zoom設定 ※仮置き</t>
        </is>
      </c>
      <c r="T27" s="184" t="n"/>
    </row>
    <row r="28" ht="14.25" customHeight="1" s="123">
      <c r="A28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  <row r="29" s="123"/>
  </sheetData>
  <mergeCells count="78">
    <mergeCell ref="W4:X4"/>
    <mergeCell ref="D11:F11"/>
    <mergeCell ref="D13:L13"/>
    <mergeCell ref="M15:R15"/>
    <mergeCell ref="V13:AC13"/>
    <mergeCell ref="S7:T7"/>
    <mergeCell ref="A23:L23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M17:T17"/>
    <mergeCell ref="W12:AC12"/>
    <mergeCell ref="Y4:AC4"/>
    <mergeCell ref="AD15:AF15"/>
    <mergeCell ref="G16:J16"/>
    <mergeCell ref="M13:R13"/>
    <mergeCell ref="M7:R7"/>
    <mergeCell ref="M16:R16"/>
    <mergeCell ref="D16:F16"/>
    <mergeCell ref="G9:J9"/>
    <mergeCell ref="M18:R18"/>
    <mergeCell ref="D18:F18"/>
    <mergeCell ref="S14:T14"/>
    <mergeCell ref="D12:L12"/>
    <mergeCell ref="G11:J11"/>
    <mergeCell ref="M8:R8"/>
    <mergeCell ref="W10:AC10"/>
    <mergeCell ref="V9:AC9"/>
    <mergeCell ref="A21:T21"/>
    <mergeCell ref="V11:AC11"/>
    <mergeCell ref="S6:T6"/>
    <mergeCell ref="M9:R9"/>
    <mergeCell ref="G15:J15"/>
    <mergeCell ref="M11:R11"/>
    <mergeCell ref="S16:T16"/>
    <mergeCell ref="S25:T25"/>
    <mergeCell ref="S18:T18"/>
    <mergeCell ref="S27:T27"/>
    <mergeCell ref="W14:AC14"/>
    <mergeCell ref="M12:R12"/>
    <mergeCell ref="S8:T8"/>
    <mergeCell ref="S11:T11"/>
    <mergeCell ref="D15:F15"/>
    <mergeCell ref="W15:AC15"/>
    <mergeCell ref="M24:R24"/>
    <mergeCell ref="D24:F24"/>
    <mergeCell ref="G17:J17"/>
    <mergeCell ref="M26:T26"/>
    <mergeCell ref="G6:J6"/>
    <mergeCell ref="C9:F9"/>
    <mergeCell ref="I4:J4"/>
    <mergeCell ref="K4:L4"/>
    <mergeCell ref="G14:J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D4" s="182" t="inlineStr">
        <is>
          <t>会場準備(ステージ前方へ・テーブルマイク)／登壇者集合・接続確認</t>
        </is>
      </c>
      <c r="E4" s="183" t="n"/>
      <c r="F4" s="184" t="n"/>
      <c r="G4" s="204" t="inlineStr">
        <is>
          <t>Technical Session (Peridot) 09:30-11:30　モデレーター LTC Chen Yong Kai (SCDF) + ADRC Co-Chair</t>
        </is>
      </c>
      <c r="H4" s="183" t="n"/>
      <c r="I4" s="183" t="n"/>
      <c r="J4" s="184" t="n"/>
      <c r="K4" s="204" t="inlineStr">
        <is>
          <t>Summary &amp; Closing</t>
        </is>
      </c>
      <c r="L4" s="204" t="inlineStr">
        <is>
          <t>Lunch</t>
        </is>
      </c>
      <c r="M4" s="184" t="n"/>
      <c r="N4" s="204" t="inlineStr">
        <is>
          <t>Field Trip: Civil Defence Academy　13:00 EXPO発 → 16:15 EXPO帰着（9/18 WhatsApp配布の最新版。ADRC Web用アジェンダv2と整合）</t>
        </is>
      </c>
      <c r="O4" s="183" t="n"/>
      <c r="P4" s="183" t="n"/>
      <c r="Q4" s="183" t="n"/>
      <c r="R4" s="183" t="n"/>
      <c r="S4" s="183" t="n"/>
      <c r="T4" s="183" t="n"/>
      <c r="U4" s="184" t="n"/>
      <c r="Y4" s="204" t="inlineStr">
        <is>
          <t>SCDF Parade (Hall 4)</t>
        </is>
      </c>
      <c r="Z4" s="183" t="n"/>
      <c r="AA4" s="184" t="n"/>
      <c r="AB4" s="204" t="inlineStr">
        <is>
          <t>Parade Dinner (Garnet Room)</t>
        </is>
      </c>
      <c r="AC4" s="183" t="n"/>
      <c r="AD4" s="184" t="n"/>
    </row>
    <row r="5" ht="3.75" customHeight="1" s="123">
      <c r="A5" s="181" t="n"/>
      <c r="D5" s="185" t="n"/>
      <c r="E5" s="185" t="n"/>
      <c r="F5" s="185" t="n"/>
      <c r="G5" s="204" t="n"/>
      <c r="H5" s="204" t="n"/>
      <c r="I5" s="204" t="n"/>
      <c r="J5" s="204" t="n"/>
      <c r="K5" s="204" t="n"/>
      <c r="L5" s="205" t="n"/>
      <c r="M5" s="205" t="n"/>
      <c r="N5" s="204" t="n"/>
      <c r="O5" s="204" t="n"/>
      <c r="P5" s="204" t="n"/>
      <c r="Q5" s="204" t="n"/>
      <c r="R5" s="204" t="n"/>
      <c r="S5" s="204" t="n"/>
      <c r="T5" s="204" t="n"/>
      <c r="U5" s="204" t="n"/>
      <c r="Y5" s="204" t="n"/>
      <c r="Z5" s="204" t="n"/>
      <c r="AA5" s="204" t="n"/>
      <c r="AB5" s="204" t="n"/>
      <c r="AC5" s="204" t="n"/>
      <c r="AD5" s="204" t="n"/>
    </row>
    <row r="6" ht="21.75" customHeight="1" s="123">
      <c r="A6" s="165">
        <f>人員一覧・判定!B5</f>
        <v/>
      </c>
      <c r="G6" s="207" t="inlineStr">
        <is>
          <t>Tech Session/Closing</t>
        </is>
      </c>
      <c r="H6" s="183" t="n"/>
      <c r="I6" s="183" t="n"/>
      <c r="J6" s="183" t="n"/>
      <c r="K6" s="184" t="n"/>
      <c r="N6" s="213" t="inlineStr">
        <is>
          <t>Field Trip</t>
        </is>
      </c>
      <c r="O6" s="183" t="n"/>
      <c r="P6" s="183" t="n"/>
      <c r="Q6" s="183" t="n"/>
      <c r="R6" s="183" t="n"/>
      <c r="S6" s="183" t="n"/>
      <c r="T6" s="183" t="n"/>
      <c r="U6" s="184" t="n"/>
      <c r="X6" s="214" t="n"/>
      <c r="Y6" s="204" t="inlineStr">
        <is>
          <t>Parade &amp; Dinner</t>
        </is>
      </c>
      <c r="Z6" s="183" t="n"/>
      <c r="AA6" s="183" t="n"/>
      <c r="AB6" s="183" t="n"/>
      <c r="AC6" s="183" t="n"/>
      <c r="AD6" s="184" t="n"/>
    </row>
    <row r="7" ht="21.75" customHeight="1" s="123">
      <c r="A7" s="165">
        <f>人員一覧・判定!B6</f>
        <v/>
      </c>
      <c r="G7" s="207" t="inlineStr">
        <is>
          <t>Tech Session/Closing</t>
        </is>
      </c>
      <c r="H7" s="183" t="n"/>
      <c r="I7" s="183" t="n"/>
      <c r="J7" s="183" t="n"/>
      <c r="K7" s="184" t="n"/>
      <c r="N7" s="213" t="inlineStr">
        <is>
          <t>Field Trip</t>
        </is>
      </c>
      <c r="O7" s="183" t="n"/>
      <c r="P7" s="183" t="n"/>
      <c r="Q7" s="183" t="n"/>
      <c r="R7" s="183" t="n"/>
      <c r="S7" s="183" t="n"/>
      <c r="T7" s="183" t="n"/>
      <c r="U7" s="184" t="n"/>
      <c r="X7" s="214" t="n"/>
      <c r="Y7" s="204" t="inlineStr">
        <is>
          <t>Parade &amp; Dinner</t>
        </is>
      </c>
      <c r="Z7" s="183" t="n"/>
      <c r="AA7" s="183" t="n"/>
      <c r="AB7" s="183" t="n"/>
      <c r="AC7" s="183" t="n"/>
      <c r="AD7" s="184" t="n"/>
    </row>
    <row r="8" ht="21.75" customHeight="1" s="123">
      <c r="A8" s="165">
        <f>人員一覧・判定!B7</f>
        <v/>
      </c>
      <c r="G8" s="207" t="inlineStr">
        <is>
          <t>Tech Session/Closing(内閣府随行)</t>
        </is>
      </c>
      <c r="H8" s="183" t="n"/>
      <c r="I8" s="183" t="n"/>
      <c r="J8" s="183" t="n"/>
      <c r="K8" s="184" t="n"/>
      <c r="N8" s="213" t="inlineStr">
        <is>
          <t>Field Trip</t>
        </is>
      </c>
      <c r="O8" s="183" t="n"/>
      <c r="P8" s="183" t="n"/>
      <c r="Q8" s="183" t="n"/>
      <c r="R8" s="183" t="n"/>
      <c r="S8" s="183" t="n"/>
      <c r="T8" s="183" t="n"/>
      <c r="U8" s="184" t="n"/>
      <c r="X8" s="214" t="n"/>
      <c r="Y8" s="204" t="inlineStr">
        <is>
          <t>Parade &amp; Dinner</t>
        </is>
      </c>
      <c r="Z8" s="183" t="n"/>
      <c r="AA8" s="183" t="n"/>
      <c r="AB8" s="183" t="n"/>
      <c r="AC8" s="183" t="n"/>
      <c r="AD8" s="184" t="n"/>
    </row>
    <row r="9" ht="21.75" customHeight="1" s="123">
      <c r="A9" s="165">
        <f>人員一覧・判定!B8</f>
        <v/>
      </c>
      <c r="D9" s="188" t="inlineStr">
        <is>
          <t>会場準備</t>
        </is>
      </c>
      <c r="E9" s="183" t="n"/>
      <c r="F9" s="184" t="n"/>
      <c r="G9" s="207" t="inlineStr">
        <is>
          <t>Tech Session(バイ会談調整)</t>
        </is>
      </c>
      <c r="H9" s="183" t="n"/>
      <c r="I9" s="183" t="n"/>
      <c r="J9" s="183" t="n"/>
      <c r="K9" s="184" t="n"/>
      <c r="N9" s="215" t="inlineStr">
        <is>
          <t>事務局撤収(藤中と2名)/バイ会談</t>
        </is>
      </c>
      <c r="O9" s="183" t="n"/>
      <c r="P9" s="183" t="n"/>
      <c r="Q9" s="183" t="n"/>
      <c r="R9" s="183" t="n"/>
      <c r="S9" s="183" t="n"/>
      <c r="T9" s="183" t="n"/>
      <c r="U9" s="184" t="n"/>
      <c r="X9" s="214" t="n"/>
      <c r="Y9" s="204" t="inlineStr">
        <is>
          <t>Parade &amp; Dinner</t>
        </is>
      </c>
      <c r="Z9" s="183" t="n"/>
      <c r="AA9" s="183" t="n"/>
      <c r="AB9" s="183" t="n"/>
      <c r="AC9" s="183" t="n"/>
      <c r="AD9" s="184" t="n"/>
    </row>
    <row r="10" ht="21.75" customHeight="1" s="123">
      <c r="A10" s="165">
        <f>人員一覧・判定!B9</f>
        <v/>
      </c>
      <c r="D10" s="189" t="inlineStr">
        <is>
          <t>AV/Zoom準備・登壇者確認／日本側と接続確認</t>
        </is>
      </c>
      <c r="E10" s="183" t="n"/>
      <c r="F10" s="184" t="n"/>
      <c r="G10" s="189" t="inlineStr">
        <is>
          <t>Tech Session AV/Zoom運用</t>
        </is>
      </c>
      <c r="H10" s="183" t="n"/>
      <c r="I10" s="183" t="n"/>
      <c r="J10" s="184" t="n"/>
      <c r="K10" s="207" t="inlineStr">
        <is>
          <t>Summary/Closing進行</t>
        </is>
      </c>
      <c r="M10" s="213" t="inlineStr">
        <is>
          <t>Field Trip引率(バス)</t>
        </is>
      </c>
      <c r="N10" s="183" t="n"/>
      <c r="O10" s="183" t="n"/>
      <c r="P10" s="183" t="n"/>
      <c r="Q10" s="183" t="n"/>
      <c r="R10" s="183" t="n"/>
      <c r="S10" s="183" t="n"/>
      <c r="T10" s="183" t="n"/>
      <c r="U10" s="184" t="n"/>
      <c r="X10" s="214" t="n"/>
      <c r="Y10" s="204" t="inlineStr">
        <is>
          <t>Parade &amp; Dinner</t>
        </is>
      </c>
      <c r="Z10" s="183" t="n"/>
      <c r="AA10" s="183" t="n"/>
      <c r="AB10" s="183" t="n"/>
      <c r="AC10" s="183" t="n"/>
      <c r="AD10" s="184" t="n"/>
    </row>
    <row r="11" ht="21.75" customHeight="1" s="123">
      <c r="A11" s="165">
        <f>人員一覧・判定!B10</f>
        <v/>
      </c>
      <c r="D11" s="187" t="inlineStr">
        <is>
          <t>参加者誘導・Field Trip名簿</t>
        </is>
      </c>
      <c r="E11" s="183" t="n"/>
      <c r="F11" s="184" t="n"/>
      <c r="G11" s="207" t="inlineStr">
        <is>
          <t>Tech Session記録</t>
        </is>
      </c>
      <c r="H11" s="183" t="n"/>
      <c r="I11" s="183" t="n"/>
      <c r="J11" s="183" t="n"/>
      <c r="K11" s="184" t="n"/>
      <c r="M11" s="213" t="inlineStr">
        <is>
          <t>Field Trip引率(バス)</t>
        </is>
      </c>
      <c r="N11" s="183" t="n"/>
      <c r="O11" s="183" t="n"/>
      <c r="P11" s="183" t="n"/>
      <c r="Q11" s="183" t="n"/>
      <c r="R11" s="183" t="n"/>
      <c r="S11" s="183" t="n"/>
      <c r="T11" s="183" t="n"/>
      <c r="U11" s="184" t="n"/>
      <c r="V11" s="216" t="inlineStr">
        <is>
          <t>ホテル→EXPO誘導(パレード)</t>
        </is>
      </c>
      <c r="W11" s="183" t="n"/>
      <c r="X11" s="184" t="n"/>
      <c r="Y11" s="204" t="inlineStr">
        <is>
          <t>Parade &amp; Dinner</t>
        </is>
      </c>
      <c r="Z11" s="183" t="n"/>
      <c r="AA11" s="183" t="n"/>
      <c r="AB11" s="183" t="n"/>
      <c r="AC11" s="183" t="n"/>
      <c r="AD11" s="184" t="n"/>
    </row>
    <row r="12" ht="21.75" customHeight="1" s="123">
      <c r="A12" s="165">
        <f>人員一覧・判定!B11</f>
        <v/>
      </c>
      <c r="D12" s="190" t="inlineStr">
        <is>
          <t>受付デスク/支払・清算</t>
        </is>
      </c>
      <c r="E12" s="183" t="n"/>
      <c r="F12" s="183" t="n"/>
      <c r="G12" s="183" t="n"/>
      <c r="H12" s="183" t="n"/>
      <c r="I12" s="183" t="n"/>
      <c r="J12" s="183" t="n"/>
      <c r="K12" s="184" t="n"/>
      <c r="N12" s="187" t="inlineStr">
        <is>
          <t>事務局撤収(児玉と2名)/ホテル・バス精算</t>
        </is>
      </c>
      <c r="O12" s="183" t="n"/>
      <c r="P12" s="183" t="n"/>
      <c r="Q12" s="183" t="n"/>
      <c r="R12" s="183" t="n"/>
      <c r="S12" s="183" t="n"/>
      <c r="T12" s="183" t="n"/>
      <c r="U12" s="184" t="n"/>
      <c r="X12" s="214" t="n"/>
      <c r="Y12" s="204" t="inlineStr">
        <is>
          <t>Parade &amp; Dinner</t>
        </is>
      </c>
      <c r="Z12" s="183" t="n"/>
      <c r="AA12" s="183" t="n"/>
      <c r="AB12" s="183" t="n"/>
      <c r="AC12" s="183" t="n"/>
      <c r="AD12" s="184" t="n"/>
    </row>
    <row r="13" ht="21.75" customHeight="1" s="123">
      <c r="A13" s="165">
        <f>人員一覧・判定!B12</f>
        <v/>
      </c>
      <c r="D13" s="190" t="inlineStr">
        <is>
          <t>Dorsett→EXPO誘導(8-9)→受付デスク/登壇者受付</t>
        </is>
      </c>
      <c r="E13" s="183" t="n"/>
      <c r="F13" s="183" t="n"/>
      <c r="G13" s="183" t="n"/>
      <c r="H13" s="183" t="n"/>
      <c r="I13" s="183" t="n"/>
      <c r="J13" s="183" t="n"/>
      <c r="K13" s="184" t="n"/>
      <c r="M13" s="213" t="inlineStr">
        <is>
          <t>Field Trip名簿/バス点呼</t>
        </is>
      </c>
      <c r="N13" s="183" t="n"/>
      <c r="O13" s="183" t="n"/>
      <c r="P13" s="183" t="n"/>
      <c r="Q13" s="183" t="n"/>
      <c r="R13" s="183" t="n"/>
      <c r="S13" s="183" t="n"/>
      <c r="T13" s="183" t="n"/>
      <c r="U13" s="184" t="n"/>
      <c r="V13" s="216" t="inlineStr">
        <is>
          <t>ホテル→EXPO誘導(パレード)</t>
        </is>
      </c>
      <c r="W13" s="183" t="n"/>
      <c r="X13" s="184" t="n"/>
      <c r="Y13" s="204" t="inlineStr">
        <is>
          <t>Parade &amp; Dinner</t>
        </is>
      </c>
      <c r="Z13" s="183" t="n"/>
      <c r="AA13" s="183" t="n"/>
      <c r="AB13" s="183" t="n"/>
      <c r="AC13" s="183" t="n"/>
      <c r="AD13" s="184" t="n"/>
    </row>
    <row r="14" ht="21.75" customHeight="1" s="123">
      <c r="A14" s="165">
        <f>人員一覧・判定!B13</f>
        <v/>
      </c>
      <c r="D14" s="188" t="inlineStr">
        <is>
          <t>登壇者集合・スライド確認／日本側と接続確認</t>
        </is>
      </c>
      <c r="E14" s="183" t="n"/>
      <c r="F14" s="184" t="n"/>
      <c r="G14" s="207" t="inlineStr">
        <is>
          <t>Tech Session運営(PIC)</t>
        </is>
      </c>
      <c r="H14" s="183" t="n"/>
      <c r="I14" s="183" t="n"/>
      <c r="J14" s="184" t="n"/>
      <c r="N14" s="189" t="inlineStr">
        <is>
          <t>SIDEX展示/Japan Pavilion調整</t>
        </is>
      </c>
      <c r="O14" s="183" t="n"/>
      <c r="P14" s="183" t="n"/>
      <c r="Q14" s="183" t="n"/>
      <c r="R14" s="183" t="n"/>
      <c r="S14" s="183" t="n"/>
      <c r="T14" s="183" t="n"/>
      <c r="U14" s="184" t="n"/>
      <c r="X14" s="214" t="n"/>
      <c r="Y14" s="204" t="inlineStr">
        <is>
          <t>Parade &amp; Dinner</t>
        </is>
      </c>
      <c r="Z14" s="183" t="n"/>
      <c r="AA14" s="183" t="n"/>
      <c r="AB14" s="183" t="n"/>
      <c r="AC14" s="183" t="n"/>
      <c r="AD14" s="184" t="n"/>
    </row>
    <row r="15" ht="21.75" customHeight="1" s="123">
      <c r="A15" s="192">
        <f>人員一覧・判定!C14</f>
        <v/>
      </c>
      <c r="D15" s="208" t="inlineStr">
        <is>
          <t>Draft Summary仕上げ</t>
        </is>
      </c>
      <c r="E15" s="183" t="n"/>
      <c r="F15" s="184" t="n"/>
      <c r="G15" s="207" t="inlineStr">
        <is>
          <t>Tech Sessionノート</t>
        </is>
      </c>
      <c r="H15" s="183" t="n"/>
      <c r="I15" s="183" t="n"/>
      <c r="J15" s="184" t="n"/>
      <c r="K15" s="207" t="inlineStr">
        <is>
          <t>Summary</t>
        </is>
      </c>
      <c r="N15" s="213" t="inlineStr">
        <is>
          <t>Field Trip</t>
        </is>
      </c>
      <c r="O15" s="183" t="n"/>
      <c r="P15" s="183" t="n"/>
      <c r="Q15" s="183" t="n"/>
      <c r="R15" s="183" t="n"/>
      <c r="S15" s="183" t="n"/>
      <c r="T15" s="183" t="n"/>
      <c r="U15" s="184" t="n"/>
      <c r="X15" s="214" t="n"/>
      <c r="Y15" s="204" t="inlineStr">
        <is>
          <t>Parade &amp; Dinner</t>
        </is>
      </c>
      <c r="Z15" s="183" t="n"/>
      <c r="AA15" s="183" t="n"/>
      <c r="AB15" s="183" t="n"/>
      <c r="AC15" s="183" t="n"/>
      <c r="AD15" s="184" t="n"/>
    </row>
    <row r="16" ht="21.75" customHeight="1" s="123">
      <c r="A16" s="165">
        <f>人員一覧・判定!C15</f>
        <v/>
      </c>
      <c r="D16" s="188" t="inlineStr">
        <is>
          <t>登壇者対応・進行確認</t>
        </is>
      </c>
      <c r="E16" s="183" t="n"/>
      <c r="F16" s="184" t="n"/>
      <c r="G16" s="207" t="inlineStr">
        <is>
          <t>Tech Session ADRC Co-Chair</t>
        </is>
      </c>
      <c r="H16" s="183" t="n"/>
      <c r="I16" s="183" t="n"/>
      <c r="J16" s="184" t="n"/>
      <c r="N16" s="213" t="inlineStr">
        <is>
          <t>Field Trip</t>
        </is>
      </c>
      <c r="O16" s="183" t="n"/>
      <c r="P16" s="183" t="n"/>
      <c r="Q16" s="183" t="n"/>
      <c r="R16" s="183" t="n"/>
      <c r="S16" s="183" t="n"/>
      <c r="T16" s="183" t="n"/>
      <c r="U16" s="184" t="n"/>
      <c r="X16" s="214" t="n"/>
      <c r="Y16" s="204" t="inlineStr">
        <is>
          <t>Parade &amp; Dinner</t>
        </is>
      </c>
      <c r="Z16" s="183" t="n"/>
      <c r="AA16" s="183" t="n"/>
      <c r="AB16" s="183" t="n"/>
      <c r="AC16" s="183" t="n"/>
      <c r="AD16" s="184" t="n"/>
    </row>
    <row r="17" ht="21.75" customHeight="1" s="123">
      <c r="A17" s="165">
        <f>人員一覧・判定!B16</f>
        <v/>
      </c>
      <c r="D17" s="188" t="inlineStr">
        <is>
          <t>Zoom/AI翻訳準備</t>
        </is>
      </c>
      <c r="E17" s="183" t="n"/>
      <c r="F17" s="184" t="n"/>
      <c r="G17" s="188" t="inlineStr">
        <is>
          <t>Zoom・AI翻訳オペ/写真</t>
        </is>
      </c>
      <c r="H17" s="183" t="n"/>
      <c r="I17" s="183" t="n"/>
      <c r="J17" s="183" t="n"/>
      <c r="K17" s="184" t="n"/>
      <c r="N17" s="218" t="inlineStr">
        <is>
          <t>Field Trip写真 or 事務局撤収</t>
        </is>
      </c>
      <c r="O17" s="183" t="n"/>
      <c r="P17" s="183" t="n"/>
      <c r="Q17" s="183" t="n"/>
      <c r="R17" s="183" t="n"/>
      <c r="S17" s="183" t="n"/>
      <c r="T17" s="183" t="n"/>
      <c r="U17" s="184" t="n"/>
      <c r="X17" s="214" t="n"/>
      <c r="Y17" s="182" t="inlineStr">
        <is>
          <t>Parade(写真)</t>
        </is>
      </c>
      <c r="Z17" s="183" t="n"/>
      <c r="AA17" s="183" t="n"/>
      <c r="AB17" s="183" t="n"/>
      <c r="AC17" s="183" t="n"/>
      <c r="AD17" s="184" t="n"/>
    </row>
    <row r="18" ht="21.75" customHeight="1" s="123">
      <c r="A18" s="165">
        <f>人員一覧・判定!B17</f>
        <v/>
      </c>
      <c r="D18" s="187" t="inlineStr">
        <is>
          <t>Dorsett→EXPO誘導</t>
        </is>
      </c>
      <c r="E18" s="183" t="n"/>
      <c r="F18" s="184" t="n"/>
      <c r="G18" s="212" t="inlineStr">
        <is>
          <t>Tech Session記録/サマリー補助</t>
        </is>
      </c>
      <c r="H18" s="183" t="n"/>
      <c r="I18" s="183" t="n"/>
      <c r="J18" s="183" t="n"/>
      <c r="K18" s="184" t="n"/>
      <c r="N18" s="218" t="inlineStr">
        <is>
          <t>Field Trip</t>
        </is>
      </c>
      <c r="O18" s="183" t="n"/>
      <c r="P18" s="183" t="n"/>
      <c r="Q18" s="183" t="n"/>
      <c r="R18" s="183" t="n"/>
      <c r="S18" s="183" t="n"/>
      <c r="T18" s="183" t="n"/>
      <c r="U18" s="184" t="n"/>
      <c r="V18" s="216" t="inlineStr">
        <is>
          <t>ホテル→EXPO誘導(パレード)</t>
        </is>
      </c>
      <c r="W18" s="183" t="n"/>
      <c r="X18" s="184" t="n"/>
      <c r="Y18" s="182" t="inlineStr">
        <is>
          <t>Parade &amp; Dinner</t>
        </is>
      </c>
      <c r="Z18" s="183" t="n"/>
      <c r="AA18" s="183" t="n"/>
      <c r="AB18" s="183" t="n"/>
      <c r="AC18" s="183" t="n"/>
      <c r="AD18" s="184" t="n"/>
    </row>
    <row r="19" ht="14.25" customHeight="1" s="123">
      <c r="A19" s="134" t="inlineStr">
        <is>
          <t>稼働人数(自動)</t>
        </is>
      </c>
      <c r="B19" s="197">
        <f>COUNTA(B5:B18)</f>
        <v/>
      </c>
      <c r="C19" s="197">
        <f>COUNTA(C5:C18)</f>
        <v/>
      </c>
      <c r="D19" s="197">
        <f>COUNTA(D5:D18)</f>
        <v/>
      </c>
      <c r="E19" s="197">
        <f>COUNTA(E5:E18)</f>
        <v/>
      </c>
      <c r="F19" s="197">
        <f>COUNTA(F5:F18)</f>
        <v/>
      </c>
      <c r="G19" s="197">
        <f>COUNTA(G5:G18)</f>
        <v/>
      </c>
      <c r="H19" s="197">
        <f>COUNTA(H5:H18)</f>
        <v/>
      </c>
      <c r="I19" s="197">
        <f>COUNTA(I5:I18)</f>
        <v/>
      </c>
      <c r="J19" s="197">
        <f>COUNTA(J5:J18)</f>
        <v/>
      </c>
      <c r="K19" s="197">
        <f>COUNTA(K5:K18)</f>
        <v/>
      </c>
      <c r="L19" s="197">
        <f>COUNTA(L5:L18)</f>
        <v/>
      </c>
      <c r="M19" s="197">
        <f>COUNTA(M5:M18)</f>
        <v/>
      </c>
      <c r="N19" s="197">
        <f>COUNTA(N5:N18)</f>
        <v/>
      </c>
      <c r="O19" s="197">
        <f>COUNTA(O5:O18)</f>
        <v/>
      </c>
      <c r="P19" s="197">
        <f>COUNTA(P5:P18)</f>
        <v/>
      </c>
      <c r="Q19" s="197">
        <f>COUNTA(Q5:Q18)</f>
        <v/>
      </c>
      <c r="R19" s="197">
        <f>COUNTA(R5:R18)</f>
        <v/>
      </c>
      <c r="S19" s="197">
        <f>COUNTA(S5:S18)</f>
        <v/>
      </c>
      <c r="T19" s="197">
        <f>COUNTA(T5:T18)</f>
        <v/>
      </c>
      <c r="U19" s="197">
        <f>COUNTA(U5:U18)</f>
        <v/>
      </c>
      <c r="V19" s="197">
        <f>COUNTA(V5:V18)</f>
        <v/>
      </c>
      <c r="W19" s="197">
        <f>COUNTA(W5:W18)</f>
        <v/>
      </c>
      <c r="X19" s="197">
        <f>COUNTA(X5:X18)</f>
        <v/>
      </c>
      <c r="Y19" s="197">
        <f>COUNTA(Y5:Y18)</f>
        <v/>
      </c>
      <c r="Z19" s="197">
        <f>COUNTA(Z5:Z18)</f>
        <v/>
      </c>
      <c r="AA19" s="197">
        <f>COUNTA(AA5:AA18)</f>
        <v/>
      </c>
      <c r="AB19" s="197">
        <f>COUNTA(AB5:AB18)</f>
        <v/>
      </c>
      <c r="AC19" s="197">
        <f>COUNTA(AC5:AC18)</f>
        <v/>
      </c>
      <c r="AD19" s="197">
        <f>COUNTA(AD5:AD18)</f>
        <v/>
      </c>
      <c r="AE19" s="197">
        <f>COUNTA(AE5:AE18)</f>
        <v/>
      </c>
      <c r="AF19" s="197">
        <f>COUNTA(AF5:AF18)</f>
        <v/>
      </c>
      <c r="AG19" s="197">
        <f>COUNTA(AG5:AG18)</f>
        <v/>
      </c>
    </row>
    <row r="20" ht="14.25" customHeight="1" s="123">
      <c r="A20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1" ht="60" customHeight="1" s="123">
      <c r="A21" s="199" t="inlineStr">
        <is>
          <t>【9/24更新】モデレーターはLTC Chen Yong Kai, Deputy Commander, 3rd SCDF Division で確定（Sylvia 9/17）。予備のLTC Adrianはプログラム・レセプションに含めない。オンライン事前ブリーフィングは9/29が第一候補。登壇者6枠: JAXA（人選中）、BRIN（Yenni Vetrita）、YI-Lab（Pradip Khatiwada）、Google（Sirada Boonkongchuen）、ウズベキスタン（未定・9/24再リマインド）、内閣府（9/25連絡会で依頼）。進行はrev1.0どおり 15分×6＋質疑15分＋まとめ10分（当日調整可）。　ギャップ: (1) Technical SessionはMizan=Co-Chair（未確定）、池田=PIC、荒木田=AV/Zoomで、登壇者6名（JAXA・BRIN・DOST/ネパール・Google・ウズベキスタン・日本）の個別対応と時間管理を行う『フロア担当』が不在。EOS-NTU(Emma Hill教授)は不参加が確定し、BRINへ切替（9/7 Mizan）。(2) 11:45-12:00のSummary &amp; ClosingはRT(前日)の要約が前提で、Gerryの執筆時間（Day1夜〜Day2朝）を確保する必要がある。</t>
        </is>
      </c>
    </row>
    <row r="22" ht="14.25" customHeight="1" s="123">
      <c r="A22" t="inlineStr">
        <is>
          <t>None</t>
        </is>
      </c>
    </row>
    <row r="23" ht="14.25" customHeight="1" s="123">
      <c r="A23" s="200" t="inlineStr">
        <is>
          <t>日本側サポート（神戸）※列はシンガポール時間、JSTは+1時間</t>
        </is>
      </c>
    </row>
    <row r="24" ht="21.75" customHeight="1" s="123">
      <c r="A24" s="176">
        <f>人員一覧・判定!B18</f>
        <v/>
      </c>
      <c r="D24" s="201" t="inlineStr">
        <is>
          <t>Webinar起動・AI通訳・現地接続確認 (JST9-10:30)</t>
        </is>
      </c>
      <c r="E24" s="183" t="n"/>
      <c r="F24" s="184" t="n"/>
      <c r="G24" s="201" t="inlineStr">
        <is>
          <t>TS/Closing: Q&amp;A・コメント確認・AI通訳監視</t>
        </is>
      </c>
      <c r="H24" s="183" t="n"/>
      <c r="I24" s="183" t="n"/>
      <c r="J24" s="183" t="n"/>
      <c r="K24" s="184" t="n"/>
      <c r="N24" s="201" t="inlineStr">
        <is>
          <t>Webinar終了処理・ログ回収</t>
        </is>
      </c>
      <c r="O24" s="184" t="n"/>
    </row>
    <row r="25" ht="21.75" customHeight="1" s="123">
      <c r="A25" s="176">
        <f>人員一覧・判定!B19</f>
        <v/>
      </c>
      <c r="D25" s="193" t="inlineStr">
        <is>
          <t>録画準備</t>
        </is>
      </c>
      <c r="E25" s="183" t="n"/>
      <c r="F25" s="184" t="n"/>
      <c r="G25" s="201" t="inlineStr">
        <is>
          <t>TS/Closing 録画・オンライン質疑取次</t>
        </is>
      </c>
      <c r="H25" s="183" t="n"/>
      <c r="I25" s="183" t="n"/>
      <c r="J25" s="183" t="n"/>
      <c r="K25" s="184" t="n"/>
      <c r="N25" s="193" t="inlineStr">
        <is>
          <t>録画データ整理・保存</t>
        </is>
      </c>
      <c r="O25" s="183" t="n"/>
      <c r="P25" s="183" t="n"/>
      <c r="Q25" s="183" t="n"/>
      <c r="R25" s="183" t="n"/>
      <c r="S25" s="184" t="n"/>
    </row>
    <row r="26" ht="21.75" customHeight="1" s="123">
      <c r="A26" s="176">
        <f>人員一覧・判定!B21</f>
        <v/>
      </c>
      <c r="G26" s="202" t="inlineStr">
        <is>
          <t>録画(日英)ローカル保存 ※仮置き</t>
        </is>
      </c>
      <c r="H26" s="183" t="n"/>
      <c r="I26" s="183" t="n"/>
      <c r="J26" s="183" t="n"/>
      <c r="K26" s="184" t="n"/>
    </row>
    <row r="27" ht="21.75" customHeight="1" s="123">
      <c r="A27" s="176">
        <f>人員一覧・判定!B20</f>
        <v/>
      </c>
      <c r="D27" s="203" t="inlineStr">
        <is>
          <t>Webinarホスト・録画確認 ※仮置き</t>
        </is>
      </c>
      <c r="E27" s="183" t="n"/>
      <c r="F27" s="184" t="n"/>
    </row>
    <row r="28" ht="14.25" customHeight="1" s="123">
      <c r="A28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  <row r="29" s="123"/>
  </sheetData>
  <mergeCells count="66">
    <mergeCell ref="M11:U11"/>
    <mergeCell ref="D11:F11"/>
    <mergeCell ref="N4:U4"/>
    <mergeCell ref="Y11:AD11"/>
    <mergeCell ref="M10:U10"/>
    <mergeCell ref="D27:F27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G8:K8"/>
    <mergeCell ref="D16:F16"/>
    <mergeCell ref="Y16:AD16"/>
    <mergeCell ref="G17:K17"/>
    <mergeCell ref="Y7:AD7"/>
    <mergeCell ref="V11:X11"/>
    <mergeCell ref="G7:K7"/>
    <mergeCell ref="Y6:AD6"/>
    <mergeCell ref="N12:U12"/>
    <mergeCell ref="D4:F4"/>
    <mergeCell ref="A23:L23"/>
    <mergeCell ref="D18:F18"/>
    <mergeCell ref="Y13:AD13"/>
    <mergeCell ref="Y18:AD18"/>
    <mergeCell ref="D9:F9"/>
    <mergeCell ref="D13:K13"/>
    <mergeCell ref="Y12:AD12"/>
    <mergeCell ref="G6:K6"/>
    <mergeCell ref="N18:U18"/>
    <mergeCell ref="D25:F25"/>
    <mergeCell ref="D15:F15"/>
    <mergeCell ref="G18:K18"/>
    <mergeCell ref="N14:U14"/>
    <mergeCell ref="D24:F24"/>
    <mergeCell ref="N17:U17"/>
    <mergeCell ref="D14:F14"/>
    <mergeCell ref="N8:U8"/>
    <mergeCell ref="L4:M4"/>
    <mergeCell ref="G24:K24"/>
    <mergeCell ref="A21:T21"/>
    <mergeCell ref="V18:X18"/>
    <mergeCell ref="Y8:AD8"/>
    <mergeCell ref="Y4:AA4"/>
    <mergeCell ref="G10:J10"/>
    <mergeCell ref="D10:F10"/>
    <mergeCell ref="G26:K26"/>
    <mergeCell ref="D12:K12"/>
    <mergeCell ref="N9:U9"/>
    <mergeCell ref="N25:S25"/>
    <mergeCell ref="N24:O24"/>
    <mergeCell ref="N6:U6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30 OCT 2026 (FRI)  Day 3: SIDEX-ACDR Keynote / Panels / Exhibition Tour / Closing / 出発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F4" s="204" t="inlineStr">
        <is>
          <t>Keynote &amp; Panel 1 (Hall 3)</t>
        </is>
      </c>
      <c r="G4" s="183" t="n"/>
      <c r="H4" s="183" t="n"/>
      <c r="I4" s="183" t="n"/>
      <c r="J4" s="183" t="n"/>
      <c r="K4" s="184" t="n"/>
      <c r="L4" s="204" t="inlineStr">
        <is>
          <t>Lunch</t>
        </is>
      </c>
      <c r="M4" s="183" t="n"/>
      <c r="N4" s="184" t="n"/>
      <c r="O4" s="204" t="inlineStr">
        <is>
          <t>Exhibition Tour</t>
        </is>
      </c>
      <c r="P4" s="184" t="n"/>
      <c r="R4" s="204" t="inlineStr">
        <is>
          <t>Panel 2</t>
        </is>
      </c>
      <c r="S4" s="183" t="n"/>
      <c r="T4" s="184" t="n"/>
      <c r="U4" s="204" t="inlineStr">
        <is>
          <t>Closing Ceremony</t>
        </is>
      </c>
      <c r="V4" s="182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4" t="n"/>
    </row>
    <row r="5" ht="3" customHeight="1" s="123">
      <c r="A5" s="181" t="n"/>
      <c r="F5" s="204" t="n"/>
      <c r="G5" s="204" t="n"/>
      <c r="H5" s="204" t="n"/>
      <c r="I5" s="204" t="n"/>
      <c r="J5" s="204" t="n"/>
      <c r="K5" s="204" t="n"/>
      <c r="L5" s="205" t="n"/>
      <c r="M5" s="205" t="n"/>
      <c r="N5" s="205" t="n"/>
      <c r="O5" s="204" t="n"/>
      <c r="P5" s="204" t="n"/>
      <c r="R5" s="204" t="n"/>
      <c r="S5" s="204" t="n"/>
      <c r="T5" s="204" t="n"/>
      <c r="U5" s="205" t="n"/>
      <c r="V5" s="185" t="n"/>
      <c r="W5" s="185" t="n"/>
      <c r="X5" s="185" t="n"/>
      <c r="Y5" s="185" t="n"/>
      <c r="Z5" s="185" t="n"/>
      <c r="AA5" s="185" t="n"/>
      <c r="AB5" s="185" t="n"/>
      <c r="AC5" s="185" t="n"/>
      <c r="AD5" s="182" t="n"/>
      <c r="AE5" s="182" t="n"/>
      <c r="AF5" s="182" t="n"/>
    </row>
    <row r="6" ht="21.75" customHeight="1" s="123">
      <c r="A6" s="165">
        <f>人員一覧・判定!B5</f>
        <v/>
      </c>
      <c r="F6" s="207" t="inlineStr">
        <is>
          <t>Keynote/Panel1</t>
        </is>
      </c>
      <c r="G6" s="183" t="n"/>
      <c r="H6" s="183" t="n"/>
      <c r="I6" s="183" t="n"/>
      <c r="J6" s="183" t="n"/>
      <c r="K6" s="184" t="n"/>
      <c r="O6" s="207" t="inlineStr">
        <is>
          <t>Exhibition Tour/Panel2/Closing</t>
        </is>
      </c>
      <c r="P6" s="183" t="n"/>
      <c r="Q6" s="183" t="n"/>
      <c r="R6" s="183" t="n"/>
      <c r="S6" s="183" t="n"/>
      <c r="T6" s="184" t="n"/>
      <c r="AD6" s="219" t="inlineStr">
        <is>
          <t>空港へ(SQ656 01:20)</t>
        </is>
      </c>
      <c r="AE6" s="183" t="n"/>
      <c r="AF6" s="184" t="n"/>
    </row>
    <row r="7" ht="21.75" customHeight="1" s="123">
      <c r="A7" s="165">
        <f>人員一覧・判定!B6</f>
        <v/>
      </c>
      <c r="F7" s="207" t="inlineStr">
        <is>
          <t>Keynote/Panel1</t>
        </is>
      </c>
      <c r="G7" s="183" t="n"/>
      <c r="H7" s="183" t="n"/>
      <c r="I7" s="183" t="n"/>
      <c r="J7" s="183" t="n"/>
      <c r="K7" s="184" t="n"/>
      <c r="O7" s="207" t="inlineStr">
        <is>
          <t>Exhibition Tour/Panel2/Closing</t>
        </is>
      </c>
      <c r="P7" s="183" t="n"/>
      <c r="Q7" s="183" t="n"/>
      <c r="R7" s="183" t="n"/>
      <c r="S7" s="183" t="n"/>
      <c r="T7" s="184" t="n"/>
      <c r="AC7" s="219" t="inlineStr">
        <is>
          <t>空港へ(SQ638 23:55)</t>
        </is>
      </c>
      <c r="AD7" s="183" t="n"/>
      <c r="AE7" s="183" t="n"/>
      <c r="AF7" s="184" t="n"/>
    </row>
    <row r="8" ht="21.75" customHeight="1" s="123">
      <c r="A8" s="165">
        <f>人員一覧・判定!B7</f>
        <v/>
      </c>
      <c r="F8" s="207" t="inlineStr">
        <is>
          <t>Keynote/Panel1</t>
        </is>
      </c>
      <c r="G8" s="183" t="n"/>
      <c r="H8" s="183" t="n"/>
      <c r="I8" s="183" t="n"/>
      <c r="J8" s="183" t="n"/>
      <c r="K8" s="184" t="n"/>
      <c r="O8" s="207" t="inlineStr">
        <is>
          <t>Exhibition Tour/Panel2/Closing</t>
        </is>
      </c>
      <c r="P8" s="183" t="n"/>
      <c r="Q8" s="183" t="n"/>
      <c r="R8" s="183" t="n"/>
      <c r="S8" s="183" t="n"/>
      <c r="T8" s="184" t="n"/>
      <c r="V8" s="187" t="inlineStr">
        <is>
          <t>内閣府見送り/総括</t>
        </is>
      </c>
      <c r="W8" s="183" t="n"/>
      <c r="X8" s="183" t="n"/>
      <c r="Y8" s="184" t="n"/>
    </row>
    <row r="9" ht="21.75" customHeight="1" s="123">
      <c r="A9" s="165">
        <f>人員一覧・判定!B8</f>
        <v/>
      </c>
      <c r="F9" s="207" t="inlineStr">
        <is>
          <t>Keynote/Panel1</t>
        </is>
      </c>
      <c r="G9" s="183" t="n"/>
      <c r="H9" s="183" t="n"/>
      <c r="I9" s="183" t="n"/>
      <c r="J9" s="183" t="n"/>
      <c r="K9" s="184" t="n"/>
      <c r="O9" s="207" t="inlineStr">
        <is>
          <t>Exhibition Tour(誘導)/Panel2</t>
        </is>
      </c>
      <c r="P9" s="183" t="n"/>
      <c r="Q9" s="183" t="n"/>
      <c r="R9" s="183" t="n"/>
      <c r="S9" s="183" t="n"/>
      <c r="T9" s="184" t="n"/>
      <c r="V9" s="190" t="inlineStr">
        <is>
          <t>出発対応(Dorsett)・COSEM精算打合せ</t>
        </is>
      </c>
      <c r="W9" s="183" t="n"/>
      <c r="X9" s="183" t="n"/>
      <c r="Y9" s="183" t="n"/>
      <c r="Z9" s="183" t="n"/>
      <c r="AA9" s="184" t="n"/>
    </row>
    <row r="10" ht="21.75" customHeight="1" s="123">
      <c r="A10" s="165">
        <f>人員一覧・判定!B9</f>
        <v/>
      </c>
      <c r="F10" s="207" t="inlineStr">
        <is>
          <t>Keynote/Panel1(リソース対応)</t>
        </is>
      </c>
      <c r="G10" s="183" t="n"/>
      <c r="H10" s="183" t="n"/>
      <c r="I10" s="183" t="n"/>
      <c r="J10" s="183" t="n"/>
      <c r="K10" s="184" t="n"/>
      <c r="O10" s="207" t="inlineStr">
        <is>
          <t>Exhibition Tour/Panel2/Closing</t>
        </is>
      </c>
      <c r="P10" s="183" t="n"/>
      <c r="Q10" s="183" t="n"/>
      <c r="R10" s="183" t="n"/>
      <c r="S10" s="183" t="n"/>
      <c r="T10" s="184" t="n"/>
      <c r="V10" s="187" t="inlineStr">
        <is>
          <t>総括・引継ぎ</t>
        </is>
      </c>
      <c r="W10" s="183" t="n"/>
      <c r="X10" s="183" t="n"/>
      <c r="Y10" s="184" t="n"/>
      <c r="AA10" s="219" t="inlineStr">
        <is>
          <t>空港へ(NH844 22:20)</t>
        </is>
      </c>
      <c r="AB10" s="183" t="n"/>
      <c r="AC10" s="183" t="n"/>
      <c r="AD10" s="183" t="n"/>
      <c r="AE10" s="183" t="n"/>
      <c r="AF10" s="184" t="n"/>
    </row>
    <row r="11" ht="21.75" customHeight="1" s="123">
      <c r="A11" s="165">
        <f>人員一覧・判定!B10</f>
        <v/>
      </c>
      <c r="D11" s="220" t="inlineStr">
        <is>
          <t>Dorsett→EXPO誘導</t>
        </is>
      </c>
      <c r="E11" s="184" t="n"/>
      <c r="F11" s="207" t="inlineStr">
        <is>
          <t>Keynote/Panel1</t>
        </is>
      </c>
      <c r="G11" s="183" t="n"/>
      <c r="H11" s="183" t="n"/>
      <c r="I11" s="183" t="n"/>
      <c r="J11" s="183" t="n"/>
      <c r="K11" s="184" t="n"/>
      <c r="O11" s="207" t="inlineStr">
        <is>
          <t>Exhibition Tour/Panel2</t>
        </is>
      </c>
      <c r="P11" s="183" t="n"/>
      <c r="Q11" s="183" t="n"/>
      <c r="R11" s="183" t="n"/>
      <c r="S11" s="183" t="n"/>
      <c r="T11" s="184" t="n"/>
      <c r="V11" s="190" t="inlineStr">
        <is>
          <t>参加者出発案内</t>
        </is>
      </c>
      <c r="W11" s="183" t="n"/>
      <c r="X11" s="183" t="n"/>
      <c r="Y11" s="184" t="n"/>
      <c r="AB11" s="219" t="inlineStr">
        <is>
          <t>空港へ(AY132 22:05)</t>
        </is>
      </c>
      <c r="AC11" s="183" t="n"/>
      <c r="AD11" s="183" t="n"/>
      <c r="AE11" s="183" t="n"/>
      <c r="AF11" s="184" t="n"/>
    </row>
    <row r="12" ht="21.75" customHeight="1" s="123">
      <c r="A12" s="165">
        <f>人員一覧・判定!B11</f>
        <v/>
      </c>
      <c r="F12" s="190" t="inlineStr">
        <is>
          <t>受付/清算</t>
        </is>
      </c>
      <c r="G12" s="183" t="n"/>
      <c r="H12" s="183" t="n"/>
      <c r="I12" s="183" t="n"/>
      <c r="J12" s="183" t="n"/>
      <c r="K12" s="184" t="n"/>
      <c r="O12" s="190" t="inlineStr">
        <is>
          <t>会場(受付)</t>
        </is>
      </c>
      <c r="P12" s="183" t="n"/>
      <c r="Q12" s="183" t="n"/>
      <c r="R12" s="183" t="n"/>
      <c r="S12" s="183" t="n"/>
      <c r="T12" s="184" t="n"/>
      <c r="V12" s="191" t="inlineStr">
        <is>
          <t>Dorsett出発対応・支払</t>
        </is>
      </c>
      <c r="W12" s="183" t="n"/>
      <c r="X12" s="183" t="n"/>
      <c r="Y12" s="183" t="n"/>
      <c r="Z12" s="183" t="n"/>
      <c r="AA12" s="183" t="n"/>
      <c r="AB12" s="183" t="n"/>
      <c r="AC12" s="184" t="n"/>
    </row>
    <row r="13" ht="21.75" customHeight="1" s="123">
      <c r="A13" s="165">
        <f>人員一覧・判定!B12</f>
        <v/>
      </c>
      <c r="D13" s="220" t="inlineStr">
        <is>
          <t>Dorsett→EXPO誘導</t>
        </is>
      </c>
      <c r="E13" s="184" t="n"/>
      <c r="F13" s="190" t="inlineStr">
        <is>
          <t>受付</t>
        </is>
      </c>
      <c r="G13" s="183" t="n"/>
      <c r="H13" s="183" t="n"/>
      <c r="I13" s="183" t="n"/>
      <c r="J13" s="183" t="n"/>
      <c r="K13" s="184" t="n"/>
      <c r="O13" s="190" t="inlineStr">
        <is>
          <t>会場(受付)</t>
        </is>
      </c>
      <c r="P13" s="183" t="n"/>
      <c r="Q13" s="183" t="n"/>
      <c r="R13" s="183" t="n"/>
      <c r="S13" s="183" t="n"/>
      <c r="T13" s="184" t="n"/>
      <c r="V13" s="191" t="inlineStr">
        <is>
          <t>Dorsett出発対応・送迎確認</t>
        </is>
      </c>
      <c r="W13" s="183" t="n"/>
      <c r="X13" s="183" t="n"/>
      <c r="Y13" s="183" t="n"/>
      <c r="Z13" s="183" t="n"/>
      <c r="AA13" s="183" t="n"/>
      <c r="AB13" s="183" t="n"/>
      <c r="AC13" s="184" t="n"/>
    </row>
    <row r="14" ht="21.75" customHeight="1" s="123">
      <c r="A14" s="165">
        <f>人員一覧・判定!B13</f>
        <v/>
      </c>
      <c r="F14" s="207" t="inlineStr">
        <is>
          <t>Keynote/Panel1</t>
        </is>
      </c>
      <c r="G14" s="183" t="n"/>
      <c r="H14" s="183" t="n"/>
      <c r="I14" s="183" t="n"/>
      <c r="J14" s="183" t="n"/>
      <c r="K14" s="184" t="n"/>
      <c r="O14" s="189" t="inlineStr">
        <is>
          <t>Exhibition Tour誘導(Japan Pavilion)</t>
        </is>
      </c>
      <c r="P14" s="184" t="n"/>
      <c r="R14" s="207" t="inlineStr">
        <is>
          <t>Panel2/Closing</t>
        </is>
      </c>
      <c r="S14" s="183" t="n"/>
      <c r="T14" s="184" t="n"/>
      <c r="V14" s="188" t="inlineStr">
        <is>
          <t>機材撤収</t>
        </is>
      </c>
      <c r="W14" s="183" t="n"/>
      <c r="X14" s="183" t="n"/>
      <c r="Y14" s="184" t="n"/>
      <c r="AE14" s="221" t="inlineStr">
        <is>
          <t>空港へ(01:30発)</t>
        </is>
      </c>
      <c r="AF14" s="184" t="n"/>
    </row>
    <row r="15" ht="21.75" customHeight="1" s="123">
      <c r="A15" s="192">
        <f>人員一覧・判定!C14</f>
        <v/>
      </c>
      <c r="F15" s="207" t="inlineStr">
        <is>
          <t>Keynote/Panel1/Summary最終化</t>
        </is>
      </c>
      <c r="G15" s="183" t="n"/>
      <c r="H15" s="183" t="n"/>
      <c r="I15" s="183" t="n"/>
      <c r="J15" s="183" t="n"/>
      <c r="K15" s="184" t="n"/>
      <c r="O15" s="207" t="inlineStr">
        <is>
          <t>Exhibition Tour/Panel2</t>
        </is>
      </c>
      <c r="P15" s="183" t="n"/>
      <c r="Q15" s="183" t="n"/>
      <c r="R15" s="183" t="n"/>
      <c r="S15" s="183" t="n"/>
      <c r="T15" s="184" t="n"/>
      <c r="AE15" s="221" t="inlineStr">
        <is>
          <t>空港へ(01:30発)</t>
        </is>
      </c>
      <c r="AF15" s="184" t="n"/>
    </row>
    <row r="16" ht="21.75" customHeight="1" s="123">
      <c r="A16" s="165">
        <f>人員一覧・判定!C15</f>
        <v/>
      </c>
      <c r="F16" s="207" t="inlineStr">
        <is>
          <t>Keynote/Panel1</t>
        </is>
      </c>
      <c r="G16" s="183" t="n"/>
      <c r="H16" s="183" t="n"/>
      <c r="I16" s="183" t="n"/>
      <c r="J16" s="183" t="n"/>
      <c r="K16" s="184" t="n"/>
      <c r="O16" s="207" t="inlineStr">
        <is>
          <t>Exhibition Tour/Panel2</t>
        </is>
      </c>
      <c r="P16" s="183" t="n"/>
      <c r="Q16" s="183" t="n"/>
      <c r="R16" s="183" t="n"/>
      <c r="S16" s="183" t="n"/>
      <c r="T16" s="184" t="n"/>
    </row>
    <row r="17" ht="21.75" customHeight="1" s="123">
      <c r="A17" s="165">
        <f>人員一覧・判定!B16</f>
        <v/>
      </c>
      <c r="F17" s="188" t="inlineStr">
        <is>
          <t>写真/誘導</t>
        </is>
      </c>
      <c r="G17" s="183" t="n"/>
      <c r="H17" s="183" t="n"/>
      <c r="I17" s="183" t="n"/>
      <c r="J17" s="183" t="n"/>
      <c r="K17" s="184" t="n"/>
      <c r="O17" s="188" t="inlineStr">
        <is>
          <t>Exhibition Tour誘導/写真</t>
        </is>
      </c>
      <c r="P17" s="183" t="n"/>
      <c r="Q17" s="183" t="n"/>
      <c r="R17" s="183" t="n"/>
      <c r="S17" s="183" t="n"/>
      <c r="T17" s="184" t="n"/>
      <c r="V17" s="190" t="inlineStr">
        <is>
          <t>帰国準備→深夜空港へ（TR818 11/1 03:05発、藤中・田中と同便）</t>
        </is>
      </c>
      <c r="W17" s="183" t="n"/>
      <c r="X17" s="183" t="n"/>
      <c r="Y17" s="183" t="n"/>
      <c r="Z17" s="183" t="n"/>
      <c r="AA17" s="184" t="n"/>
    </row>
    <row r="18" ht="21.75" customHeight="1" s="123">
      <c r="A18" s="165">
        <f>人員一覧・判定!B17</f>
        <v/>
      </c>
      <c r="F18" s="212" t="inlineStr">
        <is>
          <t>Keynote記録</t>
        </is>
      </c>
      <c r="G18" s="183" t="n"/>
      <c r="H18" s="183" t="n"/>
      <c r="I18" s="183" t="n"/>
      <c r="J18" s="183" t="n"/>
      <c r="K18" s="184" t="n"/>
      <c r="O18" s="190" t="inlineStr">
        <is>
          <t>参加者誘導</t>
        </is>
      </c>
      <c r="P18" s="183" t="n"/>
      <c r="Q18" s="183" t="n"/>
      <c r="R18" s="183" t="n"/>
      <c r="S18" s="183" t="n"/>
      <c r="T18" s="184" t="n"/>
      <c r="V18" s="190" t="inlineStr">
        <is>
          <t>帰国準備→空港へ（TG410 21:00発。閉会16:50後すぐ移動）</t>
        </is>
      </c>
      <c r="W18" s="183" t="n"/>
      <c r="X18" s="183" t="n"/>
      <c r="Y18" s="183" t="n"/>
      <c r="Z18" s="183" t="n"/>
      <c r="AA18" s="184" t="n"/>
    </row>
    <row r="19" ht="14.25" customHeight="1" s="123">
      <c r="A19" s="134" t="inlineStr">
        <is>
          <t>稼働人数(自動)</t>
        </is>
      </c>
      <c r="B19" s="197">
        <f>COUNTA(B5:B18)</f>
        <v/>
      </c>
      <c r="C19" s="197">
        <f>COUNTA(C5:C18)</f>
        <v/>
      </c>
      <c r="D19" s="197">
        <f>COUNTA(D5:D18)</f>
        <v/>
      </c>
      <c r="E19" s="197">
        <f>COUNTA(E5:E18)</f>
        <v/>
      </c>
      <c r="F19" s="197">
        <f>COUNTA(F5:F18)</f>
        <v/>
      </c>
      <c r="G19" s="197">
        <f>COUNTA(G5:G18)</f>
        <v/>
      </c>
      <c r="H19" s="197">
        <f>COUNTA(H5:H18)</f>
        <v/>
      </c>
      <c r="I19" s="197">
        <f>COUNTA(I5:I18)</f>
        <v/>
      </c>
      <c r="J19" s="197">
        <f>COUNTA(J5:J18)</f>
        <v/>
      </c>
      <c r="K19" s="197">
        <f>COUNTA(K5:K18)</f>
        <v/>
      </c>
      <c r="L19" s="197">
        <f>COUNTA(L5:L18)</f>
        <v/>
      </c>
      <c r="M19" s="197">
        <f>COUNTA(M5:M18)</f>
        <v/>
      </c>
      <c r="N19" s="197">
        <f>COUNTA(N5:N18)</f>
        <v/>
      </c>
      <c r="O19" s="197">
        <f>COUNTA(O5:O18)</f>
        <v/>
      </c>
      <c r="P19" s="197">
        <f>COUNTA(P5:P18)</f>
        <v/>
      </c>
      <c r="Q19" s="197">
        <f>COUNTA(Q5:Q18)</f>
        <v/>
      </c>
      <c r="R19" s="197">
        <f>COUNTA(R5:R18)</f>
        <v/>
      </c>
      <c r="S19" s="197">
        <f>COUNTA(S5:S18)</f>
        <v/>
      </c>
      <c r="T19" s="197">
        <f>COUNTA(T5:T18)</f>
        <v/>
      </c>
      <c r="U19" s="197">
        <f>COUNTA(U5:U18)</f>
        <v/>
      </c>
      <c r="V19" s="197">
        <f>COUNTA(V5:V18)</f>
        <v/>
      </c>
      <c r="W19" s="197">
        <f>COUNTA(W5:W18)</f>
        <v/>
      </c>
      <c r="X19" s="197">
        <f>COUNTA(X5:X18)</f>
        <v/>
      </c>
      <c r="Y19" s="197">
        <f>COUNTA(Y5:Y18)</f>
        <v/>
      </c>
      <c r="Z19" s="197">
        <f>COUNTA(Z5:Z18)</f>
        <v/>
      </c>
      <c r="AA19" s="197">
        <f>COUNTA(AA5:AA18)</f>
        <v/>
      </c>
      <c r="AB19" s="197">
        <f>COUNTA(AB5:AB18)</f>
        <v/>
      </c>
      <c r="AC19" s="197">
        <f>COUNTA(AC5:AC18)</f>
        <v/>
      </c>
      <c r="AD19" s="197">
        <f>COUNTA(AD5:AD18)</f>
        <v/>
      </c>
      <c r="AE19" s="197">
        <f>COUNTA(AE5:AE18)</f>
        <v/>
      </c>
      <c r="AF19" s="197">
        <f>COUNTA(AF5:AF18)</f>
        <v/>
      </c>
      <c r="AG19" s="197">
        <f>COUNTA(AG5:AG18)</f>
        <v/>
      </c>
    </row>
    <row r="20" ht="14.25" customHeight="1" s="123">
      <c r="A20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1" ht="60" customHeight="1" s="123">
      <c r="A21" s="199" t="inlineStr">
        <is>
          <t>ギャップ: (1) 10/30夜〜10/31午前に出発が集中（メンバー国15組以上、役員3名）し、荒木田・吉田・北本・三浦・藤本・塩見が当夜に、池田・Gerryが深夜（01:30発）に、宮木・児玉が10/31早朝（06:35発）に離脱する。10/31朝の見送り・ホテル清算は藤中・田中の2名のみになる（荒木田 9/7: 許容。COSEMシャトルが空港送迎を担うため、ADRC側はホテルでの見送りと清算立会いに絞る）。(2) Exhibition Tour(13:50-14:50)でメンバー国参加者をJapan Pavilionへ誘導する担当が池田1名。</t>
        </is>
      </c>
    </row>
    <row r="22" ht="14.25" customHeight="1" s="123"/>
    <row r="23" ht="14.25" customHeight="1" s="123">
      <c r="A23" s="200" t="inlineStr">
        <is>
          <t>日本側サポート（神戸）※列はシンガポール時間、JSTは+1時間</t>
        </is>
      </c>
    </row>
    <row r="24" ht="21.75" customHeight="1" s="123">
      <c r="A24" s="176">
        <f>人員一覧・判定!B18</f>
        <v/>
      </c>
      <c r="F24" s="193" t="inlineStr">
        <is>
          <t>（SIDEX配信はSCDF側）Webinar/Zoom終了処理・AI通訳ログ整理</t>
        </is>
      </c>
      <c r="G24" s="183" t="n"/>
      <c r="H24" s="183" t="n"/>
      <c r="I24" s="183" t="n"/>
      <c r="J24" s="183" t="n"/>
      <c r="K24" s="184" t="n"/>
    </row>
    <row r="25" ht="21.75" customHeight="1" s="123">
      <c r="A25" s="176">
        <f>人員一覧・判定!B19</f>
        <v/>
      </c>
      <c r="F25" s="193" t="inlineStr">
        <is>
          <t>録画データ整理・保存（報告書・Highlights用）</t>
        </is>
      </c>
      <c r="G25" s="183" t="n"/>
      <c r="H25" s="183" t="n"/>
      <c r="I25" s="183" t="n"/>
      <c r="J25" s="183" t="n"/>
      <c r="K25" s="183" t="n"/>
      <c r="L25" s="183" t="n"/>
      <c r="M25" s="183" t="n"/>
      <c r="N25" s="183" t="n"/>
      <c r="O25" s="183" t="n"/>
      <c r="P25" s="183" t="n"/>
      <c r="Q25" s="183" t="n"/>
      <c r="R25" s="183" t="n"/>
      <c r="S25" s="184" t="n"/>
    </row>
    <row r="26" ht="14.25" customHeight="1" s="123">
      <c r="A26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  <row r="27" s="123"/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11:T11"/>
    <mergeCell ref="O8:T8"/>
    <mergeCell ref="V14:Y14"/>
    <mergeCell ref="V8:Y8"/>
    <mergeCell ref="F14:K14"/>
    <mergeCell ref="AB11:AF11"/>
    <mergeCell ref="A21:T21"/>
    <mergeCell ref="R14:T14"/>
    <mergeCell ref="V18:AA18"/>
    <mergeCell ref="O13:T13"/>
    <mergeCell ref="V10:Y10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O14:P14"/>
    <mergeCell ref="F7:K7"/>
    <mergeCell ref="V11:Y11"/>
    <mergeCell ref="F12:K12"/>
    <mergeCell ref="F15:K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3" activeCellId="0" sqref="G13"/>
    </sheetView>
  </sheetViews>
  <sheetFormatPr baseColWidth="8" defaultColWidth="8.55859375" defaultRowHeight="14.25" zeroHeight="0" outlineLevelRow="0"/>
  <cols>
    <col width="22" customWidth="1" style="122" min="1" max="2"/>
    <col width="10" customWidth="1" style="122" min="3" max="3"/>
    <col width="30" customWidth="1" style="122" min="4" max="4"/>
    <col width="8" customWidth="1" style="122" min="5" max="5"/>
    <col width="44" customWidth="1" style="122" min="6" max="7"/>
  </cols>
  <sheetData>
    <row r="1" ht="15" customHeight="1" s="123">
      <c r="A1" s="222" t="inlineStr">
        <is>
          <t>機能別 必要人数と充足状況（現時点の確定・見込メンバーでの判定）</t>
        </is>
      </c>
    </row>
    <row r="2" ht="31.5" customHeight="1" s="123">
      <c r="A2" s="125" t="inlineStr">
        <is>
          <t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      </is>
      </c>
    </row>
    <row r="4" ht="26.25" customHeight="1" s="123">
      <c r="A4" s="127" t="inlineStr">
        <is>
          <t>機能</t>
        </is>
      </c>
      <c r="B4" s="127" t="inlineStr">
        <is>
          <t>ピーク時間帯</t>
        </is>
      </c>
      <c r="C4" s="127" t="inlineStr">
        <is>
          <t>必要人数(目安)</t>
        </is>
      </c>
      <c r="D4" s="127" t="inlineStr">
        <is>
          <t>現在の担当（確定・見込）</t>
        </is>
      </c>
      <c r="E4" s="127" t="inlineStr">
        <is>
          <t>充足</t>
        </is>
      </c>
      <c r="F4" s="127" t="inlineStr">
        <is>
          <t>ギャップ・リスク</t>
        </is>
      </c>
      <c r="G4" s="127" t="inlineStr">
        <is>
          <t>対応案（追加要員の配置）</t>
        </is>
      </c>
    </row>
    <row r="5" ht="90" customHeight="1" s="123">
      <c r="A5" s="129" t="inlineStr">
        <is>
          <t>受付・参加者デスク（会場／公邸／ホテル）</t>
        </is>
      </c>
      <c r="B5" s="128" t="inlineStr">
        <is>
          <t>10/26夕〜10/27（到着・名札配布）、10/28-29終日</t>
        </is>
      </c>
      <c r="C5" s="128" t="inlineStr">
        <is>
          <t>3</t>
        </is>
      </c>
      <c r="D5" s="129" t="inlineStr">
        <is>
          <t>藤中、田中（＋吉田は10/27夜・10/28午前のみ）</t>
        </is>
      </c>
      <c r="E5" s="223" t="inlineStr">
        <is>
          <t>△</t>
        </is>
      </c>
      <c r="F5" s="128" t="inlineStr">
        <is>
          <t>ACDR2023は3名体制（堀池・藤中・田中）。今回は名札セットのQR配布(100-120名)と宿泊37室/泊の対応が加わる。急病・遅延・ビザ問題が出ると即座に詰まる。</t>
        </is>
      </c>
      <c r="G5" s="129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23">
      <c r="A6" s="128" t="inlineStr">
        <is>
          <t>AV・PC・Zoom・AI翻訳オペレーション（現地側）</t>
        </is>
      </c>
      <c r="B6" s="128" t="inlineStr">
        <is>
          <t>10/28 07:30-16:45、10/29 08:00-12:00</t>
        </is>
      </c>
      <c r="C6" s="128" t="inlineStr">
        <is>
          <t>2（うち1名は現地専任）</t>
        </is>
      </c>
      <c r="D6" s="129" t="inlineStr">
        <is>
          <t>現地: 荒木田、池田／日本側: 中村（Zoom・AI通訳設定・Q&amp;A確認）、山口（録画・オンライン質疑）</t>
        </is>
      </c>
      <c r="E6" s="223" t="inlineStr">
        <is>
          <t>△</t>
        </is>
      </c>
      <c r="F6" s="129" t="inlineStr">
        <is>
          <t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      </is>
      </c>
      <c r="G6" s="129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23">
      <c r="A7" s="129" t="inlineStr">
        <is>
          <t>セッション運営（RT・Tech Session）</t>
        </is>
      </c>
      <c r="B7" s="128" t="inlineStr">
        <is>
          <t>10/28 13:00-15:30、10/29 09:30-12:00</t>
        </is>
      </c>
      <c r="C7" s="128" t="inlineStr">
        <is>
          <t>3（PIC・Co-Chair・フロア）</t>
        </is>
      </c>
      <c r="D7" s="128" t="inlineStr">
        <is>
          <t>RT: 吉田・Gerry／TS: Mizan(Co-Chair)・池田</t>
        </is>
      </c>
      <c r="E7" s="223" t="inlineStr">
        <is>
          <t>△</t>
        </is>
      </c>
      <c r="F7" s="128" t="inlineStr">
        <is>
          <t>TSはMizanが登壇側に回ると、登壇者6名の誘導・時間管理・Q&amp;A取次を行うフロア担当が池田1名。Said Faisal辞退後のSCDF側モデレーターも未確定。</t>
        </is>
      </c>
      <c r="G7" s="131" t="inlineStr">
        <is>
          <t>塩見（承諾済み）をRT/TSの記録・フロア補助に配置。SCDF側モデレーター確定をSylviaへ再確認。</t>
        </is>
      </c>
    </row>
    <row r="8" ht="90" customHeight="1" s="123">
      <c r="A8" s="129" t="inlineStr">
        <is>
          <t>記録・Draft Summary・Closing要約</t>
        </is>
      </c>
      <c r="B8" s="128" t="inlineStr">
        <is>
          <t>10/28夜〜10/29 11:45</t>
        </is>
      </c>
      <c r="C8" s="128" t="inlineStr">
        <is>
          <t>2</t>
        </is>
      </c>
      <c r="D8" s="128" t="inlineStr">
        <is>
          <t>Gerry、Mizan（デマケ: Draft Summary）</t>
        </is>
      </c>
      <c r="E8" s="224" t="inlineStr">
        <is>
          <t>×</t>
        </is>
      </c>
      <c r="F8" s="128" t="inlineStr">
        <is>
          <t>MizanがCo-Chairなら実質Gerry1名。RT(2.5h)＋TS(2h)の要約を当日昼までに出すことが難しい。</t>
        </is>
      </c>
      <c r="G8" s="129" t="inlineStr">
        <is>
          <t>塩見（承諾済み）を記録・サマリー補助に。</t>
        </is>
      </c>
    </row>
    <row r="9" ht="90" customHeight="1" s="123">
      <c r="A9" s="128" t="inlineStr">
        <is>
          <t>VIP・内閣府随行（林統括官＋随行2名）</t>
        </is>
      </c>
      <c r="B9" s="128" t="inlineStr">
        <is>
          <t>10/27夕〜10/30終日</t>
        </is>
      </c>
      <c r="C9" s="128" t="inlineStr">
        <is>
          <t>1.5（常時1名＋バイ会談時+1）</t>
        </is>
      </c>
      <c r="D9" s="129" t="inlineStr">
        <is>
          <t>宮木、児玉（内閣府に張り付かず、COSEM・内閣府との調整に臨機応変。空港出迎え不要＝公用車）</t>
        </is>
      </c>
      <c r="E9" s="225" t="inlineStr">
        <is>
          <t>○</t>
        </is>
      </c>
      <c r="F9" s="131" t="inlineStr">
        <is>
          <t>9/4打合せ: 林統括官の英語対応はADRCに求められた前例がなく大使館側で対応。宮木・児玉は必要時のみ同行。内閣府のホテルは未定（問合せ中）</t>
        </is>
      </c>
      <c r="G9" s="131" t="inlineStr">
        <is>
          <t>Opening/VIP Tour/表敬は同行程度に留め、宮木・児玉はCOSEM調整・レセプション・撤収に回す。内閣府ホテルの回答期限を確認</t>
        </is>
      </c>
    </row>
    <row r="10" ht="90" customHeight="1" s="123">
      <c r="A10" s="129" t="inlineStr">
        <is>
          <t>写真・動画記録（Highlight Movie含む）</t>
        </is>
      </c>
      <c r="B10" s="129" t="inlineStr">
        <is>
          <t>会期中全日</t>
        </is>
      </c>
      <c r="C10" s="128" t="inlineStr">
        <is>
          <t>1</t>
        </is>
      </c>
      <c r="D10" s="129" t="inlineStr">
        <is>
          <t>藤本（撮影を主担当、児玉 9/4）</t>
        </is>
      </c>
      <c r="E10" s="225" t="inlineStr">
        <is>
          <t>○</t>
        </is>
      </c>
      <c r="F10" s="129" t="inlineStr">
        <is>
          <t>藤本が撮影主担当で本人承諾済み（9/4）。COSEM側の公式カメラマンの有無と集合写真の場所・時刻はCOSEM協議事項</t>
        </is>
      </c>
      <c r="G10" s="129" t="inlineStr">
        <is>
          <t>撮影計画（Opening集合写真、RT、TS、公邸、パレード）を作成。ハイライト動画の編集場所と素材受渡しをCOSEMと確認</t>
        </is>
      </c>
    </row>
    <row r="11" ht="90" customHeight="1" s="123">
      <c r="A11" s="128" t="inlineStr">
        <is>
          <t>SIDEX展示・Japan Pavilion連携／参加者誘導（Hall3⇔Peridot）</t>
        </is>
      </c>
      <c r="B11" s="128" t="inlineStr">
        <is>
          <t>10/28 10:30-12:45、10/29午後、10/30 13:50-14:50</t>
        </is>
      </c>
      <c r="C11" s="128" t="inlineStr">
        <is>
          <t>2</t>
        </is>
      </c>
      <c r="D11" s="129" t="inlineStr">
        <is>
          <t>池田、Mizan（デマケ: SIDEX Exhibition）</t>
        </is>
      </c>
      <c r="E11" s="223" t="inlineStr">
        <is>
          <t>△</t>
        </is>
      </c>
      <c r="F11" s="129" t="inlineStr">
        <is>
          <t>荒木田8/6『もう一人か二人必要』と認識済み。Mizanは10/29午前Co-Chair、池田はTS PICで同時間帯に動けない。</t>
        </is>
      </c>
      <c r="G11" s="129" t="inlineStr">
        <is>
          <t>藤本または塩見（承諾済み）を誘導担当に。SCDFのリエゾン配置も要請。</t>
        </is>
      </c>
    </row>
    <row r="12" ht="90" customHeight="1" s="123">
      <c r="A12" s="128" t="inlineStr">
        <is>
          <t>Field Trip引率（CDA、バス点呼）</t>
        </is>
      </c>
      <c r="B12" s="128" t="inlineStr">
        <is>
          <t>10/29 13:00-17:15</t>
        </is>
      </c>
      <c r="C12" s="128" t="inlineStr">
        <is>
          <t>2-3</t>
        </is>
      </c>
      <c r="D12" s="129" t="inlineStr">
        <is>
          <t>荒木田、吉田（デマケ）、田中（名簿）</t>
        </is>
      </c>
      <c r="E12" s="225" t="inlineStr">
        <is>
          <t>○</t>
        </is>
      </c>
      <c r="F12" s="129" t="inlineStr">
        <is>
          <t>引率自体は足りるが、同時刻に会場撤収・Day3準備・バイ会談が残る（児玉・藤中・池田）。</t>
        </is>
      </c>
      <c r="G12" s="131" t="inlineStr">
        <is>
          <t>現状維持。塩見参加で引率を1名追加可能。</t>
        </is>
      </c>
    </row>
    <row r="13" ht="90" customHeight="1" s="123">
      <c r="A13" s="129" t="inlineStr">
        <is>
          <t>到着・出発対応（空港・ホテル）</t>
        </is>
      </c>
      <c r="B13" s="128" t="inlineStr">
        <is>
          <t>10/26 15:00-24:00、10/27午前、10/30夜〜10/31午前</t>
        </is>
      </c>
      <c r="C13" s="128" t="inlineStr">
        <is>
          <t>2</t>
        </is>
      </c>
      <c r="D13" s="129" t="inlineStr">
        <is>
          <t>藤中、田中（COSEMが空港送迎）</t>
        </is>
      </c>
      <c r="E13" s="223" t="inlineStr">
        <is>
          <t>△</t>
        </is>
      </c>
      <c r="F13" s="128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3" s="128" t="inlineStr">
        <is>
          <t>10/26夕方は宮木・児玉・藤中・田中でDorsett対応（藤本は17:30着で夕方から合流可、塩見は19:55着）。10/31朝は藤中・田中の2名で見送り・清算（荒木田 9/7: 許容。塩見は30日夜out、藤本は31日深夜out）。COSEM送迎に空港移動を委ね、ADRCはホテルでの見送りと清算立会いに絞る。</t>
        </is>
      </c>
    </row>
    <row r="14" ht="90" customHeight="1" s="123">
      <c r="A14" s="129" t="inlineStr">
        <is>
          <t>オンライン配信・録画・Q&amp;A（日本側）</t>
        </is>
      </c>
      <c r="B14" s="128" t="inlineStr">
        <is>
          <t>10/28 12:30-16:45、10/29 08:00-12:00（SGT）</t>
        </is>
      </c>
      <c r="C14" s="128" t="inlineStr">
        <is>
          <t>2＋バックアップ</t>
        </is>
      </c>
      <c r="D14" s="129" t="inlineStr">
        <is>
          <t>中村（Zoom Webinar/Meeting設定・ホスト、AI通訳設定・監視、Q&amp;A確認）、山口（録画クラウド＋ローカル、オンライン質疑）／バックアップ仮置き: 寺坂（録画日英）、伊達（ホスト確認）</t>
        </is>
      </c>
      <c r="E14" s="225" t="inlineStr">
        <is>
          <t>○</t>
        </is>
      </c>
      <c r="F14" s="128" t="inlineStr">
        <is>
          <t>2025年はSC・ACDRとも神戸側でWebinar設定・録画・Q&amp;A確認を行い問題なし。今回はAI通訳が加わるため、事前リハーサル（10/26-27）で現地端末との接続確認が必要。神戸は10/28-29が平日のためJST 9:30-17:45の勤務時間内に収まる。</t>
        </is>
      </c>
      <c r="G14" s="128" t="inlineStr">
        <is>
          <t>10/26-27に中村・山口が現地（荒木田・池田）と接続テスト。寺坂・伊達のバックアップ要否を本人に確認。</t>
        </is>
      </c>
    </row>
    <row r="15" ht="90" customHeight="1" s="123">
      <c r="A15" s="129" t="inlineStr">
        <is>
          <t>参加者誘導（Dorsett⇔EXPO、パレード前）</t>
        </is>
      </c>
      <c r="B15" s="128" t="inlineStr">
        <is>
          <t>10/29・30 朝 08:00-09:00、10/29 17:00-18:30</t>
        </is>
      </c>
      <c r="C15" s="128" t="inlineStr">
        <is>
          <t>2</t>
        </is>
      </c>
      <c r="D15" s="129" t="inlineStr">
        <is>
          <t>田中、吉田、塩見</t>
        </is>
      </c>
      <c r="E15" s="223" t="inlineStr">
        <is>
          <t>△</t>
        </is>
      </c>
      <c r="F15" s="128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5" s="128" t="inlineStr">
        <is>
          <t>Field Trip参加者リストを基に誘導担当を確定。バス・タクシーの手配はCOSEMと調整。ドレスコードを事前周知</t>
        </is>
      </c>
    </row>
    <row r="16" ht="14.25" customHeight="1" s="123">
      <c r="A16" s="226" t="inlineStr">
        <is>
          <t>結論（案）</t>
        </is>
      </c>
    </row>
    <row r="17" ht="43.5" customHeight="1" s="123">
      <c r="A17" s="227" t="inlineStr">
        <is>
          <t>1. 現地要員は役員3名＋運営8名（荒木田・児玉・吉田・藤中・田中・池田・Gerry・Mizan）。Mizanは会期中の参加可（フライト未取得）。森口は現地不参加（9/24 荒木田）。SC事務（議案・進行・会計報告）は藤中が担当（未手配）。</t>
        </is>
      </c>
    </row>
    <row r="18" ht="43.5" customHeight="1" s="123">
      <c r="A18" s="227" t="inlineStr">
        <is>
          <t>2. 藤本（撮影・現地一次対応）と塩見（記録・誘導）は9/4に本人承諾済み。日本側（中村・山口）と合わせ、赤字だったギャップは解消の見込み。藤本は26日17:30着（TR819）／11/1 03:05発（TR818）、塩見は26日19:55着（TG409）／30日21:00発（TG410）で手配中（9/24）。残るのは両名とMizan・森口の手配（フライト・Hotel Mi、空きなければ周辺ホテル）と、COSEMとの役割分担の合意（別シート「COSEM協議事項」）。</t>
        </is>
      </c>
    </row>
    <row r="19" ht="43.5" customHeight="1" s="123">
      <c r="A19" s="227" t="inlineStr">
        <is>
          <t>3. 追加候補は (a) 藤本：Zoom設定・広報・リスト出力担当で受付/AV/写真を兼務できる。(b) 塩見：サマリー担当、セッション補助。</t>
        </is>
      </c>
    </row>
    <row r="20" ht="43.5" customHeight="1" s="123">
      <c r="A20" s="227" t="inlineStr">
        <is>
          <t>4. 追加2名の概算増: 航空券（関空LCC）約15万円×2＋Hotel Mi 6泊約10万円×2＋日当 ≒ 55-60万円。ACDR2026予算.xlsx(8/21)の『スタッフ宿泊 1,120,000円』は70泊分で、現在の確定分（約45泊）に対し余裕あり。一方、藤中は既に総額1,695万円で2月見積(1,664万円)超過を指摘しており、メンバー国参加が20か国未満で収まるか（現状17か国程度）が財源の鍵。</t>
        </is>
      </c>
    </row>
    <row r="21" ht="43.5" customHeight="1" s="123">
      <c r="A21" s="227" t="inlineStr">
        <is>
          <t>5. 打合せ後の確認事項: ①宮木・児玉の10/25泊（25日23:40着、宿泊必要と確認 9/6）の手配。所長の宿泊先（Dorsett/任意）は未定、②池田・Gerryの復路便名（SQ622=14:25発、01:30発はSQ618）、③Mizan・森口のフライト・宿泊手配、藤本・塩見（26日夜in/30日夜out確定）のフライトとHotel Mi（空きなければ周辺ホテル）手配、④内閣府のホテル、⑤COSEM/SCDFとの役割分担とドレスコード → シート「COSEM協議事項」で管理（第5回合同会議（9/15オンライン）＋メール＋Zoomで合意、Final Announcement 10/13前にGIへ反映）。</t>
        </is>
      </c>
    </row>
    <row r="23" ht="14.25" customHeight="1" s="123">
      <c r="A23" s="226" t="inlineStr">
        <is>
          <t>今後のスケジュール（9/4打合せ）</t>
        </is>
      </c>
    </row>
    <row r="24" ht="30" customHeight="1" s="123">
      <c r="A24" s="228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25" ht="30" customHeight="1" s="123">
      <c r="A25" s="228" t="inlineStr">
        <is>
          <t>・9月下旬: 次回所内打合せ（会場レイアウト表、COSEMとの役割分担案、動態表更新版を提示）</t>
        </is>
      </c>
    </row>
    <row r="26" ht="30" customHeight="1" s="123">
      <c r="A26" s="228" t="inlineStr">
        <is>
          <t>・10/9(金) 理想、遅くとも10/13-16: ロジ最終版・アジェンダ最終ドラフト・SC書類を完成、メンバー国・参加者へ送付（藤中）</t>
        </is>
      </c>
    </row>
    <row r="27" ht="30" customHeight="1" s="123">
      <c r="A27" s="228" t="inlineStr">
        <is>
          <t>・10/13: Final Announcement（開催2週間前）</t>
        </is>
      </c>
    </row>
    <row r="28" ht="30" customHeight="1" s="123">
      <c r="A28" s="228" t="inlineStr">
        <is>
          <t>・10/26-27: 現地入り、日本側との接続・運用テスト、27日午前に全員で会場下見</t>
        </is>
      </c>
    </row>
    <row r="29" ht="30" customHeight="1" s="123">
      <c r="A29" s="228" t="inlineStr">
        <is>
          <t>・広報: 内閣府・県庁記者クラブへのプレスリリース（管理部と宮木）、神戸新聞記者（7月来訪、ネパール取材）へ案内（荒木田）</t>
        </is>
      </c>
    </row>
  </sheetData>
  <mergeCells count="12">
    <mergeCell ref="A17:G17"/>
    <mergeCell ref="A18:G18"/>
    <mergeCell ref="A27:G27"/>
    <mergeCell ref="A21:G21"/>
    <mergeCell ref="A20:G20"/>
    <mergeCell ref="A24:G24"/>
    <mergeCell ref="A2:G2"/>
    <mergeCell ref="A26:G26"/>
    <mergeCell ref="A29:G29"/>
    <mergeCell ref="A25:G25"/>
    <mergeCell ref="A19:G19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5" customWidth="1" style="122" min="1" max="1"/>
    <col width="12" customWidth="1" style="122" min="2" max="2"/>
    <col width="26" customWidth="1" style="122" min="3" max="3"/>
    <col width="44" customWidth="1" style="122" min="4" max="4"/>
    <col width="48" customWidth="1" style="122" min="5" max="5"/>
    <col width="30" customWidth="1" style="122" min="6" max="6"/>
    <col width="14" customWidth="1" style="122" min="7" max="8"/>
    <col width="9" customWidth="1" style="122" min="9" max="9"/>
  </cols>
  <sheetData>
    <row r="1" ht="16.5" customHeight="1" s="123">
      <c r="A1" s="229" t="inlineStr">
        <is>
          <t>COSEM/SCDFとの協議事項（役割分担・ドレスコード・会場・導線・記録・事務・プログラム）　as of 2026/9/24 v2_8</t>
        </is>
      </c>
    </row>
    <row r="2" ht="39.75" customHeight="1" s="123">
      <c r="A2" s="125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23">
      <c r="A4" s="230" t="inlineStr">
        <is>
          <t>No.</t>
        </is>
      </c>
      <c r="B4" s="127" t="inlineStr">
        <is>
          <t>区分</t>
        </is>
      </c>
      <c r="C4" s="127" t="inlineStr">
        <is>
          <t>項目</t>
        </is>
      </c>
      <c r="D4" s="230" t="inlineStr">
        <is>
          <t>ADRC側の現状認識・案</t>
        </is>
      </c>
      <c r="E4" s="230" t="inlineStr">
        <is>
          <t>COSEM/SCDFに確認・合意したいこと</t>
        </is>
      </c>
      <c r="F4" s="127" t="inlineStr">
        <is>
          <t>根拠</t>
        </is>
      </c>
      <c r="G4" s="127" t="inlineStr">
        <is>
          <t>希望期限</t>
        </is>
      </c>
      <c r="H4" s="230" t="inlineStr">
        <is>
          <t>ADRC担当</t>
        </is>
      </c>
      <c r="I4" s="127" t="inlineStr">
        <is>
          <t>状態</t>
        </is>
      </c>
    </row>
    <row r="5" ht="78" customHeight="1" s="123">
      <c r="A5" s="231" t="inlineStr">
        <is>
          <t>A1</t>
        </is>
      </c>
      <c r="B5" s="232" t="inlineStr">
        <is>
          <t>役割分担</t>
        </is>
      </c>
      <c r="C5" s="231" t="inlineStr">
        <is>
          <t>28日朝の会場・NW最終テスト</t>
        </is>
      </c>
      <c r="D5" s="232" t="inlineStr">
        <is>
          <t>荒木田・池田が07:30から実施し、日本側（中村・山口）と接続確認。9/24メールで07:30入室の可否をSylvia氏に照会中。</t>
        </is>
      </c>
      <c r="E5" s="232" t="inlineStr">
        <is>
          <t>開始時刻（7:30か8:00）、COSEM/SCDF側の立会い者とAV操作者、演台・客席・事務局部屋での実測、衛星データ/ARデモの再生確認</t>
        </is>
      </c>
      <c r="F5" s="231" t="inlineStr">
        <is>
          <t>5月CL 1-IT（要確定）、9/4打合せ</t>
        </is>
      </c>
      <c r="G5" s="232" t="inlineStr">
        <is>
          <t>第5回合同会議（9/15）</t>
        </is>
      </c>
      <c r="H5" s="232" t="inlineStr">
        <is>
          <t>荒木田・池田</t>
        </is>
      </c>
      <c r="I5" s="233" t="inlineStr">
        <is>
          <t>協議中</t>
        </is>
      </c>
    </row>
    <row r="6" ht="78" customHeight="1" s="123">
      <c r="A6" s="234" t="inlineStr">
        <is>
          <t>A2</t>
        </is>
      </c>
      <c r="B6" s="235" t="inlineStr">
        <is>
          <t>役割分担</t>
        </is>
      </c>
      <c r="C6" s="234" t="inlineStr">
        <is>
          <t>Webinar／Zoom／AI通訳ツールの運用</t>
        </is>
      </c>
      <c r="D6" s="23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23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234" t="inlineStr">
        <is>
          <t>5月CL 2「記録・メディア 未対応」「使用言語 未対応」、GI（AI翻訳ツール試行）、9/4打合せ</t>
        </is>
      </c>
      <c r="G6" s="235" t="inlineStr">
        <is>
          <t>第5回合同会議（9/15）</t>
        </is>
      </c>
      <c r="H6" s="235" t="inlineStr">
        <is>
          <t>荒木田・中村</t>
        </is>
      </c>
      <c r="I6" s="236" t="inlineStr">
        <is>
          <t>未協議</t>
        </is>
      </c>
    </row>
    <row r="7" ht="78" customHeight="1" s="123">
      <c r="A7" s="234" t="inlineStr">
        <is>
          <t>A3</t>
        </is>
      </c>
      <c r="B7" s="235" t="inlineStr">
        <is>
          <t>役割分担</t>
        </is>
      </c>
      <c r="C7" s="235" t="inlineStr">
        <is>
          <t>モデレーター体制</t>
        </is>
      </c>
      <c r="D7" s="23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234" t="inlineStr">
        <is>
          <t>9/29（代替9/30、10/8、10/9）のオンライン事前ブリーフィング日程（MizanがSylvia氏と設定）。RTのSCDFモデレーターは別途。</t>
        </is>
      </c>
      <c r="F7" s="234" t="inlineStr">
        <is>
          <t>Sylvia 9/17 WhatsApp、9/18週次</t>
        </is>
      </c>
      <c r="G7" s="234" t="inlineStr">
        <is>
          <t>9/19（登壇者確定）</t>
        </is>
      </c>
      <c r="H7" s="235" t="inlineStr">
        <is>
          <t>荒木田・Mizan・池田</t>
        </is>
      </c>
      <c r="I7" s="233" t="inlineStr">
        <is>
          <t>合意</t>
        </is>
      </c>
    </row>
    <row r="8" ht="78" customHeight="1" s="123">
      <c r="A8" s="234" t="inlineStr">
        <is>
          <t>A4</t>
        </is>
      </c>
      <c r="B8" s="235" t="inlineStr">
        <is>
          <t>役割分担</t>
        </is>
      </c>
      <c r="C8" s="235" t="inlineStr">
        <is>
          <t>受付・名札（QRセット）</t>
        </is>
      </c>
      <c r="D8" s="23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23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234" t="inlineStr">
        <is>
          <t>5月CL 2「事前登録」「受付対応 未対応」「参加者サポート 未対応」</t>
        </is>
      </c>
      <c r="G8" s="235" t="inlineStr">
        <is>
          <t>第5回合同会議（9/15）</t>
        </is>
      </c>
      <c r="H8" s="235" t="inlineStr">
        <is>
          <t>田中・藤中</t>
        </is>
      </c>
      <c r="I8" s="236" t="inlineStr">
        <is>
          <t>未協議</t>
        </is>
      </c>
    </row>
    <row r="9" ht="78" customHeight="1" s="123">
      <c r="A9" s="234" t="inlineStr">
        <is>
          <t>A5</t>
        </is>
      </c>
      <c r="B9" s="235" t="inlineStr">
        <is>
          <t>役割分担</t>
        </is>
      </c>
      <c r="C9" s="235" t="inlineStr">
        <is>
          <t>事務局部屋（28-29日）</t>
        </is>
      </c>
      <c r="D9" s="23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235" t="inlineStr">
        <is>
          <t>広さ・施錠・複合機・延長コード・水、28日朝の入室可能時刻、30日の荷物置き場</t>
        </is>
      </c>
      <c r="F9" s="234" t="inlineStr">
        <is>
          <t>5月CL 1「事務局部屋 詳細未対応」、9/4打合せ</t>
        </is>
      </c>
      <c r="G9" s="235" t="inlineStr">
        <is>
          <t>第5回合同会議（9/15）</t>
        </is>
      </c>
      <c r="H9" s="235" t="inlineStr">
        <is>
          <t>藤中</t>
        </is>
      </c>
      <c r="I9" s="236" t="inlineStr">
        <is>
          <t>未協議</t>
        </is>
      </c>
    </row>
    <row r="10" ht="78" customHeight="1" s="123">
      <c r="A10" s="234" t="inlineStr">
        <is>
          <t>A6</t>
        </is>
      </c>
      <c r="B10" s="235" t="inlineStr">
        <is>
          <t>役割分担</t>
        </is>
      </c>
      <c r="C10" s="235" t="inlineStr">
        <is>
          <t>参加者の引率（ホテル⇔EXPO）</t>
        </is>
      </c>
      <c r="D10" s="23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234" t="inlineStr">
        <is>
          <t>29・30日朝のシャトル時刻とバス台数、Hotel Mi→EXPO朝バス、パレード前のホテル→EXPO便と出発時刻、Gala出発（17:30 Dorsett）の集合方法</t>
        </is>
      </c>
      <c r="F10" s="234" t="inlineStr">
        <is>
          <t>5月CL 3「導線」、9/4打合せ、Agenda 0805r</t>
        </is>
      </c>
      <c r="G10" s="235" t="inlineStr">
        <is>
          <t>第5回合同会議（9/15）</t>
        </is>
      </c>
      <c r="H10" s="235" t="inlineStr">
        <is>
          <t>田中</t>
        </is>
      </c>
      <c r="I10" s="233" t="inlineStr">
        <is>
          <t>協議中</t>
        </is>
      </c>
    </row>
    <row r="11" ht="78" customHeight="1" s="123">
      <c r="A11" s="234" t="inlineStr">
        <is>
          <t>A7</t>
        </is>
      </c>
      <c r="B11" s="235" t="inlineStr">
        <is>
          <t>役割分担</t>
        </is>
      </c>
      <c r="C11" s="234" t="inlineStr">
        <is>
          <t>Field Trip（CDA）の運行</t>
        </is>
      </c>
      <c r="D11" s="235" t="inlineStr">
        <is>
          <t>荒木田・吉田が引率、田中が名簿・点呼。最新版は13:00 EXPO発・16:15帰着（9/18 WhatsApp配布）。ADRC Web用アジェンダv2は13:00-16:15で整合。</t>
        </is>
      </c>
      <c r="E11" s="23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234" t="inlineStr">
        <is>
          <t>WhatsApp 9/18、Sylvia 9/18</t>
        </is>
      </c>
      <c r="G11" s="235" t="inlineStr">
        <is>
          <t>第5回合同会議（9/15）</t>
        </is>
      </c>
      <c r="H11" s="235" t="inlineStr">
        <is>
          <t>荒木田・吉田</t>
        </is>
      </c>
      <c r="I11" s="236" t="inlineStr">
        <is>
          <t>協議中</t>
        </is>
      </c>
    </row>
    <row r="12" ht="78" customHeight="1" s="123">
      <c r="A12" s="234" t="inlineStr">
        <is>
          <t>A8</t>
        </is>
      </c>
      <c r="B12" s="235" t="inlineStr">
        <is>
          <t>役割分担</t>
        </is>
      </c>
      <c r="C12" s="235" t="inlineStr">
        <is>
          <t>写真・ビデオ・集合写真</t>
        </is>
      </c>
      <c r="D12" s="23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234" t="inlineStr">
        <is>
          <t>COSEM公式カメラマンの有無、集合写真の場所（Hall 3入口等）と時刻（Day1 Opening後）、素材の受渡しフロー、動画編集の場所</t>
        </is>
      </c>
      <c r="F12" s="234" t="inlineStr">
        <is>
          <t>5月CL 2「写真・ビデオ 未対応」「集合写真 未対応」</t>
        </is>
      </c>
      <c r="G12" s="235" t="inlineStr">
        <is>
          <t>第5回合同会議（9/15）</t>
        </is>
      </c>
      <c r="H12" s="235" t="inlineStr">
        <is>
          <t>藤本・Gerry</t>
        </is>
      </c>
      <c r="I12" s="236" t="inlineStr">
        <is>
          <t>未協議</t>
        </is>
      </c>
    </row>
    <row r="13" ht="78" customHeight="1" s="123">
      <c r="A13" s="234" t="inlineStr">
        <is>
          <t>A9</t>
        </is>
      </c>
      <c r="B13" s="235" t="inlineStr">
        <is>
          <t>役割分担</t>
        </is>
      </c>
      <c r="C13" s="235" t="inlineStr">
        <is>
          <t>バナー・バックドロップ・サイン</t>
        </is>
      </c>
      <c r="D13" s="23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</t>
        </is>
      </c>
      <c r="E13" s="235" t="inlineStr">
        <is>
          <t>寸法（EXPO照会中）、修正版デザイン、高解像度ロゴ・国旗データの要否、設置位置（ステージ床かバックドロップか）</t>
        </is>
      </c>
      <c r="F13" s="234" t="inlineStr">
        <is>
          <t>WhatsApp 9/18〜9/24、荒木田→藤本 9/18</t>
        </is>
      </c>
      <c r="G13" s="234" t="inlineStr">
        <is>
          <t>9月末</t>
        </is>
      </c>
      <c r="H13" s="235" t="inlineStr">
        <is>
          <t>荒木田・藤本</t>
        </is>
      </c>
      <c r="I13" s="233" t="inlineStr">
        <is>
          <t>協議中</t>
        </is>
      </c>
    </row>
    <row r="14" ht="78" customHeight="1" s="123">
      <c r="A14" s="234" t="inlineStr">
        <is>
          <t>A10</t>
        </is>
      </c>
      <c r="B14" s="235" t="inlineStr">
        <is>
          <t>役割分担</t>
        </is>
      </c>
      <c r="C14" s="235" t="inlineStr">
        <is>
          <t>会場レイアウト（Peridot）</t>
        </is>
      </c>
      <c r="D14" s="23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</t>
        </is>
      </c>
      <c r="E14" s="234" t="inlineStr">
        <is>
          <t>EXPOによる再作図、スクリーン位置の図示、前方エリアのセッション別バリエーション（開会・RT・SC・TS・閉会）はADRCが作成</t>
        </is>
      </c>
      <c r="F14" s="234" t="inlineStr">
        <is>
          <t>Sylvia 9/18 WhatsApp・9/22メール、荒木田 9/24メール</t>
        </is>
      </c>
      <c r="G14" s="234" t="inlineStr">
        <is>
          <t>10/1 第6回合同会議</t>
        </is>
      </c>
      <c r="H14" s="235" t="inlineStr">
        <is>
          <t>荒木田・池田</t>
        </is>
      </c>
      <c r="I14" s="233" t="inlineStr">
        <is>
          <t>協議中</t>
        </is>
      </c>
    </row>
    <row r="15" ht="78" customHeight="1" s="123">
      <c r="A15" s="234" t="inlineStr">
        <is>
          <t>A11</t>
        </is>
      </c>
      <c r="B15" s="235" t="inlineStr">
        <is>
          <t>役割分担</t>
        </is>
      </c>
      <c r="C15" s="235" t="inlineStr">
        <is>
          <t>バイ会談スペース・VIP控室</t>
        </is>
      </c>
      <c r="D15" s="235" t="inlineStr">
        <is>
          <t>宮木・児玉が内閣府・COSEMとの調整を担当（張り付きはしない）</t>
        </is>
      </c>
      <c r="E15" s="235" t="inlineStr">
        <is>
          <t>小部屋・ブースの予約ルール、内閣府随行の控室、水の配置</t>
        </is>
      </c>
      <c r="F15" s="234" t="inlineStr">
        <is>
          <t>5月CL 1「バイ会談 未対応」「VIP控室 未対応」</t>
        </is>
      </c>
      <c r="G15" s="235" t="inlineStr">
        <is>
          <t>第5回合同会議（9/15）</t>
        </is>
      </c>
      <c r="H15" s="235" t="inlineStr">
        <is>
          <t>宮木・児玉</t>
        </is>
      </c>
      <c r="I15" s="236" t="inlineStr">
        <is>
          <t>未協議</t>
        </is>
      </c>
    </row>
    <row r="16" ht="78" customHeight="1" s="123">
      <c r="A16" s="234" t="inlineStr">
        <is>
          <t>A12</t>
        </is>
      </c>
      <c r="B16" s="235" t="inlineStr">
        <is>
          <t>役割分担</t>
        </is>
      </c>
      <c r="C16" s="235" t="inlineStr">
        <is>
          <t>アンケート</t>
        </is>
      </c>
      <c r="D16" s="234" t="inlineStr">
        <is>
          <t>Googleフォーム（QR）で実施。回答率向上のため閉会前に5分の回答時間を確保したい（9/4）</t>
        </is>
      </c>
      <c r="E16" s="234" t="inlineStr">
        <is>
          <t>ACDR Closing前のプログラムに回答時間を入れることの了承、QR掲示</t>
        </is>
      </c>
      <c r="F16" s="234" t="inlineStr">
        <is>
          <t>9/4 荒木田・藤本</t>
        </is>
      </c>
      <c r="G16" s="235" t="inlineStr">
        <is>
          <t>アジェンダ確定時</t>
        </is>
      </c>
      <c r="H16" s="235" t="inlineStr">
        <is>
          <t>藤本・荒木田</t>
        </is>
      </c>
      <c r="I16" s="236" t="inlineStr">
        <is>
          <t>未協議</t>
        </is>
      </c>
    </row>
    <row r="17" ht="78" customHeight="1" s="123">
      <c r="A17" s="231" t="inlineStr">
        <is>
          <t>B13</t>
        </is>
      </c>
      <c r="B17" s="232" t="inlineStr">
        <is>
          <t>ドレスコード</t>
        </is>
      </c>
      <c r="C17" s="231" t="inlineStr">
        <is>
          <t>SIDEX Gala Dinner（10/28 Orchard Hotel）</t>
        </is>
      </c>
      <c r="D17" s="232" t="inlineStr">
        <is>
          <t>前回シンガポール開催時はネクタイなしの指定があった（宮木）。通常ADRC会議では指定なし</t>
        </is>
      </c>
      <c r="E17" s="232" t="inlineStr">
        <is>
          <t>主催側のドレスコード（スマートカジュアル等）の明示。参加者への周知文をGI/リマインダーに入れる</t>
        </is>
      </c>
      <c r="F17" s="231" t="inlineStr">
        <is>
          <t>9/4打合せ（宮木・藤中）</t>
        </is>
      </c>
      <c r="G17" s="231" t="inlineStr">
        <is>
          <t>GI改訂（9月末）</t>
        </is>
      </c>
      <c r="H17" s="232" t="inlineStr">
        <is>
          <t>藤中</t>
        </is>
      </c>
      <c r="I17" s="236" t="inlineStr">
        <is>
          <t>未協議</t>
        </is>
      </c>
    </row>
    <row r="18" ht="78" customHeight="1" s="123">
      <c r="A18" s="234" t="inlineStr">
        <is>
          <t>B14</t>
        </is>
      </c>
      <c r="B18" s="235" t="inlineStr">
        <is>
          <t>ドレスコード</t>
        </is>
      </c>
      <c r="C18" s="234" t="inlineStr">
        <is>
          <t>SCDF Parade &amp; Dinner Reception（10/29）</t>
        </is>
      </c>
      <c r="D18" s="23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235" t="inlineStr">
        <is>
          <t>正式なドレスコード、大臣到着前の着席要件、着替え時間を見込んだ移動計画</t>
        </is>
      </c>
      <c r="F18" s="234" t="inlineStr">
        <is>
          <t>9/4打合せ（児玉・藤中）</t>
        </is>
      </c>
      <c r="G18" s="234" t="inlineStr">
        <is>
          <t>GI改訂（9月末）</t>
        </is>
      </c>
      <c r="H18" s="235" t="inlineStr">
        <is>
          <t>藤中</t>
        </is>
      </c>
      <c r="I18" s="236" t="inlineStr">
        <is>
          <t>未協議</t>
        </is>
      </c>
    </row>
    <row r="19" ht="78" customHeight="1" s="123">
      <c r="A19" s="234" t="inlineStr">
        <is>
          <t>B15</t>
        </is>
      </c>
      <c r="B19" s="235" t="inlineStr">
        <is>
          <t>ドレスコード</t>
        </is>
      </c>
      <c r="C19" s="235" t="inlineStr">
        <is>
          <t>大使公邸レセプション（10/27）</t>
        </is>
      </c>
      <c r="D19" s="235" t="inlineStr">
        <is>
          <t>大使館側に確認（宮木依頼）。SJ60記念レセプション</t>
        </is>
      </c>
      <c r="E19" s="235" t="inlineStr">
        <is>
          <t>大使館としての服装指定の有無（ビジネス／スマートカジュアル）、招待状への記載</t>
        </is>
      </c>
      <c r="F19" s="234" t="inlineStr">
        <is>
          <t>9/4打合せ（宮木）</t>
        </is>
      </c>
      <c r="G19" s="235" t="inlineStr">
        <is>
          <t>招待状発送（10/13）前</t>
        </is>
      </c>
      <c r="H19" s="235" t="inlineStr">
        <is>
          <t>児玉</t>
        </is>
      </c>
      <c r="I19" s="236" t="inlineStr">
        <is>
          <t>未協議</t>
        </is>
      </c>
    </row>
    <row r="20" ht="78" customHeight="1" s="123">
      <c r="A20" s="234" t="inlineStr">
        <is>
          <t>B16</t>
        </is>
      </c>
      <c r="B20" s="235" t="inlineStr">
        <is>
          <t>ドレスコード</t>
        </is>
      </c>
      <c r="C20" s="234" t="inlineStr">
        <is>
          <t>Field Trip（10/29）</t>
        </is>
      </c>
      <c r="D20" s="235" t="inlineStr">
        <is>
          <t>歩きやすい靴で、と毎回GIに記載。汚れる行程はない</t>
        </is>
      </c>
      <c r="E20" s="234" t="inlineStr">
        <is>
          <t>CDA側の安全上の要件（長ズボン等）があれば明示</t>
        </is>
      </c>
      <c r="F20" s="234" t="inlineStr">
        <is>
          <t>5月CL 4、9/4</t>
        </is>
      </c>
      <c r="G20" s="234" t="inlineStr">
        <is>
          <t>GI改訂</t>
        </is>
      </c>
      <c r="H20" s="235" t="inlineStr">
        <is>
          <t>藤中</t>
        </is>
      </c>
      <c r="I20" s="236" t="inlineStr">
        <is>
          <t>未協議</t>
        </is>
      </c>
    </row>
    <row r="21" ht="78" customHeight="1" s="123">
      <c r="A21" s="234" t="inlineStr">
        <is>
          <t>B17</t>
        </is>
      </c>
      <c r="B21" s="235" t="inlineStr">
        <is>
          <t>ドレスコード</t>
        </is>
      </c>
      <c r="C21" s="235" t="inlineStr">
        <is>
          <t>会議（Opening／RT／TS／SIDEX）</t>
        </is>
      </c>
      <c r="D21" s="235" t="inlineStr">
        <is>
          <t>通常はスーツまたは民族衣装で、特段の指定はしていない。SIDEX展示入場はつま先の隠れる靴が必須（Sylvia 8/17 WhatsApp）→GIに明記</t>
        </is>
      </c>
      <c r="E21" s="234" t="inlineStr">
        <is>
          <t>SIDEX Opening（Senior Minister出席）に合わせた指定の要否</t>
        </is>
      </c>
      <c r="F21" s="234" t="inlineStr">
        <is>
          <t>9/4（藤中）</t>
        </is>
      </c>
      <c r="G21" s="234" t="inlineStr">
        <is>
          <t>GI改訂</t>
        </is>
      </c>
      <c r="H21" s="235" t="inlineStr">
        <is>
          <t>藤中</t>
        </is>
      </c>
      <c r="I21" s="236" t="inlineStr">
        <is>
          <t>未協議</t>
        </is>
      </c>
    </row>
    <row r="22" ht="78" customHeight="1" s="123">
      <c r="A22" s="231" t="inlineStr">
        <is>
          <t>C18</t>
        </is>
      </c>
      <c r="B22" s="232" t="inlineStr">
        <is>
          <t>会場・機材</t>
        </is>
      </c>
      <c r="C22" s="232" t="inlineStr">
        <is>
          <t>投影・接続・データ受渡し</t>
        </is>
      </c>
      <c r="D22" s="232" t="inlineStr">
        <is>
          <t>Peridot 203: 21,000lm 3-chip 2560×1600。201-202: 8,000lm 1920×1200。HDMI 1本で全面ミラー。切替はAVオペレータ。クリッカー1本無償。タイマーなし。</t>
        </is>
      </c>
      <c r="E22" s="232" t="inlineStr">
        <is>
          <t>スクリーン位置の図示のみ残る</t>
        </is>
      </c>
      <c r="F22" s="231" t="inlineStr">
        <is>
          <t>Sylvia 9/22メール</t>
        </is>
      </c>
      <c r="G22" s="232" t="inlineStr">
        <is>
          <t>第5回合同会議（9/15）</t>
        </is>
      </c>
      <c r="H22" s="232" t="inlineStr">
        <is>
          <t>池田・荒木田</t>
        </is>
      </c>
      <c r="I22" s="236" t="inlineStr">
        <is>
          <t>合意</t>
        </is>
      </c>
    </row>
    <row r="23" ht="78" customHeight="1" s="123">
      <c r="A23" s="234" t="inlineStr">
        <is>
          <t>C19</t>
        </is>
      </c>
      <c r="B23" s="235" t="inlineStr">
        <is>
          <t>会場・機材</t>
        </is>
      </c>
      <c r="C23" s="235" t="inlineStr">
        <is>
          <t>音響・マイク・電源・照明</t>
        </is>
      </c>
      <c r="D23" s="23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235" t="inlineStr">
        <is>
          <t>AV業者の見積、費用負担の区分（見積後に協議）、照明は室内パネル</t>
        </is>
      </c>
      <c r="F23" s="234" t="inlineStr">
        <is>
          <t>Sylvia 9/22、荒木田 9/24メール・WhatsApp</t>
        </is>
      </c>
      <c r="G23" s="235" t="inlineStr">
        <is>
          <t>10/1</t>
        </is>
      </c>
      <c r="H23" s="235" t="inlineStr">
        <is>
          <t>池田</t>
        </is>
      </c>
      <c r="I23" s="236" t="inlineStr">
        <is>
          <t>協議中</t>
        </is>
      </c>
    </row>
    <row r="24" ht="78" customHeight="1" s="123">
      <c r="A24" s="234" t="inlineStr">
        <is>
          <t>C20</t>
        </is>
      </c>
      <c r="B24" s="235" t="inlineStr">
        <is>
          <t>会場・機材</t>
        </is>
      </c>
      <c r="C24" s="235" t="inlineStr">
        <is>
          <t>通信</t>
        </is>
      </c>
      <c r="D24" s="234" t="inlineStr">
        <is>
          <t>無料Wi-Fiは最大10Mbps・ランディングページ付き。有線LANはEXPO価格S$1,000＋GST/回線。COSEMが他業者を探す。ADRCは有線1回線を希望（Zoom用）。</t>
        </is>
      </c>
      <c r="E24" s="234" t="inlineStr">
        <is>
          <t>安価なLAN回線の有無、Zoom用帯域が確保できない場合の通信会社への増速依頼</t>
        </is>
      </c>
      <c r="F24" s="234" t="inlineStr">
        <is>
          <t>Sylvia 9/22、荒木田 9/24</t>
        </is>
      </c>
      <c r="G24" s="235" t="inlineStr">
        <is>
          <t>第5回合同会議（9/15）</t>
        </is>
      </c>
      <c r="H24" s="235" t="inlineStr">
        <is>
          <t>荒木田</t>
        </is>
      </c>
      <c r="I24" s="236" t="inlineStr">
        <is>
          <t>協議中</t>
        </is>
      </c>
    </row>
    <row r="25" ht="78" customHeight="1" s="123">
      <c r="A25" s="234" t="inlineStr">
        <is>
          <t>C21</t>
        </is>
      </c>
      <c r="B25" s="235" t="inlineStr">
        <is>
          <t>会場・機材</t>
        </is>
      </c>
      <c r="C25" s="235" t="inlineStr">
        <is>
          <t>空調・給水</t>
        </is>
      </c>
      <c r="D25" s="235" t="inlineStr">
        <is>
          <t>未確認</t>
        </is>
      </c>
      <c r="E25" s="235" t="inlineStr">
        <is>
          <t>温度設定の柔軟性、ブランケット、会議中の水・コーヒー補充頻度、飲食可能エリア</t>
        </is>
      </c>
      <c r="F25" s="234" t="inlineStr">
        <is>
          <t>5月CL 1・3</t>
        </is>
      </c>
      <c r="G25" s="235" t="inlineStr">
        <is>
          <t>第5回合同会議（9/15）</t>
        </is>
      </c>
      <c r="H25" s="235" t="inlineStr">
        <is>
          <t>藤中</t>
        </is>
      </c>
      <c r="I25" s="236" t="inlineStr">
        <is>
          <t>未協議</t>
        </is>
      </c>
    </row>
    <row r="26" ht="78" customHeight="1" s="123">
      <c r="A26" s="231" t="inlineStr">
        <is>
          <t>D22</t>
        </is>
      </c>
      <c r="B26" s="232" t="inlineStr">
        <is>
          <t>導線</t>
        </is>
      </c>
      <c r="C26" s="232" t="inlineStr">
        <is>
          <t>空港送迎</t>
        </is>
      </c>
      <c r="D26" s="232" t="inlineStr">
        <is>
          <t>到着日1回の送迎バス（COSEM）。26日夕〜27日午前に到着集中、14時台着（バングラデシュ等）はタクシー送迎の想定</t>
        </is>
      </c>
      <c r="E26" s="232" t="inlineStr">
        <is>
          <t>待ち受け場所と情報デスク、送迎対象と回数、遅延時の連絡経路（WhatsApp）</t>
        </is>
      </c>
      <c r="F26" s="231" t="inlineStr">
        <is>
          <t>5月CL 3「導線」、9/4（藤中）</t>
        </is>
      </c>
      <c r="G26" s="232" t="inlineStr">
        <is>
          <t>フライト確定後（9月末）</t>
        </is>
      </c>
      <c r="H26" s="232" t="inlineStr">
        <is>
          <t>田中</t>
        </is>
      </c>
      <c r="I26" s="233" t="inlineStr">
        <is>
          <t>協議中</t>
        </is>
      </c>
    </row>
    <row r="27" ht="78" customHeight="1" s="123">
      <c r="A27" s="234" t="inlineStr">
        <is>
          <t>D23</t>
        </is>
      </c>
      <c r="B27" s="235" t="inlineStr">
        <is>
          <t>導線</t>
        </is>
      </c>
      <c r="C27" s="235" t="inlineStr">
        <is>
          <t>公邸レセプションの送迎（10/27）</t>
        </is>
      </c>
      <c r="D27" s="23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235" t="inlineStr">
        <is>
          <t>出発時刻・台数、Hotel Mi宿泊スタッフの移動、21:00終了後の撤収と帰路</t>
        </is>
      </c>
      <c r="F27" s="234" t="inlineStr">
        <is>
          <t>5月CL 3、月次ToDo 10月</t>
        </is>
      </c>
      <c r="G27" s="234" t="inlineStr">
        <is>
          <t>9月末</t>
        </is>
      </c>
      <c r="H27" s="235" t="inlineStr">
        <is>
          <t>児玉・田中</t>
        </is>
      </c>
      <c r="I27" s="233" t="inlineStr">
        <is>
          <t>協議中</t>
        </is>
      </c>
    </row>
    <row r="28" ht="78" customHeight="1" s="123">
      <c r="A28" s="234" t="inlineStr">
        <is>
          <t>D24</t>
        </is>
      </c>
      <c r="B28" s="235" t="inlineStr">
        <is>
          <t>導線</t>
        </is>
      </c>
      <c r="C28" s="235" t="inlineStr">
        <is>
          <t>バス乗降場・雨天対応</t>
        </is>
      </c>
      <c r="D28" s="235" t="inlineStr">
        <is>
          <t>大型バスは入口で乗降、待機スペースあり（5月）</t>
        </is>
      </c>
      <c r="E28" s="234" t="inlineStr">
        <is>
          <t>EXPO・CDAの正確な停車位置、雨天時の屋根</t>
        </is>
      </c>
      <c r="F28" s="234" t="inlineStr">
        <is>
          <t>5月CL 3「バス乗降場」</t>
        </is>
      </c>
      <c r="G28" s="235" t="inlineStr">
        <is>
          <t>第5回合同会議（9/15）</t>
        </is>
      </c>
      <c r="H28" s="235" t="inlineStr">
        <is>
          <t>田中</t>
        </is>
      </c>
      <c r="I28" s="236" t="inlineStr">
        <is>
          <t>未協議</t>
        </is>
      </c>
    </row>
    <row r="29" ht="78" customHeight="1" s="123">
      <c r="A29" s="234" t="inlineStr">
        <is>
          <t>D25</t>
        </is>
      </c>
      <c r="B29" s="235" t="inlineStr">
        <is>
          <t>ホスピタリティ</t>
        </is>
      </c>
      <c r="C29" s="235" t="inlineStr">
        <is>
          <t>ハラル・アレルギー・祈祷室</t>
        </is>
      </c>
      <c r="D29" s="235" t="inlineStr">
        <is>
          <t>参加者の食事希望は登録で収集（Halal多数）</t>
        </is>
      </c>
      <c r="E29" s="235" t="inlineStr">
        <is>
          <t>全メニューのハラル認証、アレルギー表示、Prayer Roomの場所・男女別・Wudu</t>
        </is>
      </c>
      <c r="F29" s="234" t="inlineStr">
        <is>
          <t>5月CL 3</t>
        </is>
      </c>
      <c r="G29" s="235" t="inlineStr">
        <is>
          <t>第5回合同会議（9/15）</t>
        </is>
      </c>
      <c r="H29" s="235" t="inlineStr">
        <is>
          <t>田中・藤中</t>
        </is>
      </c>
      <c r="I29" s="236" t="inlineStr">
        <is>
          <t>未協議</t>
        </is>
      </c>
    </row>
    <row r="30" ht="78" customHeight="1" s="123">
      <c r="A30" s="234" t="inlineStr">
        <is>
          <t>D26</t>
        </is>
      </c>
      <c r="B30" s="235" t="inlineStr">
        <is>
          <t>ホスピタリティ</t>
        </is>
      </c>
      <c r="C30" s="235" t="inlineStr">
        <is>
          <t>ホテル朝食・Dorsett客室</t>
        </is>
      </c>
      <c r="D30" s="23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23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235" t="inlineStr">
        <is>
          <t>藤中→Sylvia 8/28・9/1、9/4</t>
        </is>
      </c>
      <c r="G30" s="234" t="inlineStr">
        <is>
          <t>9/28（リリース期限）</t>
        </is>
      </c>
      <c r="H30" s="235" t="inlineStr">
        <is>
          <t>藤中</t>
        </is>
      </c>
      <c r="I30" s="233" t="inlineStr">
        <is>
          <t>協議中</t>
        </is>
      </c>
    </row>
    <row r="31" ht="78" customHeight="1" s="123">
      <c r="A31" s="231" t="inlineStr">
        <is>
          <t>E27</t>
        </is>
      </c>
      <c r="B31" s="232" t="inlineStr">
        <is>
          <t>記録・広報</t>
        </is>
      </c>
      <c r="C31" s="232" t="inlineStr">
        <is>
          <t>議事録・サマリー・ハイライト動画</t>
        </is>
      </c>
      <c r="D31" s="231" t="inlineStr">
        <is>
          <t>Draft SummaryはGerry・Mizan、記録補助は塩見。日本側で録画</t>
        </is>
      </c>
      <c r="E31" s="231" t="inlineStr">
        <is>
          <t>SCDF側の記録担当、閉会時のハイライト動画上映の可否と編集場所、報告書用素材の共有</t>
        </is>
      </c>
      <c r="F31" s="231" t="inlineStr">
        <is>
          <t>5月CL 2「記録・メディア 未対応」</t>
        </is>
      </c>
      <c r="G31" s="232" t="inlineStr">
        <is>
          <t>第5回合同会議（9/15）</t>
        </is>
      </c>
      <c r="H31" s="231" t="inlineStr">
        <is>
          <t>Gerry・荒木田</t>
        </is>
      </c>
      <c r="I31" s="236" t="inlineStr">
        <is>
          <t>未協議</t>
        </is>
      </c>
    </row>
    <row r="32" ht="78" customHeight="1" s="123">
      <c r="A32" s="234" t="inlineStr">
        <is>
          <t>E28</t>
        </is>
      </c>
      <c r="B32" s="235" t="inlineStr">
        <is>
          <t>記録・広報</t>
        </is>
      </c>
      <c r="C32" s="235" t="inlineStr">
        <is>
          <t>プレスリリース</t>
        </is>
      </c>
      <c r="D32" s="235" t="inlineStr">
        <is>
          <t>内閣府・県庁記者クラブへ管理部と宮木が投げ込み、神戸新聞記者へ荒木田が案内（9/4）</t>
        </is>
      </c>
      <c r="E32" s="234" t="inlineStr">
        <is>
          <t>SCDF/COSEM側の広報（共同通信・時事通信の検討あり）との整合、写真・ロゴの使用ルール</t>
        </is>
      </c>
      <c r="F32" s="234" t="inlineStr">
        <is>
          <t>5月CL 3「大使館ディナー 広報」、9/4</t>
        </is>
      </c>
      <c r="G32" s="234" t="inlineStr">
        <is>
          <t>10月上旬</t>
        </is>
      </c>
      <c r="H32" s="235" t="inlineStr">
        <is>
          <t>宮木</t>
        </is>
      </c>
      <c r="I32" s="236" t="inlineStr">
        <is>
          <t>未協議</t>
        </is>
      </c>
    </row>
    <row r="33" ht="78" customHeight="1" s="123">
      <c r="A33" s="231" t="inlineStr">
        <is>
          <t>F29</t>
        </is>
      </c>
      <c r="B33" s="232" t="inlineStr">
        <is>
          <t>事務・契約</t>
        </is>
      </c>
      <c r="C33" s="232" t="inlineStr">
        <is>
          <t>支払方法・支払同意書</t>
        </is>
      </c>
      <c r="D33" s="232" t="inlineStr">
        <is>
          <t>事後銀行振込の可否、事前送金割合・通貨・時期、COSEMの同意書発行が未確認</t>
        </is>
      </c>
      <c r="E33" s="232" t="inlineStr">
        <is>
          <t>支払スケジュール、分割条件、キャンセルポリシーを含む同意書、ホテル・バス・ケータリングの精算方法</t>
        </is>
      </c>
      <c r="F33" s="231" t="inlineStr">
        <is>
          <t>5月CL 5（全項目未対応）</t>
        </is>
      </c>
      <c r="G33" s="231" t="inlineStr">
        <is>
          <t>9月中</t>
        </is>
      </c>
      <c r="H33" s="232" t="inlineStr">
        <is>
          <t>藤中</t>
        </is>
      </c>
      <c r="I33" s="236" t="inlineStr">
        <is>
          <t>未協議</t>
        </is>
      </c>
    </row>
    <row r="34" ht="78" customHeight="1" s="123">
      <c r="A34" s="234" t="inlineStr">
        <is>
          <t>F30</t>
        </is>
      </c>
      <c r="B34" s="235" t="inlineStr">
        <is>
          <t>事務・契約</t>
        </is>
      </c>
      <c r="C34" s="235" t="inlineStr">
        <is>
          <t>ビザ招聘状・申請案内</t>
        </is>
      </c>
      <c r="D34" s="23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234" t="inlineStr">
        <is>
          <t>Letter of undertakingの様式と提出時期、ウズベキスタン登壇者の申請時期</t>
        </is>
      </c>
      <c r="F34" s="234" t="inlineStr">
        <is>
          <t>JM3資料 p.29、田中 9/17-18、ICA</t>
        </is>
      </c>
      <c r="G34" s="234" t="inlineStr">
        <is>
          <t>9/26 申請開始</t>
        </is>
      </c>
      <c r="H34" s="235" t="inlineStr">
        <is>
          <t>田中・寺坂</t>
        </is>
      </c>
      <c r="I34" s="236" t="inlineStr">
        <is>
          <t>協議中</t>
        </is>
      </c>
    </row>
    <row r="35" ht="78" customHeight="1" s="123">
      <c r="A35" s="234" t="inlineStr">
        <is>
          <t>F31</t>
        </is>
      </c>
      <c r="B35" s="235" t="inlineStr">
        <is>
          <t>事務・契約</t>
        </is>
      </c>
      <c r="C35" s="235" t="inlineStr">
        <is>
          <t>ロジカード・緊急連絡先</t>
        </is>
      </c>
      <c r="D35" s="235" t="inlineStr">
        <is>
          <t>作成が必要（5月）</t>
        </is>
      </c>
      <c r="E35" s="235" t="inlineStr">
        <is>
          <t>病院・警察・大使館・事務局・COSEM担当者の連絡先、当日の緊急連絡網</t>
        </is>
      </c>
      <c r="F35" s="234" t="inlineStr">
        <is>
          <t>5月CL 2「緊急連絡先 未対応」</t>
        </is>
      </c>
      <c r="G35" s="234" t="inlineStr">
        <is>
          <t>10月上旬</t>
        </is>
      </c>
      <c r="H35" s="235" t="inlineStr">
        <is>
          <t>田中</t>
        </is>
      </c>
      <c r="I35" s="236" t="inlineStr">
        <is>
          <t>未協議</t>
        </is>
      </c>
    </row>
    <row r="36" ht="78" customHeight="1" s="123">
      <c r="A36" s="234" t="inlineStr">
        <is>
          <t>F32</t>
        </is>
      </c>
      <c r="B36" s="235" t="inlineStr">
        <is>
          <t>事務・契約</t>
        </is>
      </c>
      <c r="C36" s="235" t="inlineStr">
        <is>
          <t>内閣府のホテル</t>
        </is>
      </c>
      <c r="D36" s="23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235" t="inlineStr">
        <is>
          <t>内閣府（林統括官＋随行2名）の宿泊先と手配主体</t>
        </is>
      </c>
      <c r="F36" s="234" t="inlineStr">
        <is>
          <t>9/4打合せ</t>
        </is>
      </c>
      <c r="G36" s="234" t="inlineStr">
        <is>
          <t>9月中</t>
        </is>
      </c>
      <c r="H36" s="235" t="inlineStr">
        <is>
          <t>児玉</t>
        </is>
      </c>
      <c r="I36" s="233" t="inlineStr">
        <is>
          <t>協議中</t>
        </is>
      </c>
    </row>
    <row r="37" ht="78" customHeight="1" s="123">
      <c r="A37" s="234" t="inlineStr">
        <is>
          <t>F33</t>
        </is>
      </c>
      <c r="B37" s="235" t="inlineStr">
        <is>
          <t>事務・契約</t>
        </is>
      </c>
      <c r="C37" s="235" t="inlineStr">
        <is>
          <t>ADRC関係者13名分の無料会議パス</t>
        </is>
      </c>
      <c r="D37" s="234" t="inlineStr">
        <is>
          <t>ADRC WG 10名＋会長・ED・理事の13名分の無料パスはSCDF長官の承認待ち（Sylvia 7/29 WhatsApp）</t>
        </is>
      </c>
      <c r="E37" s="235" t="inlineStr">
        <is>
          <t>承認結果と、パス発行に必要な名簿の提出期限</t>
        </is>
      </c>
      <c r="F37" s="234" t="inlineStr">
        <is>
          <t>WhatsApp 7/29</t>
        </is>
      </c>
      <c r="G37" s="234" t="inlineStr">
        <is>
          <t>9月中</t>
        </is>
      </c>
      <c r="H37" s="235" t="inlineStr">
        <is>
          <t>田中・藤中</t>
        </is>
      </c>
      <c r="I37" s="233" t="inlineStr">
        <is>
          <t>協議中</t>
        </is>
      </c>
    </row>
    <row r="38" ht="78" customHeight="1" s="123">
      <c r="A38" s="234" t="inlineStr">
        <is>
          <t>G34</t>
        </is>
      </c>
      <c r="B38" s="235" t="inlineStr">
        <is>
          <t>プログラム</t>
        </is>
      </c>
      <c r="C38" s="235" t="inlineStr">
        <is>
          <t>Gala Dinner（10/28）での副大臣挨拶枠</t>
        </is>
      </c>
      <c r="D38" s="234" t="inlineStr">
        <is>
          <t>COSEM側で挨拶枠は設けられないとの回答（Leow氏 9/15）。内閣府へ9/15に児玉から通知済み。</t>
        </is>
      </c>
      <c r="E38" s="235" t="inlineStr">
        <is>
          <t>—</t>
        </is>
      </c>
      <c r="F38" s="234" t="inlineStr">
        <is>
          <t>Leow 9/15、児玉 9/15</t>
        </is>
      </c>
      <c r="G38" s="234" t="inlineStr">
        <is>
          <t>9/15前</t>
        </is>
      </c>
      <c r="H38" s="235" t="inlineStr">
        <is>
          <t>児玉</t>
        </is>
      </c>
      <c r="I38" s="233" t="inlineStr">
        <is>
          <t>合意</t>
        </is>
      </c>
    </row>
    <row r="39" ht="78" customHeight="1" s="123">
      <c r="A39" s="234" t="inlineStr">
        <is>
          <t>G35</t>
        </is>
      </c>
      <c r="B39" s="235" t="inlineStr">
        <is>
          <t>プログラム</t>
        </is>
      </c>
      <c r="C39" s="235" t="inlineStr">
        <is>
          <t>SJ60記念レセプション（10/27）のSCDF共催</t>
        </is>
      </c>
      <c r="D39" s="23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235" t="inlineStr">
        <is>
          <t>SIDEXスピーカーディナーとの重複者（Nishikawa氏、NZ Gawn氏、AUS NEMA、Comr）の扱い</t>
        </is>
      </c>
      <c r="F39" s="235" t="inlineStr">
        <is>
          <t>WhatsApp 9/17 児玉・田中</t>
        </is>
      </c>
      <c r="G39" s="234" t="inlineStr">
        <is>
          <t>9/27 名簿</t>
        </is>
      </c>
      <c r="H39" s="235" t="inlineStr">
        <is>
          <t>児玉</t>
        </is>
      </c>
      <c r="I39" s="233" t="inlineStr">
        <is>
          <t>協議中</t>
        </is>
      </c>
    </row>
    <row r="40" ht="78" customHeight="1" s="123">
      <c r="A40" s="234" t="inlineStr">
        <is>
          <t>G36</t>
        </is>
      </c>
      <c r="B40" s="235" t="inlineStr">
        <is>
          <t>プログラム</t>
        </is>
      </c>
      <c r="C40" s="235" t="inlineStr">
        <is>
          <t>MOU署名（内閣府⇔内務省）の日時・場所</t>
        </is>
      </c>
      <c r="D40" s="234" t="inlineStr">
        <is>
          <t>COSEM/SCDFはJoint Opening直後に本会場での実施を希望。内閣府の回答待ち（8/24・8/26時点）</t>
        </is>
      </c>
      <c r="E40" s="235" t="inlineStr">
        <is>
          <t>内閣府回答後の日時・場所の確定、表敬の重複回避</t>
        </is>
      </c>
      <c r="F40" s="234" t="inlineStr">
        <is>
          <t>WhatsApp 8/24・8/26</t>
        </is>
      </c>
      <c r="G40" s="234" t="inlineStr">
        <is>
          <t>9月中</t>
        </is>
      </c>
      <c r="H40" s="235" t="inlineStr">
        <is>
          <t>児玉</t>
        </is>
      </c>
      <c r="I40" s="233" t="inlineStr">
        <is>
          <t>協議中</t>
        </is>
      </c>
    </row>
    <row r="41" ht="78" customHeight="1" s="123">
      <c r="A41" s="234" t="inlineStr">
        <is>
          <t>G37</t>
        </is>
      </c>
      <c r="B41" s="235" t="inlineStr">
        <is>
          <t>プログラム</t>
        </is>
      </c>
      <c r="C41" s="235" t="inlineStr">
        <is>
          <t>日本パビリオン開会式の時間（GOHツアー内）</t>
        </is>
      </c>
      <c r="D41" s="234" t="inlineStr">
        <is>
          <t>GOHツアーは53分固定で日本ブースは5分のみ。延長は困難（Sylvia 8/24）。内閣府は2番目なら5分で可（8/31資料）</t>
        </is>
      </c>
      <c r="E41" s="235" t="inlineStr">
        <is>
          <t>内閣府の希望を踏まえた最終調整</t>
        </is>
      </c>
      <c r="F41" s="234" t="inlineStr">
        <is>
          <t>WhatsApp 8/24、内閣府8/31資料</t>
        </is>
      </c>
      <c r="G41" s="234" t="inlineStr">
        <is>
          <t>9月中</t>
        </is>
      </c>
      <c r="H41" s="235" t="inlineStr">
        <is>
          <t>児玉</t>
        </is>
      </c>
      <c r="I41" s="233" t="inlineStr">
        <is>
          <t>協議中</t>
        </is>
      </c>
    </row>
    <row r="42" ht="78" customHeight="1" s="123">
      <c r="A42" s="234" t="inlineStr">
        <is>
          <t>G38</t>
        </is>
      </c>
      <c r="B42" s="235" t="inlineStr">
        <is>
          <t>記録</t>
        </is>
      </c>
      <c r="C42" s="235" t="inlineStr">
        <is>
          <t>第4回合同会議（8/25）の議事録</t>
        </is>
      </c>
      <c r="D42" s="235" t="inlineStr">
        <is>
          <t>未受領（Gmail 9/6時点）</t>
        </is>
      </c>
      <c r="E42" s="235" t="inlineStr">
        <is>
          <t>NOM 4/2026の送付依頼</t>
        </is>
      </c>
      <c r="F42" s="234" t="inlineStr">
        <is>
          <t>Gmail検索 9/6</t>
        </is>
      </c>
      <c r="G42" s="234" t="inlineStr">
        <is>
          <t>9/15前</t>
        </is>
      </c>
      <c r="H42" s="235" t="inlineStr">
        <is>
          <t>荒木田</t>
        </is>
      </c>
      <c r="I42" s="233" t="inlineStr">
        <is>
          <t>未協議</t>
        </is>
      </c>
    </row>
    <row r="43" ht="78" customHeight="1" s="123">
      <c r="A43" s="234" t="inlineStr">
        <is>
          <t>H39</t>
        </is>
      </c>
      <c r="B43" s="235" t="inlineStr">
        <is>
          <t>プログラム</t>
        </is>
      </c>
      <c r="C43" s="235" t="inlineStr">
        <is>
          <t>Day 1 の前倒し（Sylvia氏要望 9/18）</t>
        </is>
      </c>
      <c r="D43" s="235" t="inlineStr">
        <is>
          <t>ガラディナー前にホテルへ戻る時間を作りたいとの要望。RT・SCは短縮不可とWhatsAppで回答済み。前倒しの可否は日本パビリオン開会式（GOHツアー内）の所要時間次第。</t>
        </is>
      </c>
      <c r="E43" s="235" t="inlineStr">
        <is>
          <t>昼食の短縮（11:45-12:30、COSEM側手配）で開会12:30・RT12:45-15:15・SC15:30-16:30とする案の可否。内閣府の希望時間を9/25連絡会で確認後に正式回答（田中経由）</t>
        </is>
      </c>
      <c r="F43" s="234" t="inlineStr">
        <is>
          <t>WhatsApp 9/18、田中 9/18メール</t>
        </is>
      </c>
      <c r="G43" s="234" t="inlineStr">
        <is>
          <t>10/1 第6回合同会議</t>
        </is>
      </c>
      <c r="H43" s="235" t="inlineStr">
        <is>
          <t>荒木田→田中</t>
        </is>
      </c>
      <c r="I43" s="233" t="inlineStr">
        <is>
          <t>協議中</t>
        </is>
      </c>
    </row>
    <row r="44" ht="78" customHeight="1" s="123">
      <c r="A44" s="234" t="inlineStr">
        <is>
          <t>H40</t>
        </is>
      </c>
      <c r="B44" s="235" t="inlineStr">
        <is>
          <t>会場・機材</t>
        </is>
      </c>
      <c r="C44" s="235" t="inlineStr">
        <is>
          <t>名札とマイクの範囲</t>
        </is>
      </c>
      <c r="D44" s="23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235" t="inlineStr">
        <is>
          <t>席割リスト（名札用）の提出時期と様式</t>
        </is>
      </c>
      <c r="F44" s="234" t="inlineStr">
        <is>
          <t>WhatsApp 9/24（荒木田→Sylvia）</t>
        </is>
      </c>
      <c r="G44" s="234" t="inlineStr">
        <is>
          <t>10月上旬</t>
        </is>
      </c>
      <c r="H44" s="235" t="inlineStr">
        <is>
          <t>荒木田・田中</t>
        </is>
      </c>
      <c r="I44" s="233" t="inlineStr">
        <is>
          <t>協議中</t>
        </is>
      </c>
    </row>
    <row r="45" ht="78" customHeight="1" s="123">
      <c r="A45" s="234" t="inlineStr">
        <is>
          <t>H41</t>
        </is>
      </c>
      <c r="B45" s="235" t="inlineStr">
        <is>
          <t>事務・契約</t>
        </is>
      </c>
      <c r="C45" s="235" t="inlineStr">
        <is>
          <t>AV費用の負担区分</t>
        </is>
      </c>
      <c r="D45" s="235" t="inlineStr">
        <is>
          <t>見積を見てから協議（Sylvia 9/22）。ADRC側は負担上限を内々に決めておく。Webcamは持参で節約可。LAN S$1,000＋GST。</t>
        </is>
      </c>
      <c r="E45" s="235" t="inlineStr">
        <is>
          <t>見積の受領、折半か項目別かの方式</t>
        </is>
      </c>
      <c r="F45" s="234" t="inlineStr">
        <is>
          <t>Sylvia 9/22</t>
        </is>
      </c>
      <c r="G45" s="234" t="inlineStr">
        <is>
          <t>10/1</t>
        </is>
      </c>
      <c r="H45" s="235" t="inlineStr">
        <is>
          <t>児玉・藤中</t>
        </is>
      </c>
      <c r="I45" s="233" t="inlineStr">
        <is>
          <t>協議中</t>
        </is>
      </c>
    </row>
    <row r="46" ht="78" customHeight="1" s="123">
      <c r="A46" s="234" t="inlineStr">
        <is>
          <t>H42</t>
        </is>
      </c>
      <c r="B46" s="235" t="inlineStr">
        <is>
          <t>事務・契約</t>
        </is>
      </c>
      <c r="C46" s="235" t="inlineStr">
        <is>
          <t>リソースパーソン招待状のシンガポール側署名者</t>
        </is>
      </c>
      <c r="D46" s="235" t="inlineStr">
        <is>
          <t>招待状v2はADRC（三浦会長）とシンガポール側の双方署名。池田はSG側署名完了後に各登壇者へ発送（9/24）。SG側の署名者は未確認。</t>
        </is>
      </c>
      <c r="E46" s="235" t="inlineStr">
        <is>
          <t>SCDF/COSEMのどちらが誰の名で署名するか、署名の手順（電子か原本か）</t>
        </is>
      </c>
      <c r="F46" s="234" t="inlineStr">
        <is>
          <t>池田 9/24メール、荒木田 9/24</t>
        </is>
      </c>
      <c r="G46" s="234" t="inlineStr">
        <is>
          <t>9/30</t>
        </is>
      </c>
      <c r="H46" s="235" t="inlineStr">
        <is>
          <t>荒木田→Sylvia</t>
        </is>
      </c>
      <c r="I46" s="233" t="inlineStr">
        <is>
          <t>未協議</t>
        </is>
      </c>
    </row>
    <row r="47" ht="78" customHeight="1" s="123">
      <c r="A47" s="234" t="inlineStr">
        <is>
          <t>H43</t>
        </is>
      </c>
      <c r="B47" s="235" t="inlineStr">
        <is>
          <t>記録</t>
        </is>
      </c>
      <c r="C47" s="235" t="inlineStr">
        <is>
          <t>第6回合同会議（10/1 15:00）の議題</t>
        </is>
      </c>
      <c r="D47" s="235" t="inlineStr">
        <is>
          <t>ADRC側から: 座席案（U28）の確認、AV見積と費用分担、Day 1前倒し、バナー修正版、07:30入室、ビザ申請状況、レセプション名簿</t>
        </is>
      </c>
      <c r="E47" s="235" t="inlineStr">
        <is>
          <t>議題の事前共有</t>
        </is>
      </c>
      <c r="F47" s="234" t="inlineStr">
        <is>
          <t>本表</t>
        </is>
      </c>
      <c r="G47" s="234" t="inlineStr">
        <is>
          <t>9/29</t>
        </is>
      </c>
      <c r="H47" s="235" t="inlineStr">
        <is>
          <t>荒木田・児玉</t>
        </is>
      </c>
      <c r="I47" s="233" t="inlineStr">
        <is>
          <t>未協議</t>
        </is>
      </c>
    </row>
    <row r="49" ht="15" customHeight="1" s="123">
      <c r="B49" s="237" t="inlineStr">
        <is>
          <t>凡例</t>
        </is>
      </c>
    </row>
    <row r="50" ht="15" customHeight="1" s="123">
      <c r="B50" s="142" t="n"/>
      <c r="C50" s="238" t="inlineStr">
        <is>
          <t>未協議（COSEM/SCDFにまだ提示していない）</t>
        </is>
      </c>
    </row>
    <row r="51" ht="15" customHeight="1" s="123">
      <c r="B51" s="141" t="n"/>
      <c r="C51" s="238" t="inlineStr">
        <is>
          <t>協議中（提示済み・回答待ち）</t>
        </is>
      </c>
    </row>
    <row r="52" ht="15" customHeight="1" s="123">
      <c r="B52" s="139" t="n"/>
      <c r="C52" s="238" t="inlineStr">
        <is>
          <t>合意</t>
        </is>
      </c>
    </row>
    <row r="54">
      <c r="B54" s="237" t="inlineStr">
        <is>
          <t>集計</t>
        </is>
      </c>
    </row>
    <row r="55">
      <c r="B55" s="238" t="inlineStr">
        <is>
          <t>未協議</t>
        </is>
      </c>
      <c r="C55" s="239">
        <f>COUNTIF(I5:I47,"未協議")</f>
        <v/>
      </c>
    </row>
    <row r="56">
      <c r="B56" s="238" t="inlineStr">
        <is>
          <t>協議中</t>
        </is>
      </c>
      <c r="C56" s="239">
        <f>COUNTIF(I5:I47,"協議中")</f>
        <v/>
      </c>
    </row>
    <row r="57">
      <c r="B57" s="238" t="inlineStr">
        <is>
          <t>合意</t>
        </is>
      </c>
      <c r="C57" s="239">
        <f>COUNTIF(I5:I47,"合意")</f>
        <v/>
      </c>
    </row>
  </sheetData>
  <mergeCells count="1"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6" activeCellId="0" sqref="E26"/>
    </sheetView>
  </sheetViews>
  <sheetFormatPr baseColWidth="8" defaultColWidth="8.55859375" defaultRowHeight="14.25" zeroHeight="0" outlineLevelRow="0"/>
  <cols>
    <col width="22" customWidth="1" style="122" min="1" max="1"/>
    <col width="30" customWidth="1" style="122" min="2" max="2"/>
    <col width="10" customWidth="1" style="122" min="3" max="6"/>
    <col width="18" customWidth="1" style="122" min="7" max="7"/>
    <col width="14" customWidth="1" style="122" min="8" max="8"/>
    <col width="10" customWidth="1" style="122" min="9" max="9"/>
    <col width="30" customWidth="1" style="122" min="10" max="10"/>
  </cols>
  <sheetData>
    <row r="1" ht="15" customHeight="1" s="123">
      <c r="A1" s="222" t="inlineStr">
        <is>
          <t>メンバー国等 到着・出発予定（ホテル部屋数検討用リスト_tt.xlsx Dorsettシート, as of 2026/8/25-28）</t>
        </is>
      </c>
    </row>
    <row r="2" ht="14.25" customHeight="1" s="123">
      <c r="A2" s="137" t="inlineStr">
        <is>
          <t>※TBDは招待済みで人選未定。DS=Dorsett自己負担。到着時刻はCOSEM送迎・Dorsett受付配置の検討用。</t>
        </is>
      </c>
    </row>
    <row r="3" ht="63.75" customHeight="1" s="123">
      <c r="A3" s="199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</t>
        </is>
      </c>
    </row>
    <row r="4" ht="14.25" customHeight="1" s="123">
      <c r="A4" s="127" t="inlineStr">
        <is>
          <t>国・組織</t>
        </is>
      </c>
      <c r="B4" s="127" t="inlineStr">
        <is>
          <t>氏名</t>
        </is>
      </c>
      <c r="C4" s="127" t="inlineStr">
        <is>
          <t>到着日</t>
        </is>
      </c>
      <c r="D4" s="127" t="inlineStr">
        <is>
          <t>到着時刻</t>
        </is>
      </c>
      <c r="E4" s="127" t="inlineStr">
        <is>
          <t>出発日</t>
        </is>
      </c>
      <c r="F4" s="127" t="inlineStr">
        <is>
          <t>出発時刻</t>
        </is>
      </c>
      <c r="G4" s="127" t="inlineStr">
        <is>
          <t>便名(到着/出発)</t>
        </is>
      </c>
      <c r="H4" s="127" t="inlineStr">
        <is>
          <t>宿泊</t>
        </is>
      </c>
      <c r="I4" s="126" t="inlineStr">
        <is>
          <t>Field Trip</t>
        </is>
      </c>
      <c r="J4" s="127" t="inlineStr">
        <is>
          <t>備考</t>
        </is>
      </c>
    </row>
    <row r="5" ht="26.25" customHeight="1" s="123">
      <c r="A5" s="240" t="inlineStr">
        <is>
          <t>モルディブ</t>
        </is>
      </c>
      <c r="B5" s="241" t="inlineStr">
        <is>
          <t>Hassan Hisan (Chief Executive, NDMA)</t>
        </is>
      </c>
      <c r="C5" s="241" t="inlineStr">
        <is>
          <t>10/27</t>
        </is>
      </c>
      <c r="D5" s="241" t="inlineStr">
        <is>
          <t>07:15</t>
        </is>
      </c>
      <c r="E5" s="241" t="inlineStr">
        <is>
          <t>10/31</t>
        </is>
      </c>
      <c r="F5" s="241" t="inlineStr">
        <is>
          <t>10:25</t>
        </is>
      </c>
      <c r="G5" s="241" t="inlineStr">
        <is>
          <t>―</t>
        </is>
      </c>
      <c r="H5" s="241" t="inlineStr">
        <is>
          <t>D</t>
        </is>
      </c>
      <c r="I5" s="241" t="inlineStr">
        <is>
          <t>Yes</t>
        </is>
      </c>
      <c r="J5" s="241" t="inlineStr">
        <is>
          <t>Halal</t>
        </is>
      </c>
    </row>
    <row r="6" ht="14.25" customHeight="1" s="123">
      <c r="A6" s="240" t="inlineStr">
        <is>
          <t>アルメニア</t>
        </is>
      </c>
      <c r="B6" s="241" t="inlineStr">
        <is>
          <t>Syuzanna Vardazari Kakoyan</t>
        </is>
      </c>
      <c r="C6" s="241" t="inlineStr">
        <is>
          <t>10/27</t>
        </is>
      </c>
      <c r="D6" s="241" t="inlineStr">
        <is>
          <t>08:45</t>
        </is>
      </c>
      <c r="E6" s="241" t="inlineStr">
        <is>
          <t>11/1</t>
        </is>
      </c>
      <c r="F6" s="241" t="inlineStr">
        <is>
          <t>―</t>
        </is>
      </c>
      <c r="G6" s="241" t="inlineStr">
        <is>
          <t>TK208/TK209</t>
        </is>
      </c>
      <c r="H6" s="241" t="inlineStr">
        <is>
          <t>D(+10/31 DS)</t>
        </is>
      </c>
      <c r="I6" s="241" t="inlineStr">
        <is>
          <t>Yes</t>
        </is>
      </c>
      <c r="J6" s="240" t="inlineStr">
        <is>
          <t>本人希望で1泊延長</t>
        </is>
      </c>
    </row>
    <row r="7" ht="14.25" customHeight="1" s="123">
      <c r="A7" s="240" t="inlineStr">
        <is>
          <t>アゼルバイジャン</t>
        </is>
      </c>
      <c r="B7" s="241" t="inlineStr">
        <is>
          <t>Zamanov Niyazi</t>
        </is>
      </c>
      <c r="C7" s="241" t="inlineStr">
        <is>
          <t>10/26</t>
        </is>
      </c>
      <c r="D7" s="241" t="inlineStr">
        <is>
          <t>17:40</t>
        </is>
      </c>
      <c r="E7" s="241" t="inlineStr">
        <is>
          <t>10/30</t>
        </is>
      </c>
      <c r="F7" s="241" t="inlineStr">
        <is>
          <t>23:15</t>
        </is>
      </c>
      <c r="G7" s="241" t="inlineStr">
        <is>
          <t>TK335/TK54</t>
        </is>
      </c>
      <c r="H7" s="241" t="inlineStr">
        <is>
          <t>D</t>
        </is>
      </c>
      <c r="I7" s="241" t="inlineStr">
        <is>
          <t>Yes</t>
        </is>
      </c>
      <c r="J7" s="241" t="inlineStr">
        <is>
          <t>Halal</t>
        </is>
      </c>
    </row>
    <row r="8" ht="14.25" customHeight="1" s="123">
      <c r="A8" s="240" t="inlineStr">
        <is>
          <t>アゼルバイジャン</t>
        </is>
      </c>
      <c r="B8" s="241" t="inlineStr">
        <is>
          <t>Rustamzade Kamran</t>
        </is>
      </c>
      <c r="C8" s="241" t="inlineStr">
        <is>
          <t>10/26</t>
        </is>
      </c>
      <c r="D8" s="241" t="inlineStr">
        <is>
          <t>17:40</t>
        </is>
      </c>
      <c r="E8" s="241" t="inlineStr">
        <is>
          <t>10/30</t>
        </is>
      </c>
      <c r="F8" s="241" t="inlineStr">
        <is>
          <t>23:15</t>
        </is>
      </c>
      <c r="G8" s="241" t="inlineStr">
        <is>
          <t>TK335/TK54</t>
        </is>
      </c>
      <c r="H8" s="241" t="inlineStr">
        <is>
          <t>DS</t>
        </is>
      </c>
      <c r="I8" s="241" t="inlineStr">
        <is>
          <t>Yes</t>
        </is>
      </c>
      <c r="J8" s="241" t="inlineStr">
        <is>
          <t>Halal</t>
        </is>
      </c>
    </row>
    <row r="9" ht="26.25" customHeight="1" s="123">
      <c r="A9" s="240" t="inlineStr">
        <is>
          <t>トルコ</t>
        </is>
      </c>
      <c r="B9" s="241" t="inlineStr">
        <is>
          <t>Pehlivan Ali Hamza (Governor/Head of AFAD)</t>
        </is>
      </c>
      <c r="C9" s="241" t="inlineStr">
        <is>
          <t>10/27</t>
        </is>
      </c>
      <c r="D9" s="241" t="inlineStr">
        <is>
          <t>08:45</t>
        </is>
      </c>
      <c r="E9" s="241" t="inlineStr">
        <is>
          <t>10/31</t>
        </is>
      </c>
      <c r="F9" s="241" t="inlineStr">
        <is>
          <t>10:25</t>
        </is>
      </c>
      <c r="G9" s="241" t="inlineStr">
        <is>
          <t>―/TK209</t>
        </is>
      </c>
      <c r="H9" s="241" t="inlineStr">
        <is>
          <t>D</t>
        </is>
      </c>
      <c r="I9" s="241" t="inlineStr">
        <is>
          <t>Yes</t>
        </is>
      </c>
      <c r="J9" s="241" t="inlineStr">
        <is>
          <t>Halal</t>
        </is>
      </c>
    </row>
    <row r="10" ht="14.25" customHeight="1" s="123">
      <c r="A10" s="240" t="inlineStr">
        <is>
          <t>トルコ</t>
        </is>
      </c>
      <c r="B10" s="241" t="inlineStr">
        <is>
          <t>Yaman Muhammet Maruf</t>
        </is>
      </c>
      <c r="C10" s="241" t="inlineStr">
        <is>
          <t>10/27</t>
        </is>
      </c>
      <c r="D10" s="241" t="inlineStr">
        <is>
          <t>08:45</t>
        </is>
      </c>
      <c r="E10" s="241" t="inlineStr">
        <is>
          <t>10/31</t>
        </is>
      </c>
      <c r="F10" s="241" t="inlineStr">
        <is>
          <t>10:25</t>
        </is>
      </c>
      <c r="G10" s="241" t="inlineStr">
        <is>
          <t>―/TK209</t>
        </is>
      </c>
      <c r="H10" s="241" t="inlineStr">
        <is>
          <t>DS</t>
        </is>
      </c>
      <c r="I10" s="241" t="inlineStr">
        <is>
          <t>Yes</t>
        </is>
      </c>
      <c r="J10" s="241" t="inlineStr">
        <is>
          <t>Halal</t>
        </is>
      </c>
    </row>
    <row r="11" ht="26.25" customHeight="1" s="123">
      <c r="A11" s="240" t="inlineStr">
        <is>
          <t>モンゴル</t>
        </is>
      </c>
      <c r="B11" s="241" t="inlineStr">
        <is>
          <t>Nyambayar Tsedev (Director, NEMA)</t>
        </is>
      </c>
      <c r="C11" s="241" t="inlineStr">
        <is>
          <t>10/26</t>
        </is>
      </c>
      <c r="D11" s="241" t="inlineStr">
        <is>
          <t>21:55</t>
        </is>
      </c>
      <c r="E11" s="241" t="inlineStr">
        <is>
          <t>10/30</t>
        </is>
      </c>
      <c r="F11" s="241" t="inlineStr">
        <is>
          <t>23:55</t>
        </is>
      </c>
      <c r="G11" s="241" t="inlineStr">
        <is>
          <t>CA969/CA970</t>
        </is>
      </c>
      <c r="H11" s="241" t="inlineStr">
        <is>
          <t>D</t>
        </is>
      </c>
      <c r="I11" s="241" t="inlineStr">
        <is>
          <t>Yes</t>
        </is>
      </c>
      <c r="J11" s="240" t="inlineStr">
        <is>
          <t>中国国際航空(北京経由)</t>
        </is>
      </c>
    </row>
    <row r="12" ht="26.25" customHeight="1" s="123">
      <c r="A12" s="240" t="inlineStr">
        <is>
          <t>フィジー</t>
        </is>
      </c>
      <c r="B12" s="241" t="inlineStr">
        <is>
          <t>Naipolioni Dabea Boseiwaqa (Director, NDRMO)</t>
        </is>
      </c>
      <c r="C12" s="241" t="inlineStr">
        <is>
          <t>10/26</t>
        </is>
      </c>
      <c r="D12" s="241" t="inlineStr">
        <is>
          <t>21:35</t>
        </is>
      </c>
      <c r="E12" s="241" t="inlineStr">
        <is>
          <t>10/31</t>
        </is>
      </c>
      <c r="F12" s="241" t="inlineStr">
        <is>
          <t>13:40</t>
        </is>
      </c>
      <c r="G12" s="241" t="inlineStr">
        <is>
          <t>―</t>
        </is>
      </c>
      <c r="H12" s="241" t="inlineStr">
        <is>
          <t>D</t>
        </is>
      </c>
      <c r="I12" s="241" t="inlineStr">
        <is>
          <t>No</t>
        </is>
      </c>
      <c r="J12" s="240" t="n"/>
    </row>
    <row r="13" ht="26.25" customHeight="1" s="123">
      <c r="A13" s="240" t="inlineStr">
        <is>
          <t>スリランカ</t>
        </is>
      </c>
      <c r="B13" s="241" t="inlineStr">
        <is>
          <t>Maj.Gen.(Retd.) Kotuwegoda (DG, DMC)</t>
        </is>
      </c>
      <c r="C13" s="241" t="inlineStr">
        <is>
          <t>10/27</t>
        </is>
      </c>
      <c r="D13" s="241" t="inlineStr">
        <is>
          <t>08:10</t>
        </is>
      </c>
      <c r="E13" s="241" t="inlineStr">
        <is>
          <t>10/31</t>
        </is>
      </c>
      <c r="F13" s="241" t="inlineStr">
        <is>
          <t>09:40</t>
        </is>
      </c>
      <c r="G13" s="241" t="inlineStr">
        <is>
          <t>―</t>
        </is>
      </c>
      <c r="H13" s="241" t="inlineStr">
        <is>
          <t>D</t>
        </is>
      </c>
      <c r="I13" s="241" t="inlineStr">
        <is>
          <t>No</t>
        </is>
      </c>
      <c r="J13" s="240" t="n"/>
    </row>
    <row r="14" ht="14.25" customHeight="1" s="123">
      <c r="A14" s="240" t="inlineStr">
        <is>
          <t>マレーシア</t>
        </is>
      </c>
      <c r="B14" s="241" t="inlineStr">
        <is>
          <t>Ezrin Rozani Bin Rosli (NADMA)</t>
        </is>
      </c>
      <c r="C14" s="241" t="inlineStr">
        <is>
          <t>10/27</t>
        </is>
      </c>
      <c r="D14" s="241" t="inlineStr">
        <is>
          <t>12:20</t>
        </is>
      </c>
      <c r="E14" s="241" t="inlineStr">
        <is>
          <t>10/31</t>
        </is>
      </c>
      <c r="F14" s="241" t="inlineStr">
        <is>
          <t>12:45</t>
        </is>
      </c>
      <c r="G14" s="241" t="inlineStr">
        <is>
          <t>―</t>
        </is>
      </c>
      <c r="H14" s="241" t="inlineStr">
        <is>
          <t>D(10/27-)</t>
        </is>
      </c>
      <c r="I14" s="241" t="inlineStr">
        <is>
          <t>Yes</t>
        </is>
      </c>
      <c r="J14" s="241" t="inlineStr">
        <is>
          <t>Halal</t>
        </is>
      </c>
    </row>
    <row r="15" ht="14.25" customHeight="1" s="123">
      <c r="A15" s="240" t="inlineStr">
        <is>
          <t>韓国</t>
        </is>
      </c>
      <c r="B15" s="241" t="inlineStr">
        <is>
          <t>Byungim So (MOIS)</t>
        </is>
      </c>
      <c r="C15" s="241" t="inlineStr">
        <is>
          <t>10/26</t>
        </is>
      </c>
      <c r="D15" s="241" t="inlineStr">
        <is>
          <t>20:25</t>
        </is>
      </c>
      <c r="E15" s="241" t="inlineStr">
        <is>
          <t>10/31</t>
        </is>
      </c>
      <c r="F15" s="241" t="inlineStr">
        <is>
          <t>01:35</t>
        </is>
      </c>
      <c r="G15" s="241" t="inlineStr">
        <is>
          <t>―</t>
        </is>
      </c>
      <c r="H15" s="241" t="inlineStr">
        <is>
          <t>D</t>
        </is>
      </c>
      <c r="I15" s="241" t="inlineStr">
        <is>
          <t>No</t>
        </is>
      </c>
      <c r="J15" s="240" t="n"/>
    </row>
    <row r="16" ht="14.25" customHeight="1" s="123">
      <c r="A16" s="240" t="inlineStr">
        <is>
          <t>韓国</t>
        </is>
      </c>
      <c r="B16" s="241" t="inlineStr">
        <is>
          <t>Kim Ingeon（Deputy Director）、Lee Taekgeon（Assistant Director）、Song Hana（Deputy Director）いずれもMOIS、9/21登録</t>
        </is>
      </c>
      <c r="C16" s="241" t="inlineStr">
        <is>
          <t>10/26</t>
        </is>
      </c>
      <c r="D16" s="241" t="inlineStr">
        <is>
          <t>20:25</t>
        </is>
      </c>
      <c r="E16" s="241" t="inlineStr">
        <is>
          <t>10/31</t>
        </is>
      </c>
      <c r="F16" s="241" t="inlineStr">
        <is>
          <t>01:35</t>
        </is>
      </c>
      <c r="G16" s="241" t="inlineStr">
        <is>
          <t>―</t>
        </is>
      </c>
      <c r="H16" s="241" t="inlineStr">
        <is>
          <t>DS</t>
        </is>
      </c>
      <c r="I16" s="240" t="n"/>
      <c r="J16" s="240" t="inlineStr">
        <is>
          <t>9/21に3名登録。So氏を含め4名かは名簿で要確認。宿泊区分（D/DS）未整理</t>
        </is>
      </c>
    </row>
    <row r="17" ht="14.25" customHeight="1" s="123">
      <c r="A17" s="240" t="inlineStr">
        <is>
          <t>ベトナム</t>
        </is>
      </c>
      <c r="B17" s="241" t="inlineStr">
        <is>
          <t>Doan Thi Tuyet Nga ほかTBD</t>
        </is>
      </c>
      <c r="C17" s="241" t="inlineStr">
        <is>
          <t>10/26</t>
        </is>
      </c>
      <c r="D17" s="241" t="inlineStr">
        <is>
          <t>17:20</t>
        </is>
      </c>
      <c r="E17" s="241" t="inlineStr">
        <is>
          <t>10/31</t>
        </is>
      </c>
      <c r="F17" s="241" t="inlineStr">
        <is>
          <t>12:35</t>
        </is>
      </c>
      <c r="G17" s="241" t="inlineStr">
        <is>
          <t>―</t>
        </is>
      </c>
      <c r="H17" s="241" t="inlineStr">
        <is>
          <t>D/DS</t>
        </is>
      </c>
      <c r="I17" s="240" t="n"/>
      <c r="J17" s="241" t="inlineStr">
        <is>
          <t>8/27登録、2人目の可能性</t>
        </is>
      </c>
    </row>
    <row r="18" ht="26.25" customHeight="1" s="123">
      <c r="A18" s="240" t="inlineStr">
        <is>
          <t>ウズベキスタン</t>
        </is>
      </c>
      <c r="B18" s="241" t="inlineStr">
        <is>
          <t>TBD ×2（1名はTSスピーカー）— 2名を選出し登録予定（9/24 連絡取れた）</t>
        </is>
      </c>
      <c r="C18" s="241" t="inlineStr">
        <is>
          <t>10/27</t>
        </is>
      </c>
      <c r="D18" s="241" t="inlineStr">
        <is>
          <t>08:45</t>
        </is>
      </c>
      <c r="E18" s="241" t="inlineStr">
        <is>
          <t>10/31</t>
        </is>
      </c>
      <c r="F18" s="241" t="inlineStr">
        <is>
          <t>10:25</t>
        </is>
      </c>
      <c r="G18" s="241" t="inlineStr">
        <is>
          <t>―</t>
        </is>
      </c>
      <c r="H18" s="241" t="inlineStr">
        <is>
          <t>D×2</t>
        </is>
      </c>
      <c r="I18" s="240" t="n"/>
      <c r="J18" s="24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23">
      <c r="A19" s="240" t="inlineStr">
        <is>
          <t>フィリピン</t>
        </is>
      </c>
      <c r="B19" s="241" t="inlineStr">
        <is>
          <t>TBD ×2</t>
        </is>
      </c>
      <c r="C19" s="241" t="inlineStr">
        <is>
          <t>10/26</t>
        </is>
      </c>
      <c r="D19" s="241" t="inlineStr">
        <is>
          <t>18:00</t>
        </is>
      </c>
      <c r="E19" s="241" t="inlineStr">
        <is>
          <t>10/31</t>
        </is>
      </c>
      <c r="F19" s="241" t="inlineStr">
        <is>
          <t>12:10</t>
        </is>
      </c>
      <c r="G19" s="241" t="inlineStr">
        <is>
          <t>―</t>
        </is>
      </c>
      <c r="H19" s="241" t="inlineStr">
        <is>
          <t>D/DS</t>
        </is>
      </c>
      <c r="I19" s="240" t="n"/>
      <c r="J19" s="240" t="n"/>
    </row>
    <row r="20" ht="14.25" customHeight="1" s="123">
      <c r="A20" s="240" t="inlineStr">
        <is>
          <t>ブルネイ</t>
        </is>
      </c>
      <c r="B20" s="241" t="inlineStr">
        <is>
          <t>Rina Nurhafizah binti Abdul Rani（Senior DM Officer, NDMC）＋TBD</t>
        </is>
      </c>
      <c r="C20" s="241" t="inlineStr">
        <is>
          <t>10/27</t>
        </is>
      </c>
      <c r="D20" s="241" t="inlineStr">
        <is>
          <t>14:30</t>
        </is>
      </c>
      <c r="E20" s="241" t="inlineStr">
        <is>
          <t>10/31</t>
        </is>
      </c>
      <c r="F20" s="241" t="inlineStr">
        <is>
          <t>09:00</t>
        </is>
      </c>
      <c r="G20" s="241" t="inlineStr">
        <is>
          <t>―</t>
        </is>
      </c>
      <c r="H20" s="241" t="inlineStr">
        <is>
          <t>D/DS</t>
        </is>
      </c>
      <c r="I20" s="240" t="n"/>
      <c r="J20" s="240" t="inlineStr">
        <is>
          <t>9/20に1名登録</t>
        </is>
      </c>
    </row>
    <row r="21" ht="14.25" customHeight="1" s="123">
      <c r="A21" s="240" t="inlineStr">
        <is>
          <t>ブータン</t>
        </is>
      </c>
      <c r="B21" s="241" t="inlineStr">
        <is>
          <t>TBD</t>
        </is>
      </c>
      <c r="C21" s="241" t="inlineStr">
        <is>
          <t>10/26</t>
        </is>
      </c>
      <c r="D21" s="241" t="inlineStr">
        <is>
          <t>19:30</t>
        </is>
      </c>
      <c r="E21" s="241" t="inlineStr">
        <is>
          <t>11/1</t>
        </is>
      </c>
      <c r="F21" s="241" t="inlineStr">
        <is>
          <t>12:30</t>
        </is>
      </c>
      <c r="G21" s="241" t="inlineStr">
        <is>
          <t>―</t>
        </is>
      </c>
      <c r="H21" s="241" t="inlineStr">
        <is>
          <t>D</t>
        </is>
      </c>
      <c r="I21" s="240" t="n"/>
      <c r="J21" s="240" t="n"/>
    </row>
    <row r="22" ht="14.25" customHeight="1" s="123">
      <c r="A22" s="241" t="inlineStr">
        <is>
          <t>PNG</t>
        </is>
      </c>
      <c r="B22" s="241" t="inlineStr">
        <is>
          <t>TBD</t>
        </is>
      </c>
      <c r="C22" s="241" t="inlineStr">
        <is>
          <t>10/26</t>
        </is>
      </c>
      <c r="D22" s="241" t="inlineStr">
        <is>
          <t>19:30</t>
        </is>
      </c>
      <c r="E22" s="241" t="inlineStr">
        <is>
          <t>10/31</t>
        </is>
      </c>
      <c r="F22" s="241" t="inlineStr">
        <is>
          <t>20:40</t>
        </is>
      </c>
      <c r="G22" s="241" t="inlineStr">
        <is>
          <t>―</t>
        </is>
      </c>
      <c r="H22" s="241" t="inlineStr">
        <is>
          <t>D</t>
        </is>
      </c>
      <c r="I22" s="240" t="n"/>
      <c r="J22" s="240" t="n"/>
    </row>
    <row r="23" ht="14.25" customHeight="1" s="123">
      <c r="A23" s="240" t="inlineStr">
        <is>
          <t>タイ</t>
        </is>
      </c>
      <c r="B23" s="241" t="inlineStr">
        <is>
          <t>Prasong Thammapala（Director, NDWC）予定</t>
        </is>
      </c>
      <c r="C23" s="241" t="inlineStr">
        <is>
          <t>10/27</t>
        </is>
      </c>
      <c r="D23" s="241" t="inlineStr">
        <is>
          <t>14:50</t>
        </is>
      </c>
      <c r="E23" s="241" t="inlineStr">
        <is>
          <t>10/31</t>
        </is>
      </c>
      <c r="F23" s="241" t="inlineStr">
        <is>
          <t>12:25</t>
        </is>
      </c>
      <c r="G23" s="241" t="inlineStr">
        <is>
          <t>―</t>
        </is>
      </c>
      <c r="H23" s="241" t="inlineStr">
        <is>
          <t>D(10/27-)</t>
        </is>
      </c>
      <c r="I23" s="241" t="inlineStr">
        <is>
          <t>No</t>
        </is>
      </c>
      <c r="J23" s="240" t="inlineStr">
        <is>
          <t>9/22 DDPMより指名予定の連絡。ADRCは1名分負担と回答（吉田 9/22）。正式登録待ち</t>
        </is>
      </c>
    </row>
    <row r="24" ht="14.25" customHeight="1" s="123">
      <c r="A24" s="240" t="inlineStr">
        <is>
          <t>カンボジア</t>
        </is>
      </c>
      <c r="B24" s="241" t="inlineStr">
        <is>
          <t>TBD</t>
        </is>
      </c>
      <c r="C24" s="241" t="inlineStr">
        <is>
          <t>10/26</t>
        </is>
      </c>
      <c r="D24" s="241" t="inlineStr">
        <is>
          <t>18:00</t>
        </is>
      </c>
      <c r="E24" s="241" t="inlineStr">
        <is>
          <t>10/31</t>
        </is>
      </c>
      <c r="F24" s="241" t="inlineStr">
        <is>
          <t>12:45</t>
        </is>
      </c>
      <c r="G24" s="241" t="inlineStr">
        <is>
          <t>―</t>
        </is>
      </c>
      <c r="H24" s="241" t="inlineStr">
        <is>
          <t>D</t>
        </is>
      </c>
      <c r="I24" s="240" t="n"/>
      <c r="J24" s="241" t="inlineStr">
        <is>
          <t>9/1登録あり</t>
        </is>
      </c>
    </row>
    <row r="25" ht="14.25" customHeight="1" s="123">
      <c r="A25" s="240" t="inlineStr">
        <is>
          <t>ミャンマー</t>
        </is>
      </c>
      <c r="B25" s="241" t="inlineStr">
        <is>
          <t>TBD</t>
        </is>
      </c>
      <c r="C25" s="241" t="inlineStr">
        <is>
          <t>10/27</t>
        </is>
      </c>
      <c r="D25" s="241" t="inlineStr">
        <is>
          <t>15:10</t>
        </is>
      </c>
      <c r="E25" s="241" t="inlineStr">
        <is>
          <t>10/31</t>
        </is>
      </c>
      <c r="F25" s="241" t="inlineStr">
        <is>
          <t>13:45</t>
        </is>
      </c>
      <c r="G25" s="241" t="inlineStr">
        <is>
          <t>―</t>
        </is>
      </c>
      <c r="H25" s="241" t="inlineStr">
        <is>
          <t>D(10/27-)</t>
        </is>
      </c>
      <c r="I25" s="240" t="n"/>
      <c r="J25" s="240" t="n"/>
    </row>
    <row r="26" ht="14.25" customHeight="1" s="123">
      <c r="A26" s="240" t="inlineStr">
        <is>
          <t>インドネシア</t>
        </is>
      </c>
      <c r="B26" s="241" t="inlineStr">
        <is>
          <t>TBD</t>
        </is>
      </c>
      <c r="C26" s="241" t="inlineStr">
        <is>
          <t>10/27</t>
        </is>
      </c>
      <c r="D26" s="241" t="inlineStr">
        <is>
          <t>11:20</t>
        </is>
      </c>
      <c r="E26" s="241" t="inlineStr">
        <is>
          <t>10/30</t>
        </is>
      </c>
      <c r="F26" s="241" t="inlineStr">
        <is>
          <t>22:40</t>
        </is>
      </c>
      <c r="G26" s="241" t="inlineStr">
        <is>
          <t>―</t>
        </is>
      </c>
      <c r="H26" s="241" t="inlineStr">
        <is>
          <t>D(10/27-)</t>
        </is>
      </c>
      <c r="I26" s="240" t="n"/>
      <c r="J26" s="240" t="n"/>
    </row>
    <row r="27" ht="14.25" customHeight="1" s="123">
      <c r="A27" s="240" t="inlineStr">
        <is>
          <t>パキスタン</t>
        </is>
      </c>
      <c r="B27" s="241" t="inlineStr">
        <is>
          <t>TBD</t>
        </is>
      </c>
      <c r="C27" s="241" t="inlineStr">
        <is>
          <t>10/27</t>
        </is>
      </c>
      <c r="D27" s="241" t="inlineStr">
        <is>
          <t>11:15</t>
        </is>
      </c>
      <c r="E27" s="241" t="inlineStr">
        <is>
          <t>10/31</t>
        </is>
      </c>
      <c r="F27" s="241" t="inlineStr">
        <is>
          <t>12:25</t>
        </is>
      </c>
      <c r="G27" s="241" t="inlineStr">
        <is>
          <t>―</t>
        </is>
      </c>
      <c r="H27" s="241" t="inlineStr">
        <is>
          <t>D(10/27-)</t>
        </is>
      </c>
      <c r="I27" s="240" t="n"/>
      <c r="J27" s="240" t="n"/>
    </row>
    <row r="28" ht="26.25" customHeight="1" s="123">
      <c r="A28" s="240" t="inlineStr">
        <is>
          <t>インド</t>
        </is>
      </c>
      <c r="B28" s="241" t="inlineStr">
        <is>
          <t>3名（8/28登録、9/3に2人目確認）</t>
        </is>
      </c>
      <c r="C28" s="241" t="inlineStr">
        <is>
          <t>10/26</t>
        </is>
      </c>
      <c r="D28" s="241" t="inlineStr">
        <is>
          <t>18:00</t>
        </is>
      </c>
      <c r="E28" s="241" t="inlineStr">
        <is>
          <t>10/31</t>
        </is>
      </c>
      <c r="F28" s="241" t="inlineStr">
        <is>
          <t>16:40</t>
        </is>
      </c>
      <c r="G28" s="241" t="inlineStr">
        <is>
          <t>―</t>
        </is>
      </c>
      <c r="H28" s="241" t="inlineStr">
        <is>
          <t>D+DS×2</t>
        </is>
      </c>
      <c r="I28" s="240" t="n"/>
      <c r="J28" s="240" t="n"/>
    </row>
    <row r="29" ht="14.25" customHeight="1" s="123">
      <c r="A29" s="240" t="inlineStr">
        <is>
          <t>内閣府（日本）</t>
        </is>
      </c>
      <c r="B29" s="240" t="inlineStr">
        <is>
          <t>林 正道 政策統括官 ＋随行2名</t>
        </is>
      </c>
      <c r="C29" s="241" t="inlineStr">
        <is>
          <t>10/26</t>
        </is>
      </c>
      <c r="D29" s="241" t="inlineStr">
        <is>
          <t>15:00</t>
        </is>
      </c>
      <c r="E29" s="241" t="inlineStr">
        <is>
          <t>10/31</t>
        </is>
      </c>
      <c r="F29" s="241" t="inlineStr">
        <is>
          <t>01:20</t>
        </is>
      </c>
      <c r="G29" s="241" t="inlineStr">
        <is>
          <t>―</t>
        </is>
      </c>
      <c r="H29" s="241" t="inlineStr">
        <is>
          <t>DS×2(+林氏)</t>
        </is>
      </c>
      <c r="I29" s="240" t="n"/>
      <c r="J29" s="241" t="inlineStr">
        <is>
          <t>CV準備中。英語サポート要</t>
        </is>
      </c>
    </row>
    <row r="30" ht="14.25" customHeight="1" s="123">
      <c r="A30" s="240" t="inlineStr">
        <is>
          <t>リソース</t>
        </is>
      </c>
      <c r="B30" s="24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241" t="inlineStr">
        <is>
          <t>10/27</t>
        </is>
      </c>
      <c r="D30" s="241" t="inlineStr">
        <is>
          <t>―</t>
        </is>
      </c>
      <c r="E30" s="241" t="inlineStr">
        <is>
          <t>10/31</t>
        </is>
      </c>
      <c r="F30" s="241" t="inlineStr">
        <is>
          <t>―</t>
        </is>
      </c>
      <c r="G30" s="241" t="inlineStr">
        <is>
          <t>―</t>
        </is>
      </c>
      <c r="H30" s="241" t="inlineStr">
        <is>
          <t>D×2</t>
        </is>
      </c>
      <c r="I30" s="240" t="n"/>
      <c r="J30" s="241" t="inlineStr">
        <is>
          <t>藤本が見積取得中（9/18）。BRIN復路はMizan経由で照会中</t>
        </is>
      </c>
    </row>
    <row r="31" ht="52.5" customHeight="1" s="123">
      <c r="A31" s="240" t="inlineStr">
        <is>
          <t>観察者・一般</t>
        </is>
      </c>
      <c r="B31" s="241" t="inlineStr">
        <is>
          <t>ADPC 2名、AHA Centre、JICAフィジー、東北大小野教授、仙台市3名、Mercy Malaysia、大学関係 等</t>
        </is>
      </c>
      <c r="C31" s="241" t="inlineStr">
        <is>
          <t>―</t>
        </is>
      </c>
      <c r="D31" s="241" t="inlineStr">
        <is>
          <t>―</t>
        </is>
      </c>
      <c r="E31" s="241" t="inlineStr">
        <is>
          <t>―</t>
        </is>
      </c>
      <c r="F31" s="241" t="inlineStr">
        <is>
          <t>―</t>
        </is>
      </c>
      <c r="G31" s="241" t="inlineStr">
        <is>
          <t>―</t>
        </is>
      </c>
      <c r="H31" s="240" t="inlineStr">
        <is>
          <t>自己手配</t>
        </is>
      </c>
      <c r="I31" s="240" t="n"/>
      <c r="J31" s="240" t="inlineStr">
        <is>
          <t>昼食提供対象</t>
        </is>
      </c>
    </row>
    <row r="32" ht="52.5" customHeight="1" s="123">
      <c r="A32" s="240" t="inlineStr">
        <is>
          <t>タジキスタン</t>
        </is>
      </c>
      <c r="B32" s="241" t="inlineStr">
        <is>
          <t>TBD</t>
        </is>
      </c>
      <c r="C32" s="241" t="inlineStr">
        <is>
          <t>―</t>
        </is>
      </c>
      <c r="D32" s="241" t="inlineStr">
        <is>
          <t>―</t>
        </is>
      </c>
      <c r="E32" s="241" t="inlineStr">
        <is>
          <t>―</t>
        </is>
      </c>
      <c r="F32" s="241" t="inlineStr">
        <is>
          <t>―</t>
        </is>
      </c>
      <c r="G32" s="241" t="inlineStr">
        <is>
          <t>―</t>
        </is>
      </c>
      <c r="H32" s="240" t="inlineStr">
        <is>
          <t>D</t>
        </is>
      </c>
      <c r="I32" s="240" t="inlineStr">
        <is>
          <t>―</t>
        </is>
      </c>
      <c r="J32" s="240" t="inlineStr">
        <is>
          <t>9/24 WhatsApp再リマインド。ビザ要</t>
        </is>
      </c>
    </row>
    <row r="33" ht="52.5" customHeight="1" s="123">
      <c r="A33" s="240" t="inlineStr">
        <is>
          <t>SIDEXリソース（COSEM負担）</t>
        </is>
      </c>
      <c r="B33" s="241" t="inlineStr">
        <is>
          <t>西川 悟 JICA Senior Advisor</t>
        </is>
      </c>
      <c r="C33" s="241" t="inlineStr">
        <is>
          <t>―</t>
        </is>
      </c>
      <c r="D33" s="241" t="inlineStr">
        <is>
          <t>―</t>
        </is>
      </c>
      <c r="E33" s="241" t="inlineStr">
        <is>
          <t>―</t>
        </is>
      </c>
      <c r="F33" s="241" t="inlineStr">
        <is>
          <t>―</t>
        </is>
      </c>
      <c r="G33" s="241" t="inlineStr">
        <is>
          <t>―</t>
        </is>
      </c>
      <c r="H33" s="240" t="inlineStr">
        <is>
          <t>COSEM手配</t>
        </is>
      </c>
      <c r="I33" s="240" t="inlineStr">
        <is>
          <t>―</t>
        </is>
      </c>
      <c r="J33" s="24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23">
      <c r="A34" s="240" t="inlineStr">
        <is>
          <t>COSEM</t>
        </is>
      </c>
      <c r="B34" s="241" t="inlineStr">
        <is>
          <t>Fabian Hwi Min Tan（Deputy CEO, Operations）</t>
        </is>
      </c>
      <c r="C34" s="241" t="inlineStr">
        <is>
          <t>―</t>
        </is>
      </c>
      <c r="D34" s="241" t="inlineStr">
        <is>
          <t>―</t>
        </is>
      </c>
      <c r="E34" s="241" t="inlineStr">
        <is>
          <t>―</t>
        </is>
      </c>
      <c r="F34" s="241" t="inlineStr">
        <is>
          <t>―</t>
        </is>
      </c>
      <c r="G34" s="241" t="inlineStr">
        <is>
          <t>―</t>
        </is>
      </c>
      <c r="H34" s="240" t="inlineStr">
        <is>
          <t>―</t>
        </is>
      </c>
      <c r="I34" s="240" t="inlineStr">
        <is>
          <t>―</t>
        </is>
      </c>
      <c r="J34" s="240" t="inlineStr">
        <is>
          <t>9/24登録（現地参加）</t>
        </is>
      </c>
    </row>
    <row r="36">
      <c r="A36" s="24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C11" activeCellId="0" sqref="C11"/>
    </sheetView>
  </sheetViews>
  <sheetFormatPr baseColWidth="8" defaultColWidth="8.55859375" defaultRowHeight="14.25" zeroHeight="0" outlineLevelRow="0"/>
  <cols>
    <col width="6" customWidth="1" style="122" min="1" max="1"/>
    <col width="60" customWidth="1" style="122" min="2" max="2"/>
    <col width="70" customWidth="1" style="122" min="3" max="3"/>
  </cols>
  <sheetData>
    <row r="1" ht="15" customHeight="1" s="123">
      <c r="A1" s="222" t="inlineStr">
        <is>
          <t>出典と前提（本表は2026/9/24時点の一次資料から作成。未確認事項は各シートに明記）</t>
        </is>
      </c>
    </row>
    <row r="3" ht="14.25" customHeight="1" s="123">
      <c r="A3" s="243" t="inlineStr">
        <is>
          <t>#</t>
        </is>
      </c>
      <c r="B3" s="244" t="inlineStr">
        <is>
          <t>資料</t>
        </is>
      </c>
      <c r="C3" s="244" t="inlineStr">
        <is>
          <t>本表での使用箇所</t>
        </is>
      </c>
    </row>
    <row r="4" ht="31.5" customHeight="1" s="123">
      <c r="A4" s="241" t="inlineStr">
        <is>
          <t>1</t>
        </is>
      </c>
      <c r="B4" s="241" t="inlineStr">
        <is>
          <t>Gmail: 荒木田→研究部・事務局 2026/9/2「ACDR2026打合せ」(9/4 15-16時所内打合せ)</t>
        </is>
      </c>
      <c r="C4" s="240" t="inlineStr">
        <is>
          <t>児玉9/3『役割分担等再確認』の指示</t>
        </is>
      </c>
    </row>
    <row r="5" ht="31.5" customHeight="1" s="123">
      <c r="A5" s="241" t="inlineStr">
        <is>
          <t>2</t>
        </is>
      </c>
      <c r="B5" s="241" t="inlineStr">
        <is>
          <t>Gmail: 荒木田→塩見 2026/9/4「日程について」返信</t>
        </is>
      </c>
      <c r="C5" s="240" t="inlineStr">
        <is>
          <t>塩見への現地参加打診（未回答）</t>
        </is>
      </c>
    </row>
    <row r="6" ht="31.5" customHeight="1" s="123">
      <c r="A6" s="241" t="inlineStr">
        <is>
          <t>3</t>
        </is>
      </c>
      <c r="B6" s="241" t="inlineStr">
        <is>
          <t>Gmail: 荒木田→藤本 2026/8/6「ACDR2026に行きませんか」／藤本 8/7返信</t>
        </is>
      </c>
      <c r="C6" s="240" t="inlineStr">
        <is>
          <t>追加要員1-2名の必要性、藤本の参加可否</t>
        </is>
      </c>
    </row>
    <row r="7" ht="31.5" customHeight="1" s="123">
      <c r="A7" s="241" t="inlineStr">
        <is>
          <t>4</t>
        </is>
      </c>
      <c r="B7" s="241" t="inlineStr">
        <is>
          <t>Gmail添付: ACDR2026_Demarcation_asof0805.pptx（荒木田→藤本 8/6）</t>
        </is>
      </c>
      <c r="C7" s="240" t="inlineStr">
        <is>
          <t>役割分担（8/6版）</t>
        </is>
      </c>
    </row>
    <row r="8" ht="31.5" customHeight="1" s="123">
      <c r="A8" s="241" t="inlineStr">
        <is>
          <t>5</t>
        </is>
      </c>
      <c r="B8" s="241" t="inlineStr">
        <is>
          <t>Gmail添付: ホテル部屋数検討用リスト _tt.xlsx（田中→藤中・荒木田・児玉 8/28）</t>
        </is>
      </c>
      <c r="C8" s="240" t="inlineStr">
        <is>
          <t>スタッフ・参加者の到着/出発・宿泊</t>
        </is>
      </c>
    </row>
    <row r="9" ht="31.5" customHeight="1" s="123">
      <c r="A9" s="241" t="inlineStr">
        <is>
          <t>6</t>
        </is>
      </c>
      <c r="B9" s="241" t="inlineStr">
        <is>
          <t>Gmail: 事務局→Sylvia(COSEM) 8/28「Hotel Guest Rooms as of 28 August」／藤中 9/1返信</t>
        </is>
      </c>
      <c r="C9" s="241" t="inlineStr">
        <is>
          <t>Dorsett 180 room nights</t>
        </is>
      </c>
    </row>
    <row r="10" ht="31.5" customHeight="1" s="123">
      <c r="A10" s="241" t="inlineStr">
        <is>
          <t>7</t>
        </is>
      </c>
      <c r="B10" s="241" t="inlineStr">
        <is>
          <t>Gmail添付: ACDR2026予算.xlsx（藤中→荒木田・児玉 8/21）</t>
        </is>
      </c>
      <c r="C10" s="240" t="inlineStr">
        <is>
          <t>スタッフ14名リスト、旅費・宿泊予算、超過見込み</t>
        </is>
      </c>
    </row>
    <row r="11" ht="31.5" customHeight="1" s="123">
      <c r="A11" s="241" t="inlineStr">
        <is>
          <t>8</t>
        </is>
      </c>
      <c r="B11" s="241" t="inlineStr">
        <is>
          <t>Gmail添付: ACDR2026_Draft_Agenda_EN_0826.pdf（8/26版・最新）／ACDR2026_Draft_Agenda_EN_0805r.docx（児玉 8/5、29 May版）／Flyer 8/26版（Field Trip 13:00）</t>
        </is>
      </c>
      <c r="C11" s="240" t="inlineStr">
        <is>
          <t>会期プログラム（本表は8/26版に準拠）</t>
        </is>
      </c>
    </row>
    <row r="12" ht="31.5" customHeight="1" s="123">
      <c r="A12" s="241" t="inlineStr">
        <is>
          <t>9</t>
        </is>
      </c>
      <c r="B12" s="241" t="inlineStr">
        <is>
          <t>Gmail: 藤中 7/15「三浦センター長のフライト」／7/29-31「シンガポール行きのフライト【ACDR2026】」(北本)／7/10「田中・藤中のフライト」／7/21「スイス発着のフライト」(吉田)→9/6 吉田メールでAY便に変更／7/29「Flight to Singapore for ACDR2026」(池田・Gerry)／7/31「池田さん、Gerryさんのふらいとについて」</t>
        </is>
      </c>
      <c r="C12" s="240" t="inlineStr">
        <is>
          <t>各人のフライト</t>
        </is>
      </c>
    </row>
    <row r="13" ht="31.5" customHeight="1" s="123">
      <c r="A13" s="241" t="inlineStr">
        <is>
          <t>10</t>
        </is>
      </c>
      <c r="B13" s="241" t="inlineStr">
        <is>
          <t>Gmail: 児玉→宮木・荒木田 8/28「SIDEX-ACDR2026: 日本（内閣府）からの出席者決定」</t>
        </is>
      </c>
      <c r="C13" s="240" t="inlineStr">
        <is>
          <t>林正道氏出席、英語サポート要</t>
        </is>
      </c>
    </row>
    <row r="14" ht="31.5" customHeight="1" s="123">
      <c r="A14" s="241" t="inlineStr">
        <is>
          <t>11</t>
        </is>
      </c>
      <c r="B14" s="241" t="inlineStr">
        <is>
          <t>Gmail: 児玉→荒木田・池田・Mizan 8/28／Mizan 8/31／荒木田 8/31「テクニカルセッション準備状況」／Mizan 9/7（Emma Hill教授の不参加確定・BRINへ切替）／池田 9/7（JAXAは川北氏または上田氏、自己予算で参加可）</t>
        </is>
      </c>
      <c r="C14" s="241" t="inlineStr">
        <is>
          <t>Co-Chair人選、登壇者状況、期限設定</t>
        </is>
      </c>
    </row>
    <row r="15" ht="31.5" customHeight="1" s="123">
      <c r="A15" s="241" t="inlineStr">
        <is>
          <t>12</t>
        </is>
      </c>
      <c r="B15" s="241" t="inlineStr">
        <is>
          <t>Googleドライブ: ACDR2026シンガポール事前協議チェックリスト回答状況（5/18）／SIDEX-ACDR 2026 開催準備月次ToDoリスト_V1（5/19）／ACDR 2026 Mission to Singapore Checklist</t>
        </is>
      </c>
      <c r="C15" s="240" t="inlineStr">
        <is>
          <t>レセプション運営（16:00設営・受付ADRC）、未対応事項　※開始時刻は8/26版アジェンダの19:00-21:00に更新</t>
        </is>
      </c>
    </row>
    <row r="16" ht="31.5" customHeight="1" s="123">
      <c r="A16" s="241" t="inlineStr">
        <is>
          <t>13</t>
        </is>
      </c>
      <c r="B16" s="241" t="inlineStr">
        <is>
          <t>Googleドライブ: 動態表 ACDR2023 as of 17 Oct.xlsx</t>
        </is>
      </c>
      <c r="C16" s="240" t="inlineStr">
        <is>
          <t>書式（日別AM/PM＋時間帯別）と2023年の人員配置の比較基準</t>
        </is>
      </c>
    </row>
    <row r="17" ht="31.5" customHeight="1" s="123">
      <c r="A17" s="241" t="inlineStr">
        <is>
          <t>14</t>
        </is>
      </c>
      <c r="B17" s="241" t="inlineStr">
        <is>
          <t>Googleドライブ: ACDR2026_General Information (UNDRR).pdf　※あわせて [ACDR2026] Technical Session Concept Note（8/7）を参照。同ノートは 09:30-11:00・パネリスト5名のままで、8/26版アジェンダ（09:30-11:30・登壇者6名）と不整合。改訂版を別途作成。</t>
        </is>
      </c>
      <c r="C17" s="240" t="inlineStr">
        <is>
          <t>日程・会場・AI翻訳ツール試行・登録期限9/20</t>
        </is>
      </c>
    </row>
    <row r="18" ht="31.5" customHeight="1" s="123">
      <c r="A18" s="241" t="inlineStr">
        <is>
          <t>15</t>
        </is>
      </c>
      <c r="B18" s="240" t="inlineStr">
        <is>
          <t>アップロード: ACDR2025動態表 as of 11/26（16-19 DEC 2025, 三田）</t>
        </is>
      </c>
      <c r="C18" s="240" t="inlineStr">
        <is>
          <t>日本側サポート体制の前例（中村: Webinar/Zoom設定・Q&amp;A確認、寺坂: 録画日英、伊達: Webinarホスト確認、山口: 現地Photo/CAM）</t>
        </is>
      </c>
    </row>
    <row r="19" ht="31.5" customHeight="1" s="123">
      <c r="A19" s="241" t="inlineStr">
        <is>
          <t>16</t>
        </is>
      </c>
      <c r="B19" s="240" t="inlineStr">
        <is>
          <t>荒木田 2026/9/4 指示（本セッション）</t>
        </is>
      </c>
      <c r="C19" s="240" t="inlineStr">
        <is>
          <t>中村＝日本でAI通訳設定等を担当、山口＝日本側サポート（録画・オンライン質疑）</t>
        </is>
      </c>
    </row>
    <row r="20" ht="31.5" customHeight="1" s="123">
      <c r="A20" s="241" t="inlineStr">
        <is>
          <t>17</t>
        </is>
      </c>
      <c r="B20" s="240" t="inlineStr">
        <is>
          <t>児玉 2026/9/4 修正版（動態表 v1_2）</t>
        </is>
      </c>
      <c r="C20" s="240" t="inlineStr">
        <is>
          <t>宮木・児玉のフライト（10/25 NH2178/NH803、10/31 NH802）、池田・Gerryの便名（SQ619/SQ622）、Gerry＝研究部次長</t>
        </is>
      </c>
    </row>
    <row r="21" ht="31.5" customHeight="1" s="123">
      <c r="A21" s="241" t="inlineStr">
        <is>
          <t>18</t>
        </is>
      </c>
      <c r="B21" s="240" t="inlineStr">
        <is>
          <t>Plaud 文字起こし・要約: 「09-04 ACDR開催に向けた準備状況とタスク確認会議」（2026/9/4 15:00-16:00 JST、59分）</t>
        </is>
      </c>
      <c r="C21" s="240" t="inlineStr">
        <is>
          <t>森口=SC担当で現地、藤本=撮影、宮木・児玉の位置づけ、27日午前の会場下見、29-30日の誘導、エリック長官夕食会、登録状況、今後のスケジュール　※森口は9/24に現地不参加へ変更（荒木田）</t>
        </is>
      </c>
    </row>
    <row r="22" ht="31.5" customHeight="1" s="123">
      <c r="A22" s="241" t="inlineStr">
        <is>
          <t>19</t>
        </is>
      </c>
      <c r="B22" s="240" t="inlineStr">
        <is>
          <t>荒木田 2026/9/4 指示（本セッション）＋Googleドライブ「ACDR2026シンガポール事前協議チェックリスト回答状況」（5/18）</t>
        </is>
      </c>
      <c r="C22" s="240" t="inlineStr">
        <is>
          <t>藤本・塩見の本人承諾。ドレスコードと役割分担をCOSEM協議事項として整理（5月チェックリストの未対応項目を再掲）</t>
        </is>
      </c>
    </row>
    <row r="23" ht="31.5" customHeight="1" s="123">
      <c r="A23" s="241" t="inlineStr">
        <is>
          <t>20</t>
        </is>
      </c>
      <c r="B23" s="240" t="inlineStr">
        <is>
          <t>Gmail: Sylvia 9/22「[ACDR 2026] Venue Layouts」返信／荒木田 9/24 同スレッド返信（U28提案・機材リスト）</t>
        </is>
      </c>
      <c r="C23" s="240" t="inlineStr">
        <is>
          <t>会場確定（Peridot 201-203）、投影・通信・AVの回答、座席・機材の提案</t>
        </is>
      </c>
    </row>
    <row r="24" ht="31.5" customHeight="1" s="123">
      <c r="A24" s="241" t="inlineStr">
        <is>
          <t>21</t>
        </is>
      </c>
      <c r="B24" s="240" t="inlineStr">
        <is>
          <t>Gmail: 池田 9/24「Invitation Letter とコンセプトノートの更新案」返信／荒木田 9/24 返信</t>
        </is>
      </c>
      <c r="C24" s="184" t="n"/>
    </row>
    <row r="25" ht="31.5" customHeight="1" s="123">
      <c r="A25" s="241" t="inlineStr">
        <is>
          <t>22</t>
        </is>
      </c>
      <c r="B25" s="240" t="inlineStr">
        <is>
          <t>Gmail: 田中 9/17-18「ビザ書類のお知らせメール」／ICA公式サイト（ビザ要国リスト）</t>
        </is>
      </c>
      <c r="C25" s="184" t="n"/>
    </row>
    <row r="26" ht="31.5" customHeight="1" s="123">
      <c r="A26" s="241" t="inlineStr">
        <is>
          <t>23</t>
        </is>
      </c>
      <c r="B26" s="240" t="inlineStr">
        <is>
          <t>Gmail: 藤本 9/24 登録通知（ブルネイ、韓国×3、COSEM、一般）／児玉 9/24（西川専門員のリソース登録）／藤中・吉田 9/22（タイ）</t>
        </is>
      </c>
      <c r="C26" s="184" t="n"/>
    </row>
    <row r="27" ht="31.5" customHeight="1" s="123">
      <c r="A27" s="241" t="inlineStr">
        <is>
          <t>24</t>
        </is>
      </c>
      <c r="B27" s="240" t="inlineStr">
        <is>
          <t>WhatsApp Coordination Team 9/17-9/24（Sylvia・荒木田）：モデレーター氏名、フィールドトリップ13:00版、バナー（物理・デザイン案・修正依頼）、名札・マイクの範囲、Day 1前倒し、タジキスタン・ウズベキスタンへの再リマインド</t>
        </is>
      </c>
      <c r="C27" s="184" t="n"/>
    </row>
    <row r="28" ht="31.5" customHeight="1" s="123">
      <c r="A28" s="241" t="inlineStr">
        <is>
          <t>25</t>
        </is>
      </c>
      <c r="B28" s="240" t="inlineStr">
        <is>
          <t>Plaud: 9/18 研究部週次会議／Gmail: 児玉 9/19-24「SC用ADRC活動報告案」スレッド</t>
        </is>
      </c>
      <c r="C28" s="184" t="n"/>
    </row>
    <row r="29" ht="30" customHeight="1" s="123">
      <c r="A29" s="241" t="inlineStr">
        <is>
          <t>26</t>
        </is>
      </c>
      <c r="B29" s="240" t="inlineStr">
        <is>
          <t>Gmail: 塩見 9/9「ACDRフライトについて」（TG623/409・TG410/622、藤本→ケイライン発注）／藤本・塩見 9/4「シンガポール航空券について」／藤本 WhatsApp 9/24: スクートTR819（10/26 関西11:30→SIN17:30）・TR818（11/1 SIN03:05→関西10:15）を選択、藤中・田中と同便</t>
        </is>
      </c>
      <c r="C29" s="184" t="n"/>
    </row>
    <row r="30">
      <c r="B30" s="134" t="inlineStr">
        <is>
          <t>前提・限界</t>
        </is>
      </c>
    </row>
    <row r="31">
      <c r="B31" s="245" t="inlineStr">
        <is>
          <t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      </is>
      </c>
    </row>
    <row r="32">
      <c r="B32" s="245" t="inlineStr">
        <is>
          <t>・宮木・児玉の航空券は個人メールに記録がなく（管理部手配の可能性）、到着日は8/28リストの記載（10/27）をそのまま載せた。</t>
        </is>
      </c>
    </row>
    <row r="33">
      <c r="B33" s="245" t="inlineStr">
        <is>
          <t>・藤本・塩見は本人承諾済み。塩見はTG便（9/9発注依頼）、藤本はスクート便（9/24選択）で手配中。Eチケットはいずれもメール上で未確認。</t>
        </is>
      </c>
    </row>
    <row r="34">
      <c r="B34" s="245" t="inlineStr">
        <is>
          <t>・藤本・塩見は本人承諾済み。塩見のフライトはTG便で発注依頼済み（9/9）、藤本の便名はメール上で未確認（9/24）。</t>
        </is>
      </c>
    </row>
    <row r="35">
      <c r="B35" s="245" t="inlineStr">
        <is>
          <t>・稼働人数の自動計算は、結合セルの先頭列のみを数える簡易指標。</t>
        </is>
      </c>
    </row>
    <row r="36">
      <c r="B36" s="245" t="inlineStr">
        <is>
          <t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
・Guest Eligibility Matrix（7/3）の Resource 1 は「Speakers, a total of 5 pax」。テクニカルセッションの登壇者は6名の想定であり、リソース枠の人数と一致しない。</t>
        </is>
      </c>
    </row>
  </sheetData>
  <mergeCells count="6">
    <mergeCell ref="B24:C24"/>
    <mergeCell ref="B29:C29"/>
    <mergeCell ref="B25:C25"/>
    <mergeCell ref="B28:C28"/>
    <mergeCell ref="B26:C26"/>
    <mergeCell ref="B27:C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2026-09-24T22:13:30Z</dcterms:modified>
  <cp:lastModifiedBy>ARAKIDA 荒木田</cp:lastModifiedBy>
  <cp:revision>0</cp:revision>
</cp:coreProperties>
</file>