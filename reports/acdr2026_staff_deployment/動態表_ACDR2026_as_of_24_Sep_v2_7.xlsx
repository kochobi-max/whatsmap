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人員一覧・判定" sheetId="1" state="visible" r:id="rId1"/>
    <sheet xmlns:r="http://schemas.openxmlformats.org/officeDocument/2006/relationships" name="動態表(日別)" sheetId="2" state="visible" r:id="rId2"/>
    <sheet xmlns:r="http://schemas.openxmlformats.org/officeDocument/2006/relationships" name="27Oct(Day0)" sheetId="3" state="visible" r:id="rId3"/>
    <sheet xmlns:r="http://schemas.openxmlformats.org/officeDocument/2006/relationships" name="28Oct(Day1)" sheetId="4" state="visible" r:id="rId4"/>
    <sheet xmlns:r="http://schemas.openxmlformats.org/officeDocument/2006/relationships" name="29Oct(Day2)" sheetId="5" state="visible" r:id="rId5"/>
    <sheet xmlns:r="http://schemas.openxmlformats.org/officeDocument/2006/relationships" name="30Oct(Day3)" sheetId="6" state="visible" r:id="rId6"/>
    <sheet xmlns:r="http://schemas.openxmlformats.org/officeDocument/2006/relationships" name="人員ギャップ分析" sheetId="7" state="visible" r:id="rId7"/>
    <sheet xmlns:r="http://schemas.openxmlformats.org/officeDocument/2006/relationships" name="COSEM協議事項" sheetId="8" state="visible" r:id="rId8"/>
    <sheet xmlns:r="http://schemas.openxmlformats.org/officeDocument/2006/relationships" name="参加者到着・出発(9月24日更新)" sheetId="9" state="visible" r:id="rId9"/>
    <sheet xmlns:r="http://schemas.openxmlformats.org/officeDocument/2006/relationships" name="出典・前提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1F4E78"/>
      <sz val="14"/>
    </font>
    <font>
      <name val="WenQuanYi Zen Hei"/>
      <family val="2"/>
      <b val="1"/>
      <color rgb="FF1F4E78"/>
      <sz val="14"/>
    </font>
    <font>
      <name val="WenQuanYi Zen Hei"/>
      <charset val="1"/>
      <family val="2"/>
      <i val="1"/>
      <color rgb="FF555555"/>
      <sz val="9"/>
    </font>
    <font>
      <name val="Arial"/>
      <charset val="1"/>
      <family val="2"/>
      <b val="1"/>
      <color rgb="FFFFFFFF"/>
      <sz val="10"/>
    </font>
    <font>
      <name val="WenQuanYi Zen Hei"/>
      <charset val="1"/>
      <family val="2"/>
      <b val="1"/>
      <color rgb="FFFFFFFF"/>
      <sz val="10"/>
    </font>
    <font>
      <name val="Arial"/>
      <charset val="1"/>
      <family val="2"/>
      <color rgb="FF000000"/>
      <sz val="10"/>
    </font>
    <font>
      <name val="WenQuanYi Zen Hei"/>
      <charset val="1"/>
      <family val="2"/>
      <color rgb="FF000000"/>
      <sz val="10"/>
    </font>
    <font>
      <name val="WenQuanYi Zen Hei"/>
      <family val="2"/>
      <color rgb="FF000000"/>
      <sz val="10"/>
    </font>
    <font>
      <name val="WenQuanYi Zen Hei"/>
      <charset val="128"/>
      <family val="3"/>
      <color rgb="FF000000"/>
      <sz val="10"/>
    </font>
    <font>
      <name val="WenQuanYi Zen Hei"/>
      <charset val="1"/>
      <family val="2"/>
      <b val="1"/>
      <color rgb="FF000000"/>
      <sz val="10"/>
    </font>
    <font>
      <name val="WenQuanYi Zen Hei"/>
      <charset val="1"/>
      <family val="2"/>
      <color theme="1"/>
      <sz val="11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color rgb="FF555555"/>
      <sz val="9"/>
    </font>
    <font>
      <name val="WenQuanYi Zen Hei"/>
      <family val="2"/>
      <i val="1"/>
      <color rgb="FF555555"/>
      <sz val="9"/>
    </font>
    <font>
      <name val="WenQuanYi Zen Hei"/>
      <charset val="1"/>
      <family val="2"/>
      <color rgb="FF000000"/>
      <sz val="9"/>
    </font>
    <font>
      <name val="Arial"/>
      <charset val="1"/>
      <family val="2"/>
      <b val="1"/>
      <color rgb="FF1F4E78"/>
      <sz val="12"/>
    </font>
    <font>
      <name val="WenQuanYi Zen Hei"/>
      <family val="2"/>
      <b val="1"/>
      <color rgb="FF1F4E78"/>
      <sz val="12"/>
    </font>
    <font>
      <name val="ＭＳ Ｐゴシック"/>
      <charset val="128"/>
      <family val="2"/>
      <color theme="1"/>
      <sz val="11"/>
    </font>
    <font>
      <name val="WenQuanYi Zen Hei"/>
      <family val="2"/>
      <color theme="1"/>
      <sz val="11"/>
    </font>
    <font>
      <name val="Arial"/>
      <charset val="1"/>
      <family val="2"/>
      <b val="1"/>
      <color rgb="FF000000"/>
      <sz val="10"/>
    </font>
    <font>
      <name val="WenQuanYi Zen Hei"/>
      <family val="2"/>
      <b val="1"/>
      <color rgb="FF000000"/>
      <sz val="10"/>
    </font>
    <font>
      <name val="Arial"/>
      <charset val="1"/>
      <family val="2"/>
      <color rgb="FF000000"/>
      <sz val="8"/>
    </font>
    <font>
      <name val="WenQuanYi Zen Hei"/>
      <charset val="1"/>
      <family val="2"/>
      <color rgb="FF000000"/>
      <sz val="8"/>
    </font>
    <font>
      <name val="WenQuanYi Zen Hei"/>
      <family val="2"/>
      <color rgb="FF000000"/>
      <sz val="8"/>
    </font>
    <font>
      <name val="Arial"/>
      <charset val="1"/>
      <family val="2"/>
      <b val="1"/>
      <color rgb="FFC00000"/>
      <sz val="10"/>
    </font>
    <font>
      <name val="Arial"/>
      <charset val="1"/>
      <family val="2"/>
      <b val="1"/>
      <color rgb="FF000000"/>
      <sz val="8"/>
    </font>
    <font>
      <name val="WenQuanYi Zen Hei"/>
      <charset val="1"/>
      <family val="2"/>
      <b val="1"/>
      <color rgb="FF000000"/>
      <sz val="9"/>
    </font>
    <font>
      <name val="WenQuanYi Zen Hei"/>
      <charset val="1"/>
      <family val="2"/>
      <sz val="8"/>
    </font>
    <font>
      <name val="Arial"/>
      <charset val="1"/>
      <family val="0"/>
      <sz val="8"/>
    </font>
    <font>
      <name val="WenQuanYi Zen Hei"/>
      <family val="2"/>
      <sz val="8"/>
    </font>
    <font>
      <name val="WenQuanYi Zen Hei"/>
      <charset val="1"/>
      <family val="2"/>
      <i val="1"/>
      <color rgb="FF555555"/>
      <sz val="8"/>
    </font>
    <font>
      <name val="WenQuanYi Zen Hei"/>
      <charset val="1"/>
      <family val="2"/>
      <color rgb="FFC00000"/>
      <sz val="9"/>
    </font>
    <font>
      <name val="WenQuanYi Zen Hei"/>
      <charset val="1"/>
      <family val="2"/>
      <b val="1"/>
      <color rgb="FFFFFFFF"/>
      <sz val="9"/>
    </font>
    <font>
      <name val="Arial"/>
      <charset val="1"/>
      <family val="2"/>
      <sz val="8"/>
    </font>
    <font>
      <name val="WenQuanYi Zen Hei"/>
      <charset val="128"/>
      <family val="3"/>
      <color rgb="FF000000"/>
      <sz val="8"/>
    </font>
    <font>
      <name val="WenQuanYi Zen Hei"/>
      <charset val="1"/>
      <family val="2"/>
      <b val="1"/>
      <color rgb="FF1F4E78"/>
      <sz val="12"/>
    </font>
    <font>
      <name val="WenQuanYi Zen Hei"/>
      <charset val="1"/>
      <family val="2"/>
      <b val="1"/>
      <color rgb="FF1F4E78"/>
      <sz val="11"/>
    </font>
    <font>
      <name val="WenQuanYi Zen Hei"/>
      <charset val="1"/>
      <family val="2"/>
      <sz val="10"/>
    </font>
    <font>
      <name val="Arial"/>
      <charset val="1"/>
      <family val="0"/>
      <b val="1"/>
      <color rgb="FF1F4E78"/>
      <sz val="13"/>
    </font>
    <font>
      <name val="WenQuanYi Zen Hei"/>
      <family val="2"/>
      <b val="1"/>
      <color rgb="FF1F4E78"/>
      <sz val="13"/>
    </font>
    <font>
      <name val="Arial"/>
      <charset val="1"/>
      <family val="0"/>
      <b val="1"/>
      <color rgb="FFFFFFFF"/>
      <sz val="10"/>
    </font>
    <font>
      <name val="WenQuanYi Zen Hei"/>
      <family val="2"/>
      <b val="1"/>
      <color rgb="FFFFFFFF"/>
      <sz val="10"/>
    </font>
    <font>
      <name val="Arial"/>
      <charset val="1"/>
      <family val="0"/>
      <sz val="9"/>
    </font>
    <font>
      <name val="WenQuanYi Zen Hei"/>
      <charset val="1"/>
      <family val="2"/>
      <sz val="9"/>
    </font>
    <font>
      <name val="WenQuanYi Zen Hei"/>
      <family val="2"/>
      <sz val="9"/>
    </font>
    <font>
      <name val="WenQuanYi Zen Hei"/>
      <charset val="1"/>
      <family val="2"/>
      <b val="1"/>
      <sz val="10"/>
    </font>
    <font>
      <name val="Arial"/>
      <charset val="1"/>
      <family val="0"/>
      <b val="1"/>
      <sz val="9"/>
    </font>
    <font>
      <name val="Arial"/>
      <charset val="1"/>
      <family val="2"/>
      <color rgb="FFC00000"/>
      <sz val="9"/>
    </font>
    <font>
      <name val="WenQuanYi Zen Hei"/>
      <family val="2"/>
      <color rgb="FFC00000"/>
      <sz val="9"/>
    </font>
  </fonts>
  <fills count="1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8CBAD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EB9C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C6EFCE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C7CE"/>
      </patternFill>
    </fill>
    <fill>
      <patternFill patternType="solid">
        <fgColor rgb="FFB4C6E7"/>
        <bgColor rgb="FFBDD7EE"/>
      </patternFill>
    </fill>
    <fill>
      <patternFill patternType="solid">
        <fgColor rgb="FFE2EFDA"/>
        <bgColor rgb="FFDDEBF7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9" fillId="7" borderId="0" applyAlignment="1" pivotButton="0" quotePrefix="0" xfId="0">
      <alignment horizontal="general" vertical="bottom"/>
    </xf>
    <xf numFmtId="0" fontId="21" fillId="8" borderId="0" applyAlignment="1" pivotButton="0" quotePrefix="0" xfId="0">
      <alignment horizontal="general" vertical="bottom"/>
    </xf>
    <xf numFmtId="0" fontId="23" fillId="7" borderId="0" applyAlignment="1" pivotButton="0" quotePrefix="0" xfId="0">
      <alignment horizontal="general" vertical="bottom"/>
    </xf>
    <xf numFmtId="0" fontId="23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5" fillId="7" borderId="0" applyAlignment="1" pivotButton="0" quotePrefix="0" xfId="0">
      <alignment horizontal="general" vertical="top" wrapText="1"/>
    </xf>
    <xf numFmtId="0" fontId="26" fillId="10" borderId="0" applyAlignment="1" pivotButton="0" quotePrefix="0" xfId="0">
      <alignment horizontal="general" vertical="top" wrapText="1"/>
    </xf>
    <xf numFmtId="0" fontId="25" fillId="10" borderId="0" applyAlignment="1" pivotButton="0" quotePrefix="0" xfId="0">
      <alignment horizontal="general" vertical="top" wrapText="1"/>
    </xf>
    <xf numFmtId="0" fontId="13" fillId="8" borderId="1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top" wrapText="1"/>
    </xf>
    <xf numFmtId="0" fontId="25" fillId="11" borderId="1" applyAlignment="1" pivotButton="0" quotePrefix="0" xfId="0">
      <alignment horizontal="general" vertical="top" wrapText="1"/>
    </xf>
    <xf numFmtId="0" fontId="25" fillId="12" borderId="1" applyAlignment="1" pivotButton="0" quotePrefix="0" xfId="0">
      <alignment horizontal="general" vertical="top" wrapText="1"/>
    </xf>
    <xf numFmtId="0" fontId="26" fillId="12" borderId="1" applyAlignment="1" pivotButton="0" quotePrefix="0" xfId="0">
      <alignment horizontal="general" vertical="top" wrapText="1"/>
    </xf>
    <xf numFmtId="0" fontId="26" fillId="10" borderId="1" applyAlignment="1" pivotButton="0" quotePrefix="0" xfId="0">
      <alignment horizontal="general" vertical="top" wrapText="1"/>
    </xf>
    <xf numFmtId="0" fontId="25" fillId="13" borderId="1" applyAlignment="1" pivotButton="0" quotePrefix="0" xfId="0">
      <alignment horizontal="general" vertical="top" wrapText="1"/>
    </xf>
    <xf numFmtId="0" fontId="25" fillId="10" borderId="1" applyAlignment="1" pivotButton="0" quotePrefix="0" xfId="0">
      <alignment horizontal="general" vertical="top" wrapText="1"/>
    </xf>
    <xf numFmtId="0" fontId="26" fillId="14" borderId="1" applyAlignment="1" pivotButton="0" quotePrefix="0" xfId="0">
      <alignment horizontal="general" vertical="top" wrapText="1"/>
    </xf>
    <xf numFmtId="0" fontId="26" fillId="13" borderId="1" applyAlignment="1" pivotButton="0" quotePrefix="0" xfId="0">
      <alignment horizontal="general" vertical="top" wrapText="1"/>
    </xf>
    <xf numFmtId="0" fontId="25" fillId="15" borderId="1" applyAlignment="1" pivotButton="0" quotePrefix="0" xfId="0">
      <alignment horizontal="general" vertical="top" wrapText="1"/>
    </xf>
    <xf numFmtId="0" fontId="26" fillId="11" borderId="1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general" vertical="bottom" wrapText="1"/>
    </xf>
    <xf numFmtId="0" fontId="26" fillId="15" borderId="1" applyAlignment="1" pivotButton="0" quotePrefix="0" xfId="0">
      <alignment horizontal="general" vertical="top" wrapText="1"/>
    </xf>
    <xf numFmtId="0" fontId="25" fillId="4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general" vertical="bottom" wrapText="1"/>
    </xf>
    <xf numFmtId="0" fontId="26" fillId="4" borderId="1" applyAlignment="1" pivotButton="0" quotePrefix="0" xfId="0">
      <alignment horizontal="general" vertical="top" wrapText="1"/>
    </xf>
    <xf numFmtId="0" fontId="27" fillId="15" borderId="1" applyAlignment="1" pivotButton="0" quotePrefix="0" xfId="0">
      <alignment horizontal="general" vertical="top" wrapText="1"/>
    </xf>
    <xf numFmtId="0" fontId="13" fillId="7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 wrapText="1"/>
    </xf>
    <xf numFmtId="0" fontId="25" fillId="16" borderId="1" applyAlignment="1" pivotButton="0" quotePrefix="0" xfId="0">
      <alignment horizontal="general" vertical="top" wrapText="1"/>
    </xf>
    <xf numFmtId="0" fontId="26" fillId="16" borderId="1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left" vertical="bottom"/>
    </xf>
    <xf numFmtId="0" fontId="23" fillId="0" borderId="0" applyAlignment="1" pivotButton="0" quotePrefix="0" xfId="0">
      <alignment horizontal="general" vertical="bottom"/>
    </xf>
    <xf numFmtId="0" fontId="26" fillId="10" borderId="1" applyAlignment="1" pivotButton="0" quotePrefix="0" xfId="0">
      <alignment horizontal="general" vertical="center"/>
    </xf>
    <xf numFmtId="0" fontId="26" fillId="10" borderId="0" applyAlignment="1" pivotButton="0" quotePrefix="0" xfId="0">
      <alignment horizontal="general" vertical="center"/>
    </xf>
    <xf numFmtId="0" fontId="26" fillId="14" borderId="1" applyAlignment="1" pivotButton="0" quotePrefix="0" xfId="0">
      <alignment horizontal="general" vertical="center"/>
    </xf>
    <xf numFmtId="0" fontId="26" fillId="12" borderId="1" applyAlignment="1" pivotButton="0" quotePrefix="0" xfId="0">
      <alignment horizontal="general" vertical="center"/>
    </xf>
    <xf numFmtId="0" fontId="26" fillId="16" borderId="1" applyAlignment="1" pivotButton="0" quotePrefix="0" xfId="0">
      <alignment horizontal="general" vertical="center"/>
    </xf>
    <xf numFmtId="0" fontId="25" fillId="16" borderId="1" applyAlignment="1" pivotButton="0" quotePrefix="0" xfId="0">
      <alignment horizontal="general" vertical="center"/>
    </xf>
    <xf numFmtId="0" fontId="26" fillId="15" borderId="1" applyAlignment="1" pivotButton="0" quotePrefix="0" xfId="0">
      <alignment horizontal="general" vertical="center"/>
    </xf>
    <xf numFmtId="0" fontId="25" fillId="15" borderId="1" applyAlignment="1" pivotButton="0" quotePrefix="0" xfId="0">
      <alignment horizontal="general" vertical="center"/>
    </xf>
    <xf numFmtId="0" fontId="30" fillId="7" borderId="1" applyAlignment="1" pivotButton="0" quotePrefix="0" xfId="0">
      <alignment horizontal="general" vertical="bottom" wrapText="1"/>
    </xf>
    <xf numFmtId="0" fontId="31" fillId="16" borderId="1" applyAlignment="1" pivotButton="0" quotePrefix="0" xfId="0">
      <alignment horizontal="general" vertical="center"/>
    </xf>
    <xf numFmtId="0" fontId="31" fillId="12" borderId="1" applyAlignment="1" pivotButton="0" quotePrefix="0" xfId="0">
      <alignment horizontal="general" vertical="center"/>
    </xf>
    <xf numFmtId="0" fontId="32" fillId="12" borderId="1" applyAlignment="1" pivotButton="0" quotePrefix="0" xfId="0">
      <alignment horizontal="general" vertical="center"/>
    </xf>
    <xf numFmtId="0" fontId="31" fillId="10" borderId="1" applyAlignment="1" pivotButton="0" quotePrefix="0" xfId="0">
      <alignment horizontal="general" vertical="center"/>
    </xf>
    <xf numFmtId="0" fontId="29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top" wrapText="1"/>
    </xf>
    <xf numFmtId="0" fontId="36" fillId="2" borderId="0" applyAlignment="1" pivotButton="0" quotePrefix="0" xfId="0">
      <alignment horizontal="general" vertical="bottom"/>
    </xf>
    <xf numFmtId="0" fontId="37" fillId="16" borderId="1" applyAlignment="1" pivotButton="0" quotePrefix="0" xfId="0">
      <alignment horizontal="general" vertical="center"/>
    </xf>
    <xf numFmtId="0" fontId="31" fillId="4" borderId="1" applyAlignment="1" pivotButton="0" quotePrefix="0" xfId="0">
      <alignment horizontal="general" vertical="center"/>
    </xf>
    <xf numFmtId="0" fontId="37" fillId="4" borderId="1" applyAlignment="1" pivotButton="0" quotePrefix="0" xfId="0">
      <alignment horizontal="general" vertical="center"/>
    </xf>
    <xf numFmtId="0" fontId="25" fillId="10" borderId="1" applyAlignment="1" pivotButton="0" quotePrefix="0" xfId="0">
      <alignment horizontal="general" vertical="center"/>
    </xf>
    <xf numFmtId="0" fontId="25" fillId="10" borderId="0" applyAlignment="1" pivotButton="0" quotePrefix="0" xfId="0">
      <alignment horizontal="general" vertical="center"/>
    </xf>
    <xf numFmtId="0" fontId="25" fillId="14" borderId="1" applyAlignment="1" pivotButton="0" quotePrefix="0" xfId="0">
      <alignment horizontal="general" vertical="center"/>
    </xf>
    <xf numFmtId="0" fontId="25" fillId="13" borderId="1" applyAlignment="1" pivotButton="0" quotePrefix="0" xfId="0">
      <alignment horizontal="general" vertical="center"/>
    </xf>
    <xf numFmtId="0" fontId="25" fillId="12" borderId="1" applyAlignment="1" pivotButton="0" quotePrefix="0" xfId="0">
      <alignment horizontal="general" vertical="center"/>
    </xf>
    <xf numFmtId="0" fontId="38" fillId="15" borderId="1" applyAlignment="1" pivotButton="0" quotePrefix="0" xfId="0">
      <alignment horizontal="general" vertical="center"/>
    </xf>
    <xf numFmtId="0" fontId="32" fillId="13" borderId="1" applyAlignment="1" pivotButton="0" quotePrefix="0" xfId="0">
      <alignment horizontal="general" vertical="center"/>
    </xf>
    <xf numFmtId="0" fontId="32" fillId="10" borderId="1" applyAlignment="1" pivotButton="0" quotePrefix="0" xfId="0">
      <alignment horizontal="general" vertical="center"/>
    </xf>
    <xf numFmtId="0" fontId="26" fillId="13" borderId="1" applyAlignment="1" pivotButton="0" quotePrefix="0" xfId="0">
      <alignment horizontal="general" vertical="center"/>
    </xf>
    <xf numFmtId="0" fontId="25" fillId="17" borderId="1" applyAlignment="1" pivotButton="0" quotePrefix="0" xfId="0">
      <alignment horizontal="general" vertical="center"/>
    </xf>
    <xf numFmtId="0" fontId="0" fillId="8" borderId="0" applyAlignment="1" pivotButton="0" quotePrefix="0" xfId="0">
      <alignment horizontal="general" vertical="bottom"/>
    </xf>
    <xf numFmtId="0" fontId="38" fillId="12" borderId="1" applyAlignment="1" pivotButton="0" quotePrefix="0" xfId="0">
      <alignment horizontal="general" vertical="center"/>
    </xf>
    <xf numFmtId="0" fontId="31" fillId="15" borderId="1" applyAlignment="1" pivotButton="0" quotePrefix="0" xfId="0">
      <alignment horizontal="general" vertical="center"/>
    </xf>
    <xf numFmtId="0" fontId="32" fillId="17" borderId="1" applyAlignment="1" pivotButton="0" quotePrefix="0" xfId="0">
      <alignment horizontal="general" vertical="center"/>
    </xf>
    <xf numFmtId="0" fontId="26" fillId="17" borderId="1" applyAlignment="1" pivotButton="0" quotePrefix="0" xfId="0">
      <alignment horizontal="general" vertical="center"/>
    </xf>
    <xf numFmtId="0" fontId="26" fillId="11" borderId="1" applyAlignment="1" pivotButton="0" quotePrefix="0" xfId="0">
      <alignment horizontal="general" vertical="center"/>
    </xf>
    <xf numFmtId="0" fontId="32" fillId="15" borderId="1" applyAlignment="1" pivotButton="0" quotePrefix="0" xfId="0">
      <alignment horizontal="general" vertical="center"/>
    </xf>
    <xf numFmtId="0" fontId="31" fillId="11" borderId="1" applyAlignment="1" pivotButton="0" quotePrefix="0" xfId="0">
      <alignment horizontal="general" vertical="center"/>
    </xf>
    <xf numFmtId="0" fontId="39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41" fillId="0" borderId="0" applyAlignment="1" pivotButton="0" quotePrefix="0" xfId="0">
      <alignment horizontal="general" vertical="top" wrapText="1"/>
    </xf>
    <xf numFmtId="0" fontId="42" fillId="0" borderId="0" applyAlignment="1" pivotButton="0" quotePrefix="0" xfId="0">
      <alignment horizontal="general" vertical="bottom"/>
    </xf>
    <xf numFmtId="0" fontId="44" fillId="2" borderId="1" applyAlignment="1" pivotButton="0" quotePrefix="0" xfId="0">
      <alignment horizontal="center" vertical="center" wrapText="1"/>
    </xf>
    <xf numFmtId="0" fontId="46" fillId="9" borderId="1" applyAlignment="1" pivotButton="0" quotePrefix="0" xfId="0">
      <alignment horizontal="general" vertical="top" wrapText="1"/>
    </xf>
    <xf numFmtId="0" fontId="47" fillId="9" borderId="1" applyAlignment="1" pivotButton="0" quotePrefix="0" xfId="0">
      <alignment horizontal="general" vertical="top" wrapText="1"/>
    </xf>
    <xf numFmtId="0" fontId="47" fillId="4" borderId="1" applyAlignment="1" pivotButton="0" quotePrefix="0" xfId="0">
      <alignment horizontal="center" vertical="top"/>
    </xf>
    <xf numFmtId="0" fontId="46" fillId="0" borderId="1" applyAlignment="1" pivotButton="0" quotePrefix="0" xfId="0">
      <alignment horizontal="general" vertical="top" wrapText="1"/>
    </xf>
    <xf numFmtId="0" fontId="47" fillId="0" borderId="1" applyAlignment="1" pivotButton="0" quotePrefix="0" xfId="0">
      <alignment horizontal="general" vertical="top" wrapText="1"/>
    </xf>
    <xf numFmtId="0" fontId="47" fillId="6" borderId="1" applyAlignment="1" pivotButton="0" quotePrefix="0" xfId="0">
      <alignment horizontal="center" vertical="top"/>
    </xf>
    <xf numFmtId="0" fontId="49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50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0" fontId="23" fillId="0" borderId="1" applyAlignment="1" pivotButton="0" quotePrefix="0" xfId="0">
      <alignment horizontal="general" vertical="top" wrapText="1"/>
    </xf>
    <xf numFmtId="0" fontId="51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9" fillId="7" borderId="0" applyAlignment="1" pivotButton="0" quotePrefix="0" xfId="0">
      <alignment horizontal="general" vertical="bottom"/>
    </xf>
    <xf numFmtId="0" fontId="21" fillId="8" borderId="0" applyAlignment="1" pivotButton="0" quotePrefix="0" xfId="0">
      <alignment horizontal="general" vertical="bottom"/>
    </xf>
    <xf numFmtId="0" fontId="23" fillId="7" borderId="0" applyAlignment="1" pivotButton="0" quotePrefix="0" xfId="0">
      <alignment horizontal="general" vertical="bottom"/>
    </xf>
    <xf numFmtId="0" fontId="23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5" fillId="7" borderId="0" applyAlignment="1" pivotButton="0" quotePrefix="0" xfId="0">
      <alignment horizontal="general" vertical="top" wrapText="1"/>
    </xf>
    <xf numFmtId="0" fontId="26" fillId="10" borderId="0" applyAlignment="1" pivotButton="0" quotePrefix="0" xfId="0">
      <alignment horizontal="general" vertical="top" wrapText="1"/>
    </xf>
    <xf numFmtId="0" fontId="25" fillId="10" borderId="0" applyAlignment="1" pivotButton="0" quotePrefix="0" xfId="0">
      <alignment horizontal="general" vertical="top" wrapText="1"/>
    </xf>
    <xf numFmtId="0" fontId="13" fillId="8" borderId="1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top" wrapText="1"/>
    </xf>
    <xf numFmtId="0" fontId="25" fillId="11" borderId="1" applyAlignment="1" pivotButton="0" quotePrefix="0" xfId="0">
      <alignment horizontal="general" vertical="top" wrapText="1"/>
    </xf>
    <xf numFmtId="0" fontId="25" fillId="12" borderId="1" applyAlignment="1" pivotButton="0" quotePrefix="0" xfId="0">
      <alignment horizontal="general" vertical="top" wrapText="1"/>
    </xf>
    <xf numFmtId="0" fontId="26" fillId="12" borderId="1" applyAlignment="1" pivotButton="0" quotePrefix="0" xfId="0">
      <alignment horizontal="general" vertical="top" wrapText="1"/>
    </xf>
    <xf numFmtId="0" fontId="26" fillId="10" borderId="1" applyAlignment="1" pivotButton="0" quotePrefix="0" xfId="0">
      <alignment horizontal="general" vertical="top" wrapText="1"/>
    </xf>
    <xf numFmtId="0" fontId="25" fillId="13" borderId="1" applyAlignment="1" pivotButton="0" quotePrefix="0" xfId="0">
      <alignment horizontal="general" vertical="top" wrapText="1"/>
    </xf>
    <xf numFmtId="0" fontId="25" fillId="10" borderId="1" applyAlignment="1" pivotButton="0" quotePrefix="0" xfId="0">
      <alignment horizontal="general" vertical="top" wrapText="1"/>
    </xf>
    <xf numFmtId="0" fontId="26" fillId="14" borderId="1" applyAlignment="1" pivotButton="0" quotePrefix="0" xfId="0">
      <alignment horizontal="general" vertical="top" wrapText="1"/>
    </xf>
    <xf numFmtId="0" fontId="26" fillId="13" borderId="1" applyAlignment="1" pivotButton="0" quotePrefix="0" xfId="0">
      <alignment horizontal="general" vertical="top" wrapText="1"/>
    </xf>
    <xf numFmtId="0" fontId="25" fillId="15" borderId="1" applyAlignment="1" pivotButton="0" quotePrefix="0" xfId="0">
      <alignment horizontal="general" vertical="top" wrapText="1"/>
    </xf>
    <xf numFmtId="0" fontId="26" fillId="11" borderId="1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general" vertical="bottom" wrapText="1"/>
    </xf>
    <xf numFmtId="0" fontId="26" fillId="15" borderId="1" applyAlignment="1" pivotButton="0" quotePrefix="0" xfId="0">
      <alignment horizontal="general" vertical="top" wrapText="1"/>
    </xf>
    <xf numFmtId="0" fontId="25" fillId="4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general" vertical="bottom" wrapText="1"/>
    </xf>
    <xf numFmtId="0" fontId="26" fillId="4" borderId="1" applyAlignment="1" pivotButton="0" quotePrefix="0" xfId="0">
      <alignment horizontal="general" vertical="top" wrapText="1"/>
    </xf>
    <xf numFmtId="0" fontId="27" fillId="15" borderId="1" applyAlignment="1" pivotButton="0" quotePrefix="0" xfId="0">
      <alignment horizontal="general" vertical="top" wrapText="1"/>
    </xf>
    <xf numFmtId="0" fontId="13" fillId="7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 wrapText="1"/>
    </xf>
    <xf numFmtId="0" fontId="25" fillId="16" borderId="1" applyAlignment="1" pivotButton="0" quotePrefix="0" xfId="0">
      <alignment horizontal="general" vertical="top" wrapText="1"/>
    </xf>
    <xf numFmtId="0" fontId="26" fillId="16" borderId="1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left" vertical="bottom"/>
    </xf>
    <xf numFmtId="0" fontId="23" fillId="0" borderId="0" applyAlignment="1" pivotButton="0" quotePrefix="0" xfId="0">
      <alignment horizontal="general" vertical="bottom"/>
    </xf>
    <xf numFmtId="0" fontId="26" fillId="10" borderId="1" applyAlignment="1" pivotButton="0" quotePrefix="0" xfId="0">
      <alignment horizontal="general" vertical="center"/>
    </xf>
    <xf numFmtId="0" fontId="0" fillId="0" borderId="4" pivotButton="0" quotePrefix="0" xfId="0"/>
    <xf numFmtId="0" fontId="0" fillId="0" borderId="5" pivotButton="0" quotePrefix="0" xfId="0"/>
    <xf numFmtId="0" fontId="26" fillId="10" borderId="0" applyAlignment="1" pivotButton="0" quotePrefix="0" xfId="0">
      <alignment horizontal="general" vertical="center"/>
    </xf>
    <xf numFmtId="0" fontId="26" fillId="14" borderId="1" applyAlignment="1" pivotButton="0" quotePrefix="0" xfId="0">
      <alignment horizontal="general" vertical="center"/>
    </xf>
    <xf numFmtId="0" fontId="26" fillId="12" borderId="1" applyAlignment="1" pivotButton="0" quotePrefix="0" xfId="0">
      <alignment horizontal="general" vertical="center"/>
    </xf>
    <xf numFmtId="0" fontId="26" fillId="16" borderId="1" applyAlignment="1" pivotButton="0" quotePrefix="0" xfId="0">
      <alignment horizontal="general" vertical="center"/>
    </xf>
    <xf numFmtId="0" fontId="25" fillId="16" borderId="1" applyAlignment="1" pivotButton="0" quotePrefix="0" xfId="0">
      <alignment horizontal="general" vertical="center"/>
    </xf>
    <xf numFmtId="0" fontId="26" fillId="15" borderId="1" applyAlignment="1" pivotButton="0" quotePrefix="0" xfId="0">
      <alignment horizontal="general" vertical="center"/>
    </xf>
    <xf numFmtId="0" fontId="25" fillId="15" borderId="1" applyAlignment="1" pivotButton="0" quotePrefix="0" xfId="0">
      <alignment horizontal="general" vertical="center"/>
    </xf>
    <xf numFmtId="0" fontId="30" fillId="7" borderId="1" applyAlignment="1" pivotButton="0" quotePrefix="0" xfId="0">
      <alignment horizontal="general" vertical="bottom" wrapText="1"/>
    </xf>
    <xf numFmtId="0" fontId="31" fillId="16" borderId="1" applyAlignment="1" pivotButton="0" quotePrefix="0" xfId="0">
      <alignment horizontal="general" vertical="center"/>
    </xf>
    <xf numFmtId="0" fontId="31" fillId="12" borderId="1" applyAlignment="1" pivotButton="0" quotePrefix="0" xfId="0">
      <alignment horizontal="general" vertical="center"/>
    </xf>
    <xf numFmtId="0" fontId="32" fillId="12" borderId="1" applyAlignment="1" pivotButton="0" quotePrefix="0" xfId="0">
      <alignment horizontal="general" vertical="center"/>
    </xf>
    <xf numFmtId="0" fontId="31" fillId="10" borderId="1" applyAlignment="1" pivotButton="0" quotePrefix="0" xfId="0">
      <alignment horizontal="general" vertical="center"/>
    </xf>
    <xf numFmtId="0" fontId="29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top" wrapText="1"/>
    </xf>
    <xf numFmtId="0" fontId="36" fillId="2" borderId="0" applyAlignment="1" pivotButton="0" quotePrefix="0" xfId="0">
      <alignment horizontal="general" vertical="bottom"/>
    </xf>
    <xf numFmtId="0" fontId="37" fillId="16" borderId="1" applyAlignment="1" pivotButton="0" quotePrefix="0" xfId="0">
      <alignment horizontal="general" vertical="center"/>
    </xf>
    <xf numFmtId="0" fontId="31" fillId="4" borderId="1" applyAlignment="1" pivotButton="0" quotePrefix="0" xfId="0">
      <alignment horizontal="general" vertical="center"/>
    </xf>
    <xf numFmtId="0" fontId="37" fillId="4" borderId="1" applyAlignment="1" pivotButton="0" quotePrefix="0" xfId="0">
      <alignment horizontal="general" vertical="center"/>
    </xf>
    <xf numFmtId="0" fontId="25" fillId="10" borderId="1" applyAlignment="1" pivotButton="0" quotePrefix="0" xfId="0">
      <alignment horizontal="general" vertical="center"/>
    </xf>
    <xf numFmtId="0" fontId="25" fillId="10" borderId="0" applyAlignment="1" pivotButton="0" quotePrefix="0" xfId="0">
      <alignment horizontal="general" vertical="center"/>
    </xf>
    <xf numFmtId="0" fontId="25" fillId="14" borderId="1" applyAlignment="1" pivotButton="0" quotePrefix="0" xfId="0">
      <alignment horizontal="general" vertical="center"/>
    </xf>
    <xf numFmtId="0" fontId="25" fillId="13" borderId="1" applyAlignment="1" pivotButton="0" quotePrefix="0" xfId="0">
      <alignment horizontal="general" vertical="center"/>
    </xf>
    <xf numFmtId="0" fontId="25" fillId="12" borderId="1" applyAlignment="1" pivotButton="0" quotePrefix="0" xfId="0">
      <alignment horizontal="general" vertical="center"/>
    </xf>
    <xf numFmtId="0" fontId="38" fillId="15" borderId="1" applyAlignment="1" pivotButton="0" quotePrefix="0" xfId="0">
      <alignment horizontal="general" vertical="center"/>
    </xf>
    <xf numFmtId="0" fontId="32" fillId="13" borderId="1" applyAlignment="1" pivotButton="0" quotePrefix="0" xfId="0">
      <alignment horizontal="general" vertical="center"/>
    </xf>
    <xf numFmtId="0" fontId="32" fillId="10" borderId="1" applyAlignment="1" pivotButton="0" quotePrefix="0" xfId="0">
      <alignment horizontal="general" vertical="center"/>
    </xf>
    <xf numFmtId="0" fontId="26" fillId="13" borderId="1" applyAlignment="1" pivotButton="0" quotePrefix="0" xfId="0">
      <alignment horizontal="general" vertical="center"/>
    </xf>
    <xf numFmtId="0" fontId="25" fillId="17" borderId="1" applyAlignment="1" pivotButton="0" quotePrefix="0" xfId="0">
      <alignment horizontal="general" vertical="center"/>
    </xf>
    <xf numFmtId="0" fontId="0" fillId="8" borderId="0" applyAlignment="1" pivotButton="0" quotePrefix="0" xfId="0">
      <alignment horizontal="general" vertical="bottom"/>
    </xf>
    <xf numFmtId="0" fontId="38" fillId="12" borderId="1" applyAlignment="1" pivotButton="0" quotePrefix="0" xfId="0">
      <alignment horizontal="general" vertical="center"/>
    </xf>
    <xf numFmtId="0" fontId="31" fillId="15" borderId="1" applyAlignment="1" pivotButton="0" quotePrefix="0" xfId="0">
      <alignment horizontal="general" vertical="center"/>
    </xf>
    <xf numFmtId="0" fontId="32" fillId="17" borderId="1" applyAlignment="1" pivotButton="0" quotePrefix="0" xfId="0">
      <alignment horizontal="general" vertical="center"/>
    </xf>
    <xf numFmtId="0" fontId="26" fillId="17" borderId="1" applyAlignment="1" pivotButton="0" quotePrefix="0" xfId="0">
      <alignment horizontal="general" vertical="center"/>
    </xf>
    <xf numFmtId="0" fontId="26" fillId="11" borderId="1" applyAlignment="1" pivotButton="0" quotePrefix="0" xfId="0">
      <alignment horizontal="general" vertical="center"/>
    </xf>
    <xf numFmtId="0" fontId="32" fillId="15" borderId="1" applyAlignment="1" pivotButton="0" quotePrefix="0" xfId="0">
      <alignment horizontal="general" vertical="center"/>
    </xf>
    <xf numFmtId="0" fontId="31" fillId="11" borderId="1" applyAlignment="1" pivotButton="0" quotePrefix="0" xfId="0">
      <alignment horizontal="general" vertical="center"/>
    </xf>
    <xf numFmtId="0" fontId="39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41" fillId="0" borderId="0" applyAlignment="1" pivotButton="0" quotePrefix="0" xfId="0">
      <alignment horizontal="general" vertical="top" wrapText="1"/>
    </xf>
    <xf numFmtId="0" fontId="42" fillId="0" borderId="0" applyAlignment="1" pivotButton="0" quotePrefix="0" xfId="0">
      <alignment horizontal="general" vertical="bottom"/>
    </xf>
    <xf numFmtId="0" fontId="44" fillId="2" borderId="1" applyAlignment="1" pivotButton="0" quotePrefix="0" xfId="0">
      <alignment horizontal="center" vertical="center" wrapText="1"/>
    </xf>
    <xf numFmtId="0" fontId="46" fillId="9" borderId="1" applyAlignment="1" pivotButton="0" quotePrefix="0" xfId="0">
      <alignment horizontal="general" vertical="top" wrapText="1"/>
    </xf>
    <xf numFmtId="0" fontId="47" fillId="9" borderId="1" applyAlignment="1" pivotButton="0" quotePrefix="0" xfId="0">
      <alignment horizontal="general" vertical="top" wrapText="1"/>
    </xf>
    <xf numFmtId="0" fontId="47" fillId="4" borderId="1" applyAlignment="1" pivotButton="0" quotePrefix="0" xfId="0">
      <alignment horizontal="center" vertical="top"/>
    </xf>
    <xf numFmtId="0" fontId="46" fillId="0" borderId="1" applyAlignment="1" pivotButton="0" quotePrefix="0" xfId="0">
      <alignment horizontal="general" vertical="top" wrapText="1"/>
    </xf>
    <xf numFmtId="0" fontId="47" fillId="0" borderId="1" applyAlignment="1" pivotButton="0" quotePrefix="0" xfId="0">
      <alignment horizontal="general" vertical="top" wrapText="1"/>
    </xf>
    <xf numFmtId="0" fontId="47" fillId="6" borderId="1" applyAlignment="1" pivotButton="0" quotePrefix="0" xfId="0">
      <alignment horizontal="center" vertical="top"/>
    </xf>
    <xf numFmtId="0" fontId="49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50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0" fontId="23" fillId="0" borderId="1" applyAlignment="1" pivotButton="0" quotePrefix="0" xfId="0">
      <alignment horizontal="general" vertical="top" wrapText="1"/>
    </xf>
    <xf numFmtId="0" fontId="51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DD7EE"/>
      <rgbColor rgb="FFFFC7CE"/>
      <rgbColor rgb="FFC6E0B4"/>
      <rgbColor rgb="FFF8CBAD"/>
      <rgbColor rgb="FF3366FF"/>
      <rgbColor rgb="FF33CCCC"/>
      <rgbColor rgb="FF99CC00"/>
      <rgbColor rgb="FFFCE4D6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38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E16" activeCellId="0" sqref="E16"/>
    </sheetView>
  </sheetViews>
  <sheetFormatPr baseColWidth="8" defaultColWidth="8.55859375" defaultRowHeight="14.25" zeroHeight="0" outlineLevelRow="0"/>
  <cols>
    <col width="5" customWidth="1" style="122" min="1" max="1"/>
    <col width="12" customWidth="1" style="122" min="2" max="2"/>
    <col width="18" customWidth="1" style="122" min="3" max="3"/>
    <col width="15.56" customWidth="1" style="122" min="4" max="4"/>
    <col width="13.11" customWidth="1" style="122" min="5" max="5"/>
    <col width="24.67" customWidth="1" style="122" min="6" max="7"/>
    <col width="19" customWidth="1" style="122" min="8" max="8"/>
    <col width="36" customWidth="1" style="122" min="9" max="9"/>
    <col width="44" customWidth="1" style="122" min="10" max="10"/>
    <col width="32" customWidth="1" style="122" min="11" max="11"/>
  </cols>
  <sheetData>
    <row r="1" ht="17.25" customHeight="1" s="123">
      <c r="A1" s="124" t="inlineStr">
        <is>
          <t>SIDEX-ACDR2026（シンガポール, 2026/10/27-30）ADRC派遣スタッフ一覧と判定</t>
        </is>
      </c>
    </row>
    <row r="2" ht="30" customHeight="1" s="123">
      <c r="A2" s="125" t="inlineStr">
        <is>
          <t>作成: 2026/9/4（第1版・所内打合せ用ドラフト）　根拠: Gmail（ACDR2026関連スレッド）、Googleドライブ（ACDR2026事前協議チェックリスト、月次ToDo、動態表ACDR2023）、添付（ホテル部屋数検討用リスト_tt.xlsx 8/28、ACDR2026予算.xlsx 8/21、ACDR2026_Demarcation_asof0805.pptx、Draft Agenda 0805r）／v1（9/4）: 日本側サポート（中村・山口）を追記。根拠: ACDR2025動態表(as of 11/26)・荒木田9/4指示／v1_3（9/4）: 児玉修正（宮木・児玉・池田・Gerryフライト、Gerry=研究部次長）を反映し、関連セルを更新。寺坂→立部の備考取り違えを修正（児玉指摘）／v2（9/4 所内打合せ反映）: 森口=SC担当で現地参加見込、藤本=撮影主担当、宮木・児玉は内閣府に張り付かず臨機応変、27日午前に全員で会場下見、29-30日の参加者誘導、26日夜エリック長官夕食会、日本側との接続・運用テスト等を追記／v2_1（9/4）: 藤本・塩見の本人承諾を反映し「確定」に。ドレスコードとCOSEMとの役割分担を「COSEM協議事項」シートに整理／v2_2（9/6）: 宮木・児玉の10/25泊が必要と確認（25日23:40着、荒木田 9/6 WhatsApp）。JAXA登壇者＝川北氏で確定。次回COSEM合同会議は第5回（9/15オンライン、Sylvia 6/18・内閣府8/31資料）に訂正／v2_3（9/6）: WhatsApp「ACDR2026 Coordination Team」（6/15–9/2）の要点を反映。Peridot 202-205拡張（8/24）、会場無償（8/25）、コーヒーブレイクOption 1（8/26）、LTC Yong Kai（司会・モデレーター 7/30）、Field Trip帰着17:00・パレード18:00着席（8/26）、無料パス13名承認待ち、Gala挨拶枠・MOU・日本パビリオンをプログラム項目（G）として追加／v2_4（9/6）: 吉田のフライトをフィンエアー（AY1534/AY131 10/26 18:40着、AY132/AY1531 10/30 22:05発）に変更（吉田 9/6 メール）／v2_5（9/7）: 藤本・塩見を10/26夜in・10/30夜outで確定（荒木田）。Hotel Miに空きがなければ周辺ホテルを追加手配。10/31朝の見送り・清算は藤中・田中の2名で対応することを許容　【v2_6 (2026/9/9)】8/26版アジェンダ（Draft Agenda EN 0826）と突合し、27日レセプションを19:00-21:00に修正。テクニカルセッションはEOS-NTU不参加確定によりBRINへ切替（9/7）。　【v2_7 (2026/9/24)】9/17-9/24のメール・WhatsApp・9/18週次会議で更新。TSモデレーター確定（LTC Chen Yong Kai）、会場 Peridot 201-203 確定・U字28席案を9/24にCOSEMへ提案、フィールドトリップ 13:00発-16:15着、招待状v2・コンセプトノートrev1.2を池田と確認済み、Day 1 前倒しは日本パビリオン所要時間次第。</t>
        </is>
      </c>
    </row>
    <row r="4" ht="26.25" customHeight="1" s="123">
      <c r="A4" s="126" t="inlineStr">
        <is>
          <t>No.</t>
        </is>
      </c>
      <c r="B4" s="127" t="inlineStr">
        <is>
          <t>氏名</t>
        </is>
      </c>
      <c r="C4" s="126" t="inlineStr">
        <is>
          <t>Name</t>
        </is>
      </c>
      <c r="D4" s="127" t="inlineStr">
        <is>
          <t>役職</t>
        </is>
      </c>
      <c r="E4" s="127" t="inlineStr">
        <is>
          <t>現地参加の確定度</t>
        </is>
      </c>
      <c r="F4" s="127" t="inlineStr">
        <is>
          <t>往路</t>
        </is>
      </c>
      <c r="G4" s="127" t="inlineStr">
        <is>
          <t>復路</t>
        </is>
      </c>
      <c r="H4" s="127" t="inlineStr">
        <is>
          <t>宿泊</t>
        </is>
      </c>
      <c r="I4" s="127" t="inlineStr">
        <is>
          <t>デマケ上の担当（8/6版）</t>
        </is>
      </c>
      <c r="J4" s="127" t="inlineStr">
        <is>
          <t>会期中の主な現地役割（本表での想定）</t>
        </is>
      </c>
      <c r="K4" s="127" t="inlineStr">
        <is>
          <t>要確認・備考</t>
        </is>
      </c>
    </row>
    <row r="5" ht="39" customHeight="1" s="123">
      <c r="A5" s="128" t="n">
        <v>1</v>
      </c>
      <c r="B5" s="129" t="inlineStr">
        <is>
          <t>三浦 房紀</t>
        </is>
      </c>
      <c r="C5" s="128" t="inlineStr">
        <is>
          <t>MIURA Fusanori</t>
        </is>
      </c>
      <c r="D5" s="129" t="inlineStr">
        <is>
          <t>センター長(Chairman)</t>
        </is>
      </c>
      <c r="E5" s="130" t="inlineStr">
        <is>
          <t>確定</t>
        </is>
      </c>
      <c r="F5" s="128" t="inlineStr">
        <is>
          <t>10/26 SQ655 福岡09:30→SIN15:00</t>
        </is>
      </c>
      <c r="G5" s="128" t="inlineStr">
        <is>
          <t>10/31 SQ656 SIN01:20→福岡08:10</t>
        </is>
      </c>
      <c r="H5" s="128" t="inlineStr">
        <is>
          <t>Dorsett 10/26-30 (5泊)</t>
        </is>
      </c>
      <c r="I5" s="128" t="inlineStr">
        <is>
          <t>ACDR2026 Opening 挨拶／SC出席</t>
        </is>
      </c>
      <c r="J5" s="128" t="inlineStr">
        <is>
          <t>VIP対応（ADRC代表）。Opening (12:45)、Roundtable、SC、Gala、大使公邸レセプション、SIDEX Keynote出席</t>
        </is>
      </c>
      <c r="K5" s="129" t="inlineStr">
        <is>
          <t>パスポート更新済み（7月）。復路は10/30深夜発扱い</t>
        </is>
      </c>
    </row>
    <row r="6" ht="26.25" customHeight="1" s="123">
      <c r="A6" s="128" t="n">
        <v>2</v>
      </c>
      <c r="B6" s="129" t="inlineStr">
        <is>
          <t>北本 政行</t>
        </is>
      </c>
      <c r="C6" s="128" t="inlineStr">
        <is>
          <t>KITAMOTO Masayuki</t>
        </is>
      </c>
      <c r="D6" s="129" t="inlineStr">
        <is>
          <t>常務理事</t>
        </is>
      </c>
      <c r="E6" s="130" t="inlineStr">
        <is>
          <t>確定</t>
        </is>
      </c>
      <c r="F6" s="128" t="inlineStr">
        <is>
          <t>10/26 SQ637 成田10:00→SIN16:30</t>
        </is>
      </c>
      <c r="G6" s="128" t="inlineStr">
        <is>
          <t>10/30 SQ638 SIN23:55→成田10/31 07:30</t>
        </is>
      </c>
      <c r="H6" s="128" t="inlineStr">
        <is>
          <t>Dorsett 10/26-30 (5泊)</t>
        </is>
      </c>
      <c r="I6" s="129" t="inlineStr">
        <is>
          <t>（役員として出席）</t>
        </is>
      </c>
      <c r="J6" s="128" t="inlineStr">
        <is>
          <t>VIP対応。初参加のため事前ブリーフィング要。10/30は最終日夜に出発</t>
        </is>
      </c>
      <c r="K6" s="129" t="inlineStr">
        <is>
          <t>初参加。8/7・9/4打合せに出席。Dorsett宿泊は8/28リストで確認</t>
        </is>
      </c>
    </row>
    <row r="7" ht="52.5" customHeight="1" s="123">
      <c r="A7" s="128" t="n">
        <v>3</v>
      </c>
      <c r="B7" s="129" t="inlineStr">
        <is>
          <t>宮木 一寛</t>
        </is>
      </c>
      <c r="C7" s="128" t="inlineStr">
        <is>
          <t>MIYAKI Kazuhiro</t>
        </is>
      </c>
      <c r="D7" s="129" t="inlineStr">
        <is>
          <t>所長</t>
        </is>
      </c>
      <c r="E7" s="130" t="inlineStr">
        <is>
          <t>確定（フライト要確認）</t>
        </is>
      </c>
      <c r="F7" s="128" t="inlineStr">
        <is>
          <t>10/25 NH2178 ITM 14:00 → NRT 15:30   NH803 NRT 17:00 → SIN 23:40</t>
        </is>
      </c>
      <c r="G7" s="128" t="inlineStr">
        <is>
          <t xml:space="preserve">10/31 NH802 SIN 06:35 → NRT 14:30   </t>
        </is>
      </c>
      <c r="H7" s="129" t="inlineStr">
        <is>
          <t>10/25泊 必要（NH803 23:40着）→宿泊先（Dorsett/任意）を至急決定・手配。26日以降はDorsettシート「所長」行(10/26-30)</t>
        </is>
      </c>
      <c r="I7" s="129" t="inlineStr">
        <is>
          <t>全体総括／内閣府との連絡調整／Bi-meeting／SC議長(内閣府)との調整／広報(記者クラブ)</t>
        </is>
      </c>
      <c r="J7" s="129" t="inlineStr">
        <is>
          <t>全体総括。内閣府・COSEMとの調整に臨機応変に対応（内閣府には張り付かない。空港出迎え不要＝公用車。林統括官の英語対応はADRCには求められず大使館側）。Opening/VIP Tourに同行、SC進行補佐、Field Trip参加（9/4）</t>
        </is>
      </c>
      <c r="K7" s="131" t="inlineStr">
        <is>
          <t>フライト確定（児玉 9/4）。25日泊が必要と確認（荒木田 9/6, WhatsApp Coordination Team）。宿泊先（Dorsett/任意）は未定。10/26夜エリック長官夕食会（調整中）</t>
        </is>
      </c>
    </row>
    <row r="8" ht="39" customHeight="1" s="123">
      <c r="A8" s="128" t="n">
        <v>4</v>
      </c>
      <c r="B8" s="129" t="inlineStr">
        <is>
          <t>児玉 美樹</t>
        </is>
      </c>
      <c r="C8" s="128" t="inlineStr">
        <is>
          <t>KODAMA Miki</t>
        </is>
      </c>
      <c r="D8" s="129" t="inlineStr">
        <is>
          <t>研究部長</t>
        </is>
      </c>
      <c r="E8" s="130" t="inlineStr">
        <is>
          <t>確定（フライト要確認）</t>
        </is>
      </c>
      <c r="F8" s="128" t="inlineStr">
        <is>
          <t>10/25 NH2178 ITM 14:00 → NRT 15:30   NH803 NRT 17:00 → SIN 23:40</t>
        </is>
      </c>
      <c r="G8" s="128" t="inlineStr">
        <is>
          <t>10/31 NH802 SIN 06:35 → NRT 14:30   NH2177 NRT 17:35 → ITM 19:00</t>
        </is>
      </c>
      <c r="H8" s="128" t="inlineStr">
        <is>
          <t>Hotel Mi Bencoolen（Mシート: 10/26-30）→10/25泊の追加手配 必要（9/6確認）</t>
        </is>
      </c>
      <c r="I8" s="128" t="inlineStr">
        <is>
          <t>Bi-meeting／Welcome Reception(Program, MC)／レセプション手配／PC等機材サポート</t>
        </is>
      </c>
      <c r="J8" s="129" t="inlineStr">
        <is>
          <t>現場統括。内閣府・COSEMとの調整に臨機応変に対応（ロジ専任にしない）。大使公邸レセプション（10/27）の設営・進行、10/29の事務局撤収（藤中と2名）、バイ会談調整（9/4）</t>
        </is>
      </c>
      <c r="K8" s="129" t="inlineStr">
        <is>
          <t>フライト確定（児玉 9/4）。10/25 23:40着のため25日泊が必要（荒木田 9/6, WhatsApp）。Hotel Miの10/25泊を追加手配。10/26夜エリック長官夕食会（調整中）。10/31 06:35発</t>
        </is>
      </c>
    </row>
    <row r="9" ht="39" customHeight="1" s="123">
      <c r="A9" s="128" t="n">
        <v>5</v>
      </c>
      <c r="B9" s="129" t="inlineStr">
        <is>
          <t>荒木田 勝</t>
        </is>
      </c>
      <c r="C9" s="128" t="inlineStr">
        <is>
          <t>ARAKIDA Masaru</t>
        </is>
      </c>
      <c r="D9" s="129" t="inlineStr">
        <is>
          <t>リサーチフェロー</t>
        </is>
      </c>
      <c r="E9" s="130" t="inlineStr">
        <is>
          <t>確定</t>
        </is>
      </c>
      <c r="F9" s="128" t="inlineStr">
        <is>
          <t>10/26 NH843 羽田00:25→SIN06:55</t>
        </is>
      </c>
      <c r="G9" s="128" t="inlineStr">
        <is>
          <t>10/30 NH844 SIN22:20→羽田10/31 05:55</t>
        </is>
      </c>
      <c r="H9" s="128" t="inlineStr">
        <is>
          <t>Hotel Mi Bencoolen（Mシート: 10/26-30）</t>
        </is>
      </c>
      <c r="I9" s="129" t="inlineStr">
        <is>
          <t>総括(PL)／Opening &amp; Closing／SIDEX Conference／Field Trip／会場手配・機材／Zoom当日</t>
        </is>
      </c>
      <c r="J9" s="129" t="inlineStr">
        <is>
          <t>全体統括。Opening/Closing進行、会場・AV・Zoom/AI翻訳の当日運用、Field Trip引率、Google等リソース対応</t>
        </is>
      </c>
      <c r="K9" s="128" t="inlineStr">
        <is>
          <t>10/30 22:20発のためClosing後〜Day3午後まで在場。</t>
        </is>
      </c>
    </row>
    <row r="10" ht="39" customHeight="1" s="123">
      <c r="A10" s="128" t="n">
        <v>6</v>
      </c>
      <c r="B10" s="131" t="inlineStr">
        <is>
          <t>吉田 真紀</t>
        </is>
      </c>
      <c r="C10" s="128" t="inlineStr">
        <is>
          <t>YOSHIDA Maki</t>
        </is>
      </c>
      <c r="D10" s="129" t="inlineStr">
        <is>
          <t>プロジェクト研究員（ジュネーブ）</t>
        </is>
      </c>
      <c r="E10" s="130" t="inlineStr">
        <is>
          <t>確定</t>
        </is>
      </c>
      <c r="F10" s="128" t="inlineStr">
        <is>
          <t>10/25 AY1534 GVA 19:05 → HEL 23:10   AY131 HEL 00:05 → SIN 10/26 18:40</t>
        </is>
      </c>
      <c r="G10" s="128" t="inlineStr">
        <is>
          <t>10/30 AY132 SIN 22:05 → HEL 10/31 05:45   AY1531 HEL 07:55 → GVA 10:00</t>
        </is>
      </c>
      <c r="H10" s="128" t="inlineStr">
        <is>
          <t>Hotel Mi Bencoolen（Mシート: 10/26-30）</t>
        </is>
      </c>
      <c r="I10" s="128" t="inlineStr">
        <is>
          <t>Roundtable(PIC)／Announcement／Web登録・コレポン／航空券(メンバー国)／Field Trip／Welcome Reception</t>
        </is>
      </c>
      <c r="J10" s="128" t="inlineStr">
        <is>
          <t>Roundtableセッション運営（ステートメント回収・共同モデレーター補佐）、レセプション進行補佐、Field Trip引率、参加者対応</t>
        </is>
      </c>
      <c r="K10" s="129" t="inlineStr">
        <is>
          <t>フライト変更（吉田 9/6）: フィンエアー経由に変更、10/26 18:40着・10/30 22:05発。到着が夕方になるため10/26日中のDorsett到着対応には入れない。Hotel Mi 10/26-30泊はそのまま</t>
        </is>
      </c>
    </row>
    <row r="11" ht="39" customHeight="1" s="123">
      <c r="A11" s="128" t="n">
        <v>7</v>
      </c>
      <c r="B11" s="129" t="inlineStr">
        <is>
          <t>藤中 純子</t>
        </is>
      </c>
      <c r="C11" s="128" t="inlineStr">
        <is>
          <t>FUJINAKA Junko</t>
        </is>
      </c>
      <c r="D11" s="129" t="inlineStr">
        <is>
          <t>管理部</t>
        </is>
      </c>
      <c r="E11" s="130" t="inlineStr">
        <is>
          <t>確定</t>
        </is>
      </c>
      <c r="F11" s="128" t="inlineStr">
        <is>
          <t>10/25 TR819 関空11:30→SIN17:30</t>
        </is>
      </c>
      <c r="G11" s="128" t="inlineStr">
        <is>
          <t>11/1 TR818 SIN03:05→関空10:15</t>
        </is>
      </c>
      <c r="H11" s="128" t="inlineStr">
        <is>
          <t>Hotel Mi Bencoolen 10/25-31 (7泊)</t>
        </is>
      </c>
      <c r="I11" s="129" t="inlineStr">
        <is>
          <t>レセプション手配／予算管理／契約・支払／宿泊・送迎の確認／SC議案・会計報告</t>
        </is>
      </c>
      <c r="J11" s="129" t="inlineStr">
        <is>
          <t>受付デスク（会場・レセプション）、ホテル・バス・支払の現地対応、SC事務、日当支払</t>
        </is>
      </c>
      <c r="K11" s="129" t="inlineStr">
        <is>
          <t>先発隊。10/25着で前日準備</t>
        </is>
      </c>
    </row>
    <row r="12" ht="39" customHeight="1" s="123">
      <c r="A12" s="128" t="n">
        <v>8</v>
      </c>
      <c r="B12" s="129" t="inlineStr">
        <is>
          <t>田中 智美</t>
        </is>
      </c>
      <c r="C12" s="128" t="inlineStr">
        <is>
          <t>TANAKA Tomomi</t>
        </is>
      </c>
      <c r="D12" s="129" t="inlineStr">
        <is>
          <t>事務局(ACDR2026 Secretariat)</t>
        </is>
      </c>
      <c r="E12" s="130" t="inlineStr">
        <is>
          <t>確定</t>
        </is>
      </c>
      <c r="F12" s="128" t="inlineStr">
        <is>
          <t>10/25 TR819 関空11:30→SIN17:30</t>
        </is>
      </c>
      <c r="G12" s="128" t="inlineStr">
        <is>
          <t>11/1 TR818 SIN03:05→関空10:15</t>
        </is>
      </c>
      <c r="H12" s="128" t="inlineStr">
        <is>
          <t>Hotel Mi Bencoolen 10/25-31 (7泊)</t>
        </is>
      </c>
      <c r="I12" s="128" t="inlineStr">
        <is>
          <t>Announcement／Web登録確認・コレポン／航空券／VISA／宿泊・送迎(COSEM調整)／お礼状／日当</t>
        </is>
      </c>
      <c r="J12" s="129" t="inlineStr">
        <is>
          <t>受付デスク（会場・レセプション）、参加者リスト・名札(QR)管理、ホテル・送迎の現地コレポン、リソース対応</t>
        </is>
      </c>
      <c r="K12" s="129" t="inlineStr">
        <is>
          <t>先発隊。</t>
        </is>
      </c>
    </row>
    <row r="13" ht="52.5" customHeight="1" s="123">
      <c r="A13" s="128" t="n">
        <v>9</v>
      </c>
      <c r="B13" s="129" t="inlineStr">
        <is>
          <t>池田　誠</t>
        </is>
      </c>
      <c r="C13" s="128" t="inlineStr">
        <is>
          <t>IKEDA Makoto</t>
        </is>
      </c>
      <c r="D13" s="129" t="inlineStr">
        <is>
          <t>主任研究員</t>
        </is>
      </c>
      <c r="E13" s="130" t="inlineStr">
        <is>
          <t>確定（便名要確認）</t>
        </is>
      </c>
      <c r="F13" s="128" t="inlineStr">
        <is>
          <t>10/26 SQ619  関空10:05→SIN16:00</t>
        </is>
      </c>
      <c r="G13" s="128" t="inlineStr">
        <is>
          <t>10/31 SQ622 SIN01:30→関空08:35</t>
        </is>
      </c>
      <c r="H13" s="128" t="inlineStr">
        <is>
          <t>Hotel Mi Bencoolen（候補欄・未割当）</t>
        </is>
      </c>
      <c r="I13" s="128" t="inlineStr">
        <is>
          <t>Technical Session(PIC)／SIDEX Exhibition調整／会場手配・機材／PC等機材</t>
        </is>
      </c>
      <c r="J13" s="128" t="inlineStr">
        <is>
          <t>Technical Session運営（登壇者対応・進行）、AV/PC操作（Day1）、SIDEX展示・Japan Pavilion連携</t>
        </is>
      </c>
      <c r="K13" s="129" t="inlineStr">
        <is>
          <t>便名確定（児玉 9/4）。復路の表記要確認: K Line見積(7/30)ではSQ622=14:25発→21:25着、01:30発→08:35着はSQ618。来週ネパール出張のためTS準備のフォローは荒木田（9/4）</t>
        </is>
      </c>
    </row>
    <row r="14" ht="64.5" customHeight="1" s="123">
      <c r="A14" s="128" t="n">
        <v>10</v>
      </c>
      <c r="B14" s="129" t="inlineStr">
        <is>
          <t>ジェラルド・エヘム・ポトゥタン</t>
        </is>
      </c>
      <c r="C14" s="128" t="inlineStr">
        <is>
          <t>Gerald Ejem Potutan</t>
        </is>
      </c>
      <c r="D14" s="129" t="inlineStr">
        <is>
          <t>研究部次長</t>
        </is>
      </c>
      <c r="E14" s="130" t="inlineStr">
        <is>
          <t>確定（便名要確認）</t>
        </is>
      </c>
      <c r="F14" s="128" t="inlineStr">
        <is>
          <t>10/26 SQ619  関空10:05→SIN16:00</t>
        </is>
      </c>
      <c r="G14" s="128" t="inlineStr">
        <is>
          <t>10/31 SQ622 SIN01:30→関空08:35</t>
        </is>
      </c>
      <c r="H14" s="128" t="inlineStr">
        <is>
          <t>Hotel Mi Bencoolen（候補欄・未割当）</t>
        </is>
      </c>
      <c r="I14" s="129" t="inlineStr">
        <is>
          <t>副総括／Concept Note／Roundtable／Draft Summary／広報／SCサマリーメモ</t>
        </is>
      </c>
      <c r="J14" s="128" t="inlineStr">
        <is>
          <t>Roundtable共同運営、Draft Summary執筆（Day1夜〜Day2朝）、SCメモ、必要に応じTechnical Session共同議長候補</t>
        </is>
      </c>
      <c r="K14" s="129" t="inlineStr">
        <is>
          <t>便名確定（児玉 9/4）。復路の表記要確認: K Line見積(7/30)ではSQ622=14:25発→21:25着、01:30発→08:35着はSQ618</t>
        </is>
      </c>
    </row>
    <row r="15" ht="39" customHeight="1" s="123">
      <c r="A15" s="128" t="n">
        <v>11</v>
      </c>
      <c r="B15" s="129" t="inlineStr">
        <is>
          <t>ミザン　ビスリ</t>
        </is>
      </c>
      <c r="C15" s="128" t="inlineStr">
        <is>
          <t>Mizan Bisri</t>
        </is>
      </c>
      <c r="D15" s="129" t="inlineStr">
        <is>
          <t>研究員</t>
        </is>
      </c>
      <c r="E15" s="132" t="inlineStr">
        <is>
          <t>見込（手配未確認）</t>
        </is>
      </c>
      <c r="F15" s="129" t="inlineStr">
        <is>
          <t>未確認</t>
        </is>
      </c>
      <c r="G15" s="129" t="inlineStr">
        <is>
          <t>未確認</t>
        </is>
      </c>
      <c r="H15" s="128" t="inlineStr">
        <is>
          <t>Hotel Mi Bencoolen（候補欄・未割当）</t>
        </is>
      </c>
      <c r="I15" s="128" t="inlineStr">
        <is>
          <t>Technical Session(PIC)／SIDEX Exhibition調整／Draft Summary</t>
        </is>
      </c>
      <c r="J15" s="128" t="inlineStr">
        <is>
          <t>Technical Session ADRC側Co-Chair（有力案）。登壇者（JAXA・EOS-NTU・DOST・BRIN/ネパール代替・ウズベキスタン）との調整・当日進行</t>
        </is>
      </c>
      <c r="K15" s="131" t="inlineStr">
        <is>
          <t>。出張が多く（8/23-29フィジー等）日程確保を至急確認　前後は厳しいが期間中は可能。 フライト未取得（9/4）</t>
        </is>
      </c>
    </row>
    <row r="16" ht="52.5" customHeight="1" s="123">
      <c r="A16" s="128" t="n">
        <v>12</v>
      </c>
      <c r="B16" s="129" t="inlineStr">
        <is>
          <t>藤本 絢子</t>
        </is>
      </c>
      <c r="C16" s="128" t="inlineStr">
        <is>
          <t>FUJIMOTO Ayako</t>
        </is>
      </c>
      <c r="D16" s="129" t="inlineStr">
        <is>
          <t>主任</t>
        </is>
      </c>
      <c r="E16" s="130" t="inlineStr">
        <is>
          <t>確定（本人承諾 9/4、手配未）</t>
        </is>
      </c>
      <c r="F16" s="129" t="inlineStr">
        <is>
          <t>10/26 夕方〜夜着（便未定・要手配。夕方着の便を推奨）</t>
        </is>
      </c>
      <c r="G16" s="129" t="inlineStr">
        <is>
          <t>10/30 夜発（便未定・要手配。閉会16:50後）</t>
        </is>
      </c>
      <c r="H16" s="128" t="inlineStr">
        <is>
          <t>Hotel Mi Bencoolen 10/26-30（4泊）→要手配。Miに空きがなければ周辺ホテルを追加手配（荒木田 9/7）</t>
        </is>
      </c>
      <c r="I16" s="129" t="inlineStr">
        <is>
          <t>アジェンダ(補)／広報・Flyer／Zoom webinar設定／Webサイト／各種リスト出力(リソース・研究部)／会議参加証明</t>
        </is>
      </c>
      <c r="J16" s="129" t="inlineStr">
        <is>
          <t>撮影（写真・動画）を主担当（児玉 9/4）。加えて公邸レセプションの設営補助、Zoom/AI翻訳の現地一次対応、参加者誘導</t>
        </is>
      </c>
      <c r="K16" s="129" t="inlineStr">
        <is>
          <t>本人承諾済み（9/4）。26日夜in/30日夜outで確定（荒木田 9/7）。フライト・Hotel Mi（空きなければ周辺ホテル）を至急手配。30日は朝チェックアウトのため荷物預け先が必要。10月はVR準備あり</t>
        </is>
      </c>
    </row>
    <row r="17" ht="39" customHeight="1" s="123">
      <c r="A17" s="128" t="n">
        <v>13</v>
      </c>
      <c r="B17" s="129" t="inlineStr">
        <is>
          <t>塩見 有美</t>
        </is>
      </c>
      <c r="C17" s="128" t="inlineStr">
        <is>
          <t>SHIOMI Yumi</t>
        </is>
      </c>
      <c r="D17" s="129" t="inlineStr">
        <is>
          <t>主任研究員</t>
        </is>
      </c>
      <c r="E17" s="130" t="inlineStr">
        <is>
          <t>確定（本人承諾 9/4、手配未）</t>
        </is>
      </c>
      <c r="F17" s="129" t="inlineStr">
        <is>
          <t>10/26 夕方〜夜着（便未定・要手配。夕方着の便を推奨）</t>
        </is>
      </c>
      <c r="G17" s="129" t="inlineStr">
        <is>
          <t>10/30 夜発（便未定・要手配。閉会16:50後）</t>
        </is>
      </c>
      <c r="H17" s="128" t="inlineStr">
        <is>
          <t>Hotel Mi Bencoolen 10/26-30（4泊）→要手配。Miに空きがなければ周辺ホテルを追加手配（荒木田 9/7）</t>
        </is>
      </c>
      <c r="I17" s="129" t="inlineStr">
        <is>
          <t>（デマケ上の現地担当なし）</t>
        </is>
      </c>
      <c r="J17" s="129" t="inlineStr">
        <is>
          <t>セッション記録・サマリー補助（2023年はS1サマリー担当）、中央アジア/ウズベキスタン対応、参加者誘導</t>
        </is>
      </c>
      <c r="K17" s="129" t="inlineStr">
        <is>
          <t>本人承諾済み（9/4）。26日夜in/30日夜outで確定（荒木田 9/7）。フライト・Hotel Mi（空きなければ周辺ホテル）を至急手配。28日朝の事務局・受付デスク設営、記録・サマリー補助、参加者誘導</t>
        </is>
      </c>
    </row>
    <row r="18" ht="39" customHeight="1" s="123">
      <c r="A18" s="128" t="n">
        <v>14</v>
      </c>
      <c r="B18" s="129" t="inlineStr">
        <is>
          <t>森口　芳隆</t>
        </is>
      </c>
      <c r="C18" s="128" t="inlineStr">
        <is>
          <t>MORIGUCHI Yoshitaka</t>
        </is>
      </c>
      <c r="D18" s="129" t="inlineStr">
        <is>
          <t>（広報）</t>
        </is>
      </c>
      <c r="E18" s="132" t="inlineStr">
        <is>
          <t>見込（例年SC担当で現地参加）</t>
        </is>
      </c>
      <c r="F18" s="129" t="inlineStr">
        <is>
          <t>未手配（要手配）</t>
        </is>
      </c>
      <c r="G18" s="129" t="inlineStr">
        <is>
          <t>未手配（要手配）</t>
        </is>
      </c>
      <c r="H18" s="129" t="inlineStr">
        <is>
          <t>未手配（Dorsett周辺ホテル可）</t>
        </is>
      </c>
      <c r="I18" s="129" t="inlineStr">
        <is>
          <t>SC議案・進行案／会計報告／SCサマリー（管理部）、広報（記者クラブ）</t>
        </is>
      </c>
      <c r="J18" s="129" t="inlineStr">
        <is>
          <t>SC担当として現地参加（管理部長は例年SC担当、9/4 宮木・藤中確認）。SC議案・進行・会計報告、内閣府（議長）との調整補佐。広報（内閣府・県庁記者クラブへのプレスリリース、神戸新聞記者への案内）</t>
        </is>
      </c>
      <c r="K18" s="129" t="inlineStr">
        <is>
          <t>9/4打合せで現地参加見込に変更。フライト・宿泊は未手配 → 至急手配。SC資料（シナリオ・議案）は藤中・徳永と作成中、今月中に目処</t>
        </is>
      </c>
    </row>
    <row r="19" ht="51.75" customHeight="1" s="123">
      <c r="A19" s="128" t="n">
        <v>15</v>
      </c>
      <c r="B19" s="129" t="inlineStr">
        <is>
          <t>中村</t>
        </is>
      </c>
      <c r="C19" s="128" t="inlineStr">
        <is>
          <t>NAKAMURA</t>
        </is>
      </c>
      <c r="D19" s="129" t="inlineStr">
        <is>
          <t>（研究部）</t>
        </is>
      </c>
      <c r="E19" s="133" t="inlineStr">
        <is>
          <t>国内サポート（確定）</t>
        </is>
      </c>
      <c r="F19" s="128" t="inlineStr">
        <is>
          <t>―</t>
        </is>
      </c>
      <c r="G19" s="128" t="inlineStr">
        <is>
          <t>―</t>
        </is>
      </c>
      <c r="H19" s="129" t="inlineStr">
        <is>
          <t>―（神戸）</t>
        </is>
      </c>
      <c r="I19" s="129" t="inlineStr">
        <is>
          <t>（デマケ8/6版に記載なし→追記要）</t>
        </is>
      </c>
      <c r="J19" s="129" t="inlineStr">
        <is>
          <t>【日本側】Zoom Webinar/Meetingの設定・ホスト、AI通訳ツールの設定と会期中の監視、オンラインQ&amp;A・コメント欄の確認。会期前にリハーサル（2025年と同じ体制。ACDR2025動態表: Setup Webinar・Webinar Rehearsal・Check Q&amp;A）</t>
        </is>
      </c>
      <c r="K19" s="129" t="inlineStr">
        <is>
          <t>荒木田 9/4指示。時差: 神戸はシンガポールより1時間進む（SGT 09:30 = JST 10:30）</t>
        </is>
      </c>
    </row>
    <row r="20" ht="51.75" customHeight="1" s="123">
      <c r="A20" s="128" t="n">
        <v>16</v>
      </c>
      <c r="B20" s="129" t="inlineStr">
        <is>
          <t>山口</t>
        </is>
      </c>
      <c r="C20" s="128" t="inlineStr">
        <is>
          <t>YAMAGUCHI</t>
        </is>
      </c>
      <c r="D20" s="129" t="inlineStr">
        <is>
          <t>（研究部）</t>
        </is>
      </c>
      <c r="E20" s="133" t="inlineStr">
        <is>
          <t>国内サポート（確定）</t>
        </is>
      </c>
      <c r="F20" s="128" t="inlineStr">
        <is>
          <t>―</t>
        </is>
      </c>
      <c r="G20" s="128" t="inlineStr">
        <is>
          <t>―</t>
        </is>
      </c>
      <c r="H20" s="129" t="inlineStr">
        <is>
          <t>―（神戸）</t>
        </is>
      </c>
      <c r="I20" s="129" t="inlineStr">
        <is>
          <t>（デマケ8/6版に記載なし→追記要）</t>
        </is>
      </c>
      <c r="J20" s="129" t="inlineStr">
        <is>
          <t>【日本側】ACDRセッションの録画（Webinar/Zoomクラウド録画＋ローカル保存）、オンライン参加者の質疑対応（Q&amp;A取次・チャット回答）、録画データの整理・保存</t>
        </is>
      </c>
      <c r="K20" s="129" t="inlineStr">
        <is>
          <t>荒木田 9/4指示。2025年は現地でPhoto・CAM担当だったが2026年は日本側。オンライン質疑は中村（Q&amp;A確認）と分担</t>
        </is>
      </c>
    </row>
    <row r="21" ht="26.25" customHeight="1" s="123">
      <c r="A21" s="128" t="n">
        <v>17</v>
      </c>
      <c r="B21" s="129" t="inlineStr">
        <is>
          <t>伊達 孝</t>
        </is>
      </c>
      <c r="C21" s="128" t="inlineStr">
        <is>
          <t>DATE Takashi</t>
        </is>
      </c>
      <c r="D21" s="128" t="inlineStr">
        <is>
          <t>―</t>
        </is>
      </c>
      <c r="E21" s="133" t="inlineStr">
        <is>
          <t>国内サポート</t>
        </is>
      </c>
      <c r="F21" s="128" t="inlineStr">
        <is>
          <t>―</t>
        </is>
      </c>
      <c r="G21" s="128" t="inlineStr">
        <is>
          <t>―</t>
        </is>
      </c>
      <c r="H21" s="128" t="inlineStr">
        <is>
          <t>―</t>
        </is>
      </c>
      <c r="I21" s="128" t="inlineStr">
        <is>
          <t>PC等機材サポート／Webサイトサポート</t>
        </is>
      </c>
      <c r="J21" s="129" t="inlineStr">
        <is>
          <t>神戸からのリモート支援（Web更新、Highlights発行）</t>
        </is>
      </c>
      <c r="K21" s="128" t="inlineStr">
        <is>
          <t>2025年はWebinar設定・ホスト/録画確認を担当。中村のバックアップ候補（要確認）</t>
        </is>
      </c>
    </row>
    <row r="22" ht="39" customHeight="1" s="123">
      <c r="A22" s="128" t="n">
        <v>18</v>
      </c>
      <c r="B22" s="129" t="inlineStr">
        <is>
          <t>寺坂　佳津子</t>
        </is>
      </c>
      <c r="C22" s="128" t="inlineStr">
        <is>
          <t>TERASAKA Kazuko</t>
        </is>
      </c>
      <c r="D22" s="129" t="inlineStr">
        <is>
          <t>アシスタント</t>
        </is>
      </c>
      <c r="E22" s="133" t="inlineStr">
        <is>
          <t>国内（オンライン登録）</t>
        </is>
      </c>
      <c r="F22" s="128" t="inlineStr">
        <is>
          <t>―</t>
        </is>
      </c>
      <c r="G22" s="128" t="inlineStr">
        <is>
          <t>―</t>
        </is>
      </c>
      <c r="H22" s="128" t="inlineStr">
        <is>
          <t>―</t>
        </is>
      </c>
      <c r="I22" s="129" t="inlineStr">
        <is>
          <t>参加者情報・フライト・宿泊・送迎のWeb登録・リスト出力(メンバー国)／VISA</t>
        </is>
      </c>
      <c r="J22" s="129" t="inlineStr">
        <is>
          <t>神戸でマスターリスト管理・リスト出力</t>
        </is>
      </c>
      <c r="K22" s="129" t="inlineStr">
        <is>
          <t>2025年は録画（日英2台）・ローカル保存を担当。山口のバックアップ候補（要確認）</t>
        </is>
      </c>
    </row>
    <row r="23" ht="26.25" customHeight="1" s="123">
      <c r="A23" s="128" t="n">
        <v>19</v>
      </c>
      <c r="B23" s="129" t="inlineStr">
        <is>
          <t>田原 麻衣</t>
        </is>
      </c>
      <c r="C23" s="128" t="inlineStr">
        <is>
          <t>TAHARA Mai</t>
        </is>
      </c>
      <c r="D23" s="129" t="inlineStr">
        <is>
          <t>管理部</t>
        </is>
      </c>
      <c r="E23" s="133" t="inlineStr">
        <is>
          <t>国内（オンライン登録）</t>
        </is>
      </c>
      <c r="F23" s="128" t="inlineStr">
        <is>
          <t>―</t>
        </is>
      </c>
      <c r="G23" s="128" t="inlineStr">
        <is>
          <t>―</t>
        </is>
      </c>
      <c r="H23" s="128" t="inlineStr">
        <is>
          <t>―</t>
        </is>
      </c>
      <c r="I23" s="129" t="inlineStr">
        <is>
          <t>管理部（役員対応）</t>
        </is>
      </c>
      <c r="J23" s="129" t="inlineStr">
        <is>
          <t>神戸で管理部業務</t>
        </is>
      </c>
      <c r="K23" s="128" t="inlineStr">
        <is>
          <t>―</t>
        </is>
      </c>
    </row>
    <row r="24" ht="39" customHeight="1" s="123">
      <c r="A24" s="128" t="n">
        <v>20</v>
      </c>
      <c r="B24" s="129" t="inlineStr">
        <is>
          <t>立部　知保里</t>
        </is>
      </c>
      <c r="C24" s="128" t="inlineStr">
        <is>
          <t>TATEBE Chihori</t>
        </is>
      </c>
      <c r="D24" s="129" t="inlineStr">
        <is>
          <t>研究員</t>
        </is>
      </c>
      <c r="E24" s="133" t="inlineStr">
        <is>
          <t>国内（オンライン登録）</t>
        </is>
      </c>
      <c r="F24" s="128" t="inlineStr">
        <is>
          <t>―</t>
        </is>
      </c>
      <c r="G24" s="128" t="inlineStr">
        <is>
          <t>―</t>
        </is>
      </c>
      <c r="H24" s="128" t="inlineStr">
        <is>
          <t>―</t>
        </is>
      </c>
      <c r="I24" s="129" t="n"/>
      <c r="J24" s="129" t="inlineStr">
        <is>
          <t>神戸</t>
        </is>
      </c>
      <c r="K24" s="129" t="inlineStr">
        <is>
          <t>トルコ研修調整で多忙（児玉 5/18）</t>
        </is>
      </c>
    </row>
    <row r="26" ht="14.25" customHeight="1" s="123">
      <c r="B26" s="134" t="inlineStr">
        <is>
          <t>集計（自動計算）</t>
        </is>
      </c>
    </row>
    <row r="27" ht="14.25" customHeight="1" s="123">
      <c r="B27" s="135" t="inlineStr">
        <is>
          <t>現地参加 確定（フライト要確認含む）</t>
        </is>
      </c>
      <c r="E27" s="134">
        <f>COUNTIF(E5:E24,"確定*")</f>
        <v/>
      </c>
    </row>
    <row r="28" ht="14.25" customHeight="1" s="123">
      <c r="B28" s="135" t="inlineStr">
        <is>
          <t>見込・候補（手配未了）</t>
        </is>
      </c>
      <c r="E28" s="134">
        <f>COUNTIF(E5:E24,"見込*")+COUNTIF(E5:E24,"候補*")</f>
        <v/>
      </c>
    </row>
    <row r="29" ht="14.25" customHeight="1" s="123">
      <c r="B29" s="135" t="inlineStr">
        <is>
          <t>未定</t>
        </is>
      </c>
      <c r="E29" s="134">
        <f>COUNTIF(E5:E24,"未定*")</f>
        <v/>
      </c>
    </row>
    <row r="30" ht="14.25" customHeight="1" s="123">
      <c r="B30" s="135" t="inlineStr">
        <is>
          <t>うち役員（三浦・北本・宮木）＝運営要員から除く</t>
        </is>
      </c>
      <c r="E30" s="136" t="n">
        <v>3</v>
      </c>
    </row>
    <row r="31" ht="14.25" customHeight="1" s="123">
      <c r="B31" s="135" t="inlineStr">
        <is>
          <t>実働運営要員（確定＋見込(Mizan)−役員）</t>
        </is>
      </c>
      <c r="E31" s="134">
        <f>E27+COUNTIF(E5:E24,"見込*")-E30</f>
        <v/>
      </c>
      <c r="F31" s="137" t="inlineStr">
        <is>
          <t>← ACDR2023（ドゥシャンベ）の現地運営要員は役員（小川・笹原）を除き8名（堀池・藤中・田中・荒木田・児玉・塩見・Potutan・吉田）。今回は同数だが、公邸レセプション・Gala・Parade・SIDEX連携が加わる</t>
        </is>
      </c>
    </row>
    <row r="32" ht="14.25" customHeight="1" s="123">
      <c r="B32" s="135" t="inlineStr">
        <is>
          <t>（参考）藤本・塩見を除く場合</t>
        </is>
      </c>
      <c r="E32" s="136">
        <f>E31-2</f>
        <v/>
      </c>
      <c r="F32" s="138" t="inlineStr">
        <is>
          <t>← 両名は9/4に本人承諾済みのため、E31（実働運営要員）に含めている</t>
        </is>
      </c>
    </row>
    <row r="33" ht="14.25" customHeight="1" s="123">
      <c r="B33" s="135" t="inlineStr">
        <is>
          <t>日本側サポート（中村・山口 確定、寺坂・伊達 仮置き）</t>
        </is>
      </c>
      <c r="E33" s="136">
        <f>COUNTIF(E5:E24,"国内サポート（確定）")</f>
        <v/>
      </c>
    </row>
    <row r="34" ht="14.25" customHeight="1" s="123">
      <c r="B34" s="134" t="inlineStr">
        <is>
          <t>凡例</t>
        </is>
      </c>
    </row>
    <row r="35" ht="14.25" customHeight="1" s="123">
      <c r="B35" s="139" t="n"/>
      <c r="C35" s="140" t="inlineStr">
        <is>
          <t>確定（航空券発券済み／確定情報あり）</t>
        </is>
      </c>
    </row>
    <row r="36" ht="14.25" customHeight="1" s="123">
      <c r="B36" s="141" t="n"/>
      <c r="C36" s="140" t="inlineStr">
        <is>
          <t>見込・候補（本人可または担当割当済みだが手配未了）</t>
        </is>
      </c>
    </row>
    <row r="37" ht="14.25" customHeight="1" s="123">
      <c r="B37" s="142" t="n"/>
      <c r="C37" s="140" t="inlineStr">
        <is>
          <t>未定（打診中・根拠不足）</t>
        </is>
      </c>
    </row>
    <row r="38" ht="14.25" customHeight="1" s="123">
      <c r="B38" s="143" t="n"/>
      <c r="C38" s="140" t="inlineStr">
        <is>
          <t>国内・オンライン参加</t>
        </is>
      </c>
    </row>
  </sheetData>
  <mergeCells count="1">
    <mergeCell ref="A2:L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E13" activeCellId="0" sqref="E13"/>
    </sheetView>
  </sheetViews>
  <sheetFormatPr baseColWidth="8" defaultColWidth="8.55859375" defaultRowHeight="14.25" zeroHeight="0" outlineLevelRow="0"/>
  <cols>
    <col width="14" customWidth="1" style="144" min="1" max="1"/>
    <col width="16" customWidth="1" style="122" min="2" max="19"/>
  </cols>
  <sheetData>
    <row r="1" ht="15" customHeight="1" s="123">
      <c r="A1" s="145" t="inlineStr">
        <is>
          <t>ACDR2026 動態表（日別 AM/PM）　as of 24 Sep 2026 v2_7</t>
        </is>
      </c>
    </row>
    <row r="2" ht="14.25" customHeight="1" s="123">
      <c r="G2" s="146" t="inlineStr">
        <is>
          <t>10/26夜: エリック長官夕食会（宮木・北本・三浦・児玉、調整中）</t>
        </is>
      </c>
    </row>
    <row r="3" ht="15" customHeight="1" s="123">
      <c r="A3" s="147" t="inlineStr">
        <is>
          <t>Staff</t>
        </is>
      </c>
      <c r="B3" s="148" t="inlineStr">
        <is>
          <t>10/24(土)</t>
        </is>
      </c>
      <c r="D3" s="148" t="inlineStr">
        <is>
          <t>10/25(日)</t>
        </is>
      </c>
      <c r="F3" s="148" t="inlineStr">
        <is>
          <t>10/26(月)</t>
        </is>
      </c>
      <c r="H3" s="148" t="inlineStr">
        <is>
          <t>10/27(火)</t>
        </is>
      </c>
      <c r="J3" s="148" t="inlineStr">
        <is>
          <t>10/28(水)</t>
        </is>
      </c>
      <c r="L3" s="148" t="inlineStr">
        <is>
          <t>10/29(木)</t>
        </is>
      </c>
      <c r="N3" s="148" t="inlineStr">
        <is>
          <t>10/30(金)</t>
        </is>
      </c>
      <c r="P3" s="148" t="inlineStr">
        <is>
          <t>10/31(土)</t>
        </is>
      </c>
      <c r="R3" s="148" t="inlineStr">
        <is>
          <t>11/1(日)</t>
        </is>
      </c>
    </row>
    <row r="4" ht="14.25" customHeight="1" s="123">
      <c r="B4" s="149" t="inlineStr">
        <is>
          <t>AM</t>
        </is>
      </c>
      <c r="C4" s="149" t="inlineStr">
        <is>
          <t>PM</t>
        </is>
      </c>
      <c r="D4" s="149" t="inlineStr">
        <is>
          <t>AM</t>
        </is>
      </c>
      <c r="E4" s="149" t="inlineStr">
        <is>
          <t>PM</t>
        </is>
      </c>
      <c r="F4" s="149" t="inlineStr">
        <is>
          <t>AM</t>
        </is>
      </c>
      <c r="G4" s="149" t="inlineStr">
        <is>
          <t>PM</t>
        </is>
      </c>
      <c r="H4" s="149" t="inlineStr">
        <is>
          <t>AM</t>
        </is>
      </c>
      <c r="I4" s="149" t="inlineStr">
        <is>
          <t>PM</t>
        </is>
      </c>
      <c r="J4" s="149" t="inlineStr">
        <is>
          <t>AM</t>
        </is>
      </c>
      <c r="K4" s="149" t="inlineStr">
        <is>
          <t>PM</t>
        </is>
      </c>
      <c r="L4" s="149" t="inlineStr">
        <is>
          <t>AM</t>
        </is>
      </c>
      <c r="M4" s="149" t="inlineStr">
        <is>
          <t>PM</t>
        </is>
      </c>
      <c r="N4" s="149" t="inlineStr">
        <is>
          <t>AM</t>
        </is>
      </c>
      <c r="O4" s="149" t="inlineStr">
        <is>
          <t>PM</t>
        </is>
      </c>
      <c r="P4" s="149" t="inlineStr">
        <is>
          <t>AM</t>
        </is>
      </c>
      <c r="Q4" s="149" t="inlineStr">
        <is>
          <t>PM</t>
        </is>
      </c>
      <c r="R4" s="149" t="inlineStr">
        <is>
          <t>AM</t>
        </is>
      </c>
      <c r="S4" s="149" t="inlineStr">
        <is>
          <t>PM</t>
        </is>
      </c>
    </row>
    <row r="5" ht="48" customHeight="1" s="123">
      <c r="A5" s="147" t="inlineStr">
        <is>
          <t>PROGRAM</t>
        </is>
      </c>
      <c r="B5" s="150" t="n"/>
      <c r="C5" s="150" t="n"/>
      <c r="D5" s="150" t="n"/>
      <c r="E5" s="150" t="n"/>
      <c r="F5" s="151" t="inlineStr">
        <is>
          <t>参加者到着(Dorsett)</t>
        </is>
      </c>
      <c r="G5" s="151" t="inlineStr">
        <is>
          <t>参加者到着(〜深夜)／Day-1準備</t>
        </is>
      </c>
      <c r="H5" s="151" t="inlineStr">
        <is>
          <t>参加者到着／会場・名札準備</t>
        </is>
      </c>
      <c r="I5" s="152" t="inlineStr">
        <is>
          <t>16:00設営→19:00-21:00 大使公邸レセプション</t>
        </is>
      </c>
      <c r="J5" s="152" t="inlineStr">
        <is>
          <t>07:30会場テスト／10:00 Joint Opening／VIP Tour</t>
        </is>
      </c>
      <c r="K5" s="152" t="inlineStr">
        <is>
          <t>12:45 ACDR Opening／13:00 Roundtable／15:45 SC／18:30 Gala</t>
        </is>
      </c>
      <c r="L5" s="152" t="inlineStr">
        <is>
          <t>09:30 Technical Session／11:45 Closing</t>
        </is>
      </c>
      <c r="M5" s="152" t="inlineStr">
        <is>
          <t>13:00〜 Field Trip(CDA)／18:30 SCDF Parade &amp; Dinner</t>
        </is>
      </c>
      <c r="N5" s="152" t="inlineStr">
        <is>
          <t>09:00 SIDEX Keynote/Panel1</t>
        </is>
      </c>
      <c r="O5" s="152" t="inlineStr">
        <is>
          <t>13:50 Exhibition Tour／15:00 Panel2／16:30閉会／夜:出発</t>
        </is>
      </c>
      <c r="P5" s="151" t="inlineStr">
        <is>
          <t>参加者出発(見送り)</t>
        </is>
      </c>
      <c r="Q5" s="151" t="inlineStr">
        <is>
          <t>参加者出発</t>
        </is>
      </c>
      <c r="R5" s="150" t="n"/>
      <c r="S5" s="150" t="n"/>
    </row>
    <row r="6" ht="39.75" customHeight="1" s="123">
      <c r="A6" s="153">
        <f>人員一覧・判定!B5</f>
        <v/>
      </c>
      <c r="B6" s="154" t="n"/>
      <c r="C6" s="154" t="n"/>
      <c r="D6" s="154" t="n"/>
      <c r="E6" s="154" t="n"/>
      <c r="F6" s="155" t="inlineStr">
        <is>
          <t>FUK-SIN(SQ655)</t>
        </is>
      </c>
      <c r="G6" s="156" t="inlineStr">
        <is>
          <t>SIN着15:00/Dorsett/夜:エリック長官夕食会(調整中)</t>
        </is>
      </c>
      <c r="H6" s="157" t="inlineStr">
        <is>
          <t>会場下見(全員)/資料確認</t>
        </is>
      </c>
      <c r="I6" s="158" t="inlineStr">
        <is>
          <t>レセプション(VIP)</t>
        </is>
      </c>
      <c r="J6" s="159" t="inlineStr">
        <is>
          <t>Joint Opening/VIP Tour</t>
        </is>
      </c>
      <c r="K6" s="160" t="inlineStr">
        <is>
          <t>ACDR Opening挨拶/RT/SC/Gala</t>
        </is>
      </c>
      <c r="L6" s="159" t="inlineStr">
        <is>
          <t>Tech Session/Closing</t>
        </is>
      </c>
      <c r="M6" s="160" t="inlineStr">
        <is>
          <t>Field Trip/Parade Dinner</t>
        </is>
      </c>
      <c r="N6" s="159" t="inlineStr">
        <is>
          <t>SIDEX Keynote</t>
        </is>
      </c>
      <c r="O6" s="156" t="inlineStr">
        <is>
          <t>Panel2/閉会</t>
        </is>
      </c>
      <c r="P6" s="155" t="inlineStr">
        <is>
          <t>SIN-FUK(SQ656 01:20)</t>
        </is>
      </c>
      <c r="Q6" s="154" t="n"/>
      <c r="R6" s="154" t="n"/>
      <c r="S6" s="154" t="n"/>
    </row>
    <row r="7" ht="39.75" customHeight="1" s="123">
      <c r="A7" s="153">
        <f>人員一覧・判定!B6</f>
        <v/>
      </c>
      <c r="B7" s="154" t="n"/>
      <c r="C7" s="154" t="n"/>
      <c r="D7" s="154" t="n"/>
      <c r="E7" s="154" t="n"/>
      <c r="F7" s="155" t="inlineStr">
        <is>
          <t>NRT-SIN(SQ637)</t>
        </is>
      </c>
      <c r="G7" s="156" t="inlineStr">
        <is>
          <t>SIN着16:30/Dorsett/夜:エリック長官夕食会(調整中)</t>
        </is>
      </c>
      <c r="H7" s="157" t="inlineStr">
        <is>
          <t>会場下見(全員)→ブリーフィング(荒木田)</t>
        </is>
      </c>
      <c r="I7" s="158" t="inlineStr">
        <is>
          <t>レセプション(VIP)</t>
        </is>
      </c>
      <c r="J7" s="159" t="inlineStr">
        <is>
          <t>Joint Opening/VIP Tour</t>
        </is>
      </c>
      <c r="K7" s="160" t="inlineStr">
        <is>
          <t>RT/SC/Gala</t>
        </is>
      </c>
      <c r="L7" s="159" t="inlineStr">
        <is>
          <t>Tech Session/Closing</t>
        </is>
      </c>
      <c r="M7" s="160" t="inlineStr">
        <is>
          <t>Field Trip/Parade Dinner</t>
        </is>
      </c>
      <c r="N7" s="159" t="inlineStr">
        <is>
          <t>SIDEX Keynote</t>
        </is>
      </c>
      <c r="O7" s="155" t="inlineStr">
        <is>
          <t>Panel2/閉会/SIN-NRT(SQ638 23:55)</t>
        </is>
      </c>
      <c r="P7" s="159" t="inlineStr">
        <is>
          <t>NRT着07:30</t>
        </is>
      </c>
      <c r="Q7" s="154" t="n"/>
      <c r="R7" s="154" t="n"/>
      <c r="S7" s="154" t="n"/>
    </row>
    <row r="8" ht="39.75" customHeight="1" s="123">
      <c r="A8" s="153">
        <f>人員一覧・判定!B7</f>
        <v/>
      </c>
      <c r="B8" s="154" t="n"/>
      <c r="C8" s="154" t="n"/>
      <c r="D8" s="154" t="n"/>
      <c r="E8" s="155" t="inlineStr">
        <is>
          <t>ITM-NRT-SIN(NH2178/NH803) 23:40着</t>
        </is>
      </c>
      <c r="F8" s="157" t="inlineStr">
        <is>
          <t>内閣府到着対応準備/COSEM調整</t>
        </is>
      </c>
      <c r="G8" s="161" t="inlineStr">
        <is>
          <t>内閣府到着確認(出迎え不要・公用車)/COSEM調整/夜:エリック長官夕食会(調整中)</t>
        </is>
      </c>
      <c r="H8" s="157" t="inlineStr">
        <is>
          <t>会場下見(全員)→COSEM・内閣府調整</t>
        </is>
      </c>
      <c r="I8" s="158" t="inlineStr">
        <is>
          <t>レセプション(内閣府随行・大使対応)</t>
        </is>
      </c>
      <c r="J8" s="162" t="inlineStr">
        <is>
          <t>事務局・受付設営/Opening/VIP Tour(内閣府に同行)</t>
        </is>
      </c>
      <c r="K8" s="160" t="inlineStr">
        <is>
          <t>ACDR Opening/RT/SC進行補佐/Gala</t>
        </is>
      </c>
      <c r="L8" s="159" t="inlineStr">
        <is>
          <t>Tech Session/Closing</t>
        </is>
      </c>
      <c r="M8" s="160" t="inlineStr">
        <is>
          <t>Field Trip/Parade Dinner</t>
        </is>
      </c>
      <c r="N8" s="159" t="inlineStr">
        <is>
          <t>SIDEX Keynote(内閣府随行)</t>
        </is>
      </c>
      <c r="O8" s="156" t="inlineStr">
        <is>
          <t>Panel2/閉会</t>
        </is>
      </c>
      <c r="P8" s="155" t="inlineStr">
        <is>
          <t>SIN-NRT(NH802 06:35)</t>
        </is>
      </c>
      <c r="Q8" s="154" t="n"/>
      <c r="R8" s="154" t="n"/>
      <c r="S8" s="154" t="n"/>
    </row>
    <row r="9" ht="39.75" customHeight="1" s="123">
      <c r="A9" s="153">
        <f>人員一覧・判定!B8</f>
        <v/>
      </c>
      <c r="B9" s="154" t="n"/>
      <c r="C9" s="154" t="n"/>
      <c r="D9" s="154" t="n"/>
      <c r="E9" s="155" t="inlineStr">
        <is>
          <t>ITM-NRT-SIN(NH2178/NH803) 23:40着</t>
        </is>
      </c>
      <c r="F9" s="156" t="inlineStr">
        <is>
          <t>Dorsett受付準備/COSEM打合せ</t>
        </is>
      </c>
      <c r="G9" s="163" t="inlineStr">
        <is>
          <t>Dorsettフロント対応(到着ピーク)/接続テスト①/夜:エリック長官夕食会(調整中)</t>
        </is>
      </c>
      <c r="H9" s="158" t="inlineStr">
        <is>
          <t>会場下見(全員)→公邸・ケータリング最終確認</t>
        </is>
      </c>
      <c r="I9" s="156" t="inlineStr">
        <is>
          <t>16:00公邸設営/MC・進行</t>
        </is>
      </c>
      <c r="J9" s="159" t="inlineStr">
        <is>
          <t>07:30会場テスト/事務局設営/Opening/COSEM調整</t>
        </is>
      </c>
      <c r="K9" s="160" t="inlineStr">
        <is>
          <t>RT/SC/Gala引率</t>
        </is>
      </c>
      <c r="L9" s="159" t="inlineStr">
        <is>
          <t>Tech Session/Closing</t>
        </is>
      </c>
      <c r="M9" s="158" t="inlineStr">
        <is>
          <t>事務局撤収(藤中と)/Parade Dinner</t>
        </is>
      </c>
      <c r="N9" s="159" t="inlineStr">
        <is>
          <t>SIDEX Keynote</t>
        </is>
      </c>
      <c r="O9" s="156" t="inlineStr">
        <is>
          <t>Exhibition Tour/Panel2/閉会</t>
        </is>
      </c>
      <c r="P9" s="164" t="inlineStr">
        <is>
          <t>SIN-NRT-ITM(NH802 06:35)</t>
        </is>
      </c>
      <c r="Q9" s="154" t="n"/>
      <c r="R9" s="154" t="n"/>
      <c r="S9" s="154" t="n"/>
    </row>
    <row r="10" ht="39.75" customHeight="1" s="123">
      <c r="A10" s="165">
        <f>人員一覧・判定!B9</f>
        <v/>
      </c>
      <c r="B10" s="154" t="n"/>
      <c r="C10" s="154" t="n"/>
      <c r="D10" s="154" t="n"/>
      <c r="E10" s="154" t="n"/>
      <c r="F10" s="156" t="inlineStr">
        <is>
          <t>SIN着06:55(NH843)/会場・機材確認</t>
        </is>
      </c>
      <c r="G10" s="163" t="inlineStr">
        <is>
          <t>Dorsettフロント対応/内閣府到着対応/日本側(中村・山口)とZoom・AI通訳接続テスト①(JST 15-17)</t>
        </is>
      </c>
      <c r="H10" s="157" t="inlineStr">
        <is>
          <t>会場下見引率(全員)→北本ブリーフ/持込PCで接続テスト②</t>
        </is>
      </c>
      <c r="I10" s="158" t="inlineStr">
        <is>
          <t>日本側と接続テスト②(Webinar・AI通訳・録画, JST 14-17)→公邸設営/レセプション運営</t>
        </is>
      </c>
      <c r="J10" s="159" t="inlineStr">
        <is>
          <t>07:30会場・NWテスト/Zoom/Opening進行</t>
        </is>
      </c>
      <c r="K10" s="160" t="inlineStr">
        <is>
          <t>ACDR Opening進行/RT運営(AV)/SC/Gala</t>
        </is>
      </c>
      <c r="L10" s="159" t="inlineStr">
        <is>
          <t>Tech Session(AV・Zoom)/Summary/Closing進行</t>
        </is>
      </c>
      <c r="M10" s="160" t="inlineStr">
        <is>
          <t>Field Trip引率</t>
        </is>
      </c>
      <c r="N10" s="159" t="inlineStr">
        <is>
          <t>SIDEX Keynote(リソース対応)</t>
        </is>
      </c>
      <c r="O10" s="155" t="inlineStr">
        <is>
          <t>Exhibition Tour/Panel2/閉会/SIN-HND(NH844 22:20)</t>
        </is>
      </c>
      <c r="P10" s="156" t="inlineStr">
        <is>
          <t>HND着05:55</t>
        </is>
      </c>
      <c r="Q10" s="154" t="n"/>
      <c r="R10" s="154" t="n"/>
      <c r="S10" s="154" t="n"/>
    </row>
    <row r="11" ht="39.75" customHeight="1" s="123">
      <c r="A11" s="165">
        <f>人員一覧・判定!B10</f>
        <v/>
      </c>
      <c r="B11" s="154" t="n"/>
      <c r="C11" s="154" t="n"/>
      <c r="D11" s="155" t="inlineStr">
        <is>
          <t>GVA-HEL(AY1534 19:05発)</t>
        </is>
      </c>
      <c r="E11" s="155" t="inlineStr">
        <is>
          <t>HEL-SIN(AY131 00:05発)</t>
        </is>
      </c>
      <c r="F11" s="157" t="inlineStr">
        <is>
          <t>フライト移動中(AY131)</t>
        </is>
      </c>
      <c r="G11" s="163" t="inlineStr">
        <is>
          <t>SIN着18:40→Hotel Mi/夜:参加者対応</t>
        </is>
      </c>
      <c r="H11" s="162" t="inlineStr">
        <is>
          <t>会場下見(全員)→公邸・ケータリング最終確認</t>
        </is>
      </c>
      <c r="I11" s="166" t="inlineStr">
        <is>
          <t>16:00公邸設営/受付/進行補佐</t>
        </is>
      </c>
      <c r="J11" s="159" t="inlineStr">
        <is>
          <t>Opening/参加者誘導</t>
        </is>
      </c>
      <c r="K11" s="160" t="inlineStr">
        <is>
          <t>RT運営(PIC)/SC/Gala引率</t>
        </is>
      </c>
      <c r="L11" s="159" t="inlineStr">
        <is>
          <t>Tech Session(記録)</t>
        </is>
      </c>
      <c r="M11" s="160" t="inlineStr">
        <is>
          <t>Field Trip引率/ホテル→EXPO誘導(パレード)/Parade Dinner</t>
        </is>
      </c>
      <c r="N11" s="159" t="inlineStr">
        <is>
          <t>Dorsett→EXPO誘導/SIDEX Keynote</t>
        </is>
      </c>
      <c r="O11" s="155" t="inlineStr">
        <is>
          <t>Panel2/閉会/SIN-HEL(AY132 22:05)</t>
        </is>
      </c>
      <c r="P11" s="156" t="inlineStr">
        <is>
          <t>HEL経由 GVA着10:00</t>
        </is>
      </c>
      <c r="Q11" s="154" t="n"/>
      <c r="R11" s="154" t="n"/>
      <c r="S11" s="154" t="n"/>
    </row>
    <row r="12" ht="39.75" customHeight="1" s="123">
      <c r="A12" s="165">
        <f>人員一覧・判定!B11</f>
        <v/>
      </c>
      <c r="B12" s="154" t="n"/>
      <c r="C12" s="154" t="n"/>
      <c r="D12" s="155" t="inlineStr">
        <is>
          <t>KIX-SIN(TR819)</t>
        </is>
      </c>
      <c r="E12" s="156" t="inlineStr">
        <is>
          <t>SIN着17:30/Hotel Mi</t>
        </is>
      </c>
      <c r="F12" s="163" t="inlineStr">
        <is>
          <t>COSEM打合せ/Dorsett受付準備</t>
        </is>
      </c>
      <c r="G12" s="163" t="inlineStr">
        <is>
          <t>Dorsettフロント対応(到着ピーク)</t>
        </is>
      </c>
      <c r="H12" s="163" t="inlineStr">
        <is>
          <t>Dorsett受付(下見は交代で)/名札セット</t>
        </is>
      </c>
      <c r="I12" s="166" t="inlineStr">
        <is>
          <t>公邸受付/名札配布</t>
        </is>
      </c>
      <c r="J12" s="166" t="inlineStr">
        <is>
          <t>受付デスク(Peridot)</t>
        </is>
      </c>
      <c r="K12" s="166" t="inlineStr">
        <is>
          <t>受付/SC事務(会計報告)/Gala</t>
        </is>
      </c>
      <c r="L12" s="166" t="inlineStr">
        <is>
          <t>受付デスク/支払</t>
        </is>
      </c>
      <c r="M12" s="158" t="inlineStr">
        <is>
          <t>事務局撤収(児玉と)/精算/Parade Dinner</t>
        </is>
      </c>
      <c r="N12" s="163" t="inlineStr">
        <is>
          <t>SIDEX(受付・清算)</t>
        </is>
      </c>
      <c r="O12" s="157" t="inlineStr">
        <is>
          <t>出発案内/支払</t>
        </is>
      </c>
      <c r="P12" s="157" t="inlineStr">
        <is>
          <t>見送り/清算</t>
        </is>
      </c>
      <c r="Q12" s="155" t="inlineStr">
        <is>
          <t>SIN-KIX(TR818 11/1 03:05)</t>
        </is>
      </c>
      <c r="R12" s="155" t="inlineStr">
        <is>
          <t>SIN-KIX(TR818 03:05)</t>
        </is>
      </c>
      <c r="S12" s="156" t="inlineStr">
        <is>
          <t>KIX着10:15</t>
        </is>
      </c>
    </row>
    <row r="13" ht="39.75" customHeight="1" s="123">
      <c r="A13" s="165">
        <f>人員一覧・判定!B12</f>
        <v/>
      </c>
      <c r="B13" s="154" t="n"/>
      <c r="C13" s="154" t="n"/>
      <c r="D13" s="155" t="inlineStr">
        <is>
          <t>KIX-SIN(TR819)</t>
        </is>
      </c>
      <c r="E13" s="156" t="inlineStr">
        <is>
          <t>SIN着17:30/Hotel Mi</t>
        </is>
      </c>
      <c r="F13" s="157" t="inlineStr">
        <is>
          <t>名札(QR)受取/リスト確認</t>
        </is>
      </c>
      <c r="G13" s="163" t="inlineStr">
        <is>
          <t>Dorsettフロント対応(到着ピーク)</t>
        </is>
      </c>
      <c r="H13" s="163" t="inlineStr">
        <is>
          <t>Dorsett受付(下見は交代で)/送迎確認</t>
        </is>
      </c>
      <c r="I13" s="166" t="inlineStr">
        <is>
          <t>公邸受付/名札配布</t>
        </is>
      </c>
      <c r="J13" s="166" t="inlineStr">
        <is>
          <t>受付デスク(Peridot)</t>
        </is>
      </c>
      <c r="K13" s="166" t="inlineStr">
        <is>
          <t>受付/RT/Gala引率</t>
        </is>
      </c>
      <c r="L13" s="166" t="inlineStr">
        <is>
          <t>Dorsett→EXPO誘導/受付デスク</t>
        </is>
      </c>
      <c r="M13" s="160" t="inlineStr">
        <is>
          <t>Field Trip名簿/ホテル→EXPO誘導(パレード)/Parade Dinner</t>
        </is>
      </c>
      <c r="N13" s="163" t="inlineStr">
        <is>
          <t>Dorsett→EXPO誘導/SIDEX(受付)</t>
        </is>
      </c>
      <c r="O13" s="157" t="inlineStr">
        <is>
          <t>出発案内(送迎)</t>
        </is>
      </c>
      <c r="P13" s="157" t="inlineStr">
        <is>
          <t>見送り</t>
        </is>
      </c>
      <c r="Q13" s="155" t="inlineStr">
        <is>
          <t>SIN-KIX(TR818 11/1 03:05)</t>
        </is>
      </c>
      <c r="R13" s="155" t="inlineStr">
        <is>
          <t>SIN-KIX(TR818 03:05)</t>
        </is>
      </c>
      <c r="S13" s="156" t="inlineStr">
        <is>
          <t>KIX着10:15</t>
        </is>
      </c>
    </row>
    <row r="14" ht="39.75" customHeight="1" s="123">
      <c r="A14" s="165">
        <f>人員一覧・判定!B13</f>
        <v/>
      </c>
      <c r="B14" s="154" t="n"/>
      <c r="C14" s="154" t="n"/>
      <c r="D14" s="154" t="n"/>
      <c r="E14" s="154" t="n"/>
      <c r="F14" s="155" t="inlineStr">
        <is>
          <t>KIX-SIN(SQ619)</t>
        </is>
      </c>
      <c r="G14" s="156" t="inlineStr">
        <is>
          <t>SIN着16:00/Hotel Mi/日本側と接続テスト①に合流</t>
        </is>
      </c>
      <c r="H14" s="157" t="inlineStr">
        <is>
          <t>会場下見(全員)→Japan Pavilion確認/接続テスト②</t>
        </is>
      </c>
      <c r="I14" s="158" t="inlineStr">
        <is>
          <t>16:00公邸設営補助/レセプション</t>
        </is>
      </c>
      <c r="J14" s="156" t="inlineStr">
        <is>
          <t>07:30会場テスト/AV・PC操作</t>
        </is>
      </c>
      <c r="K14" s="160" t="inlineStr">
        <is>
          <t>RT(AV・PC)/Gala</t>
        </is>
      </c>
      <c r="L14" s="159" t="inlineStr">
        <is>
          <t>Tech Session運営(PIC)</t>
        </is>
      </c>
      <c r="M14" s="160" t="inlineStr">
        <is>
          <t>Field Trip or SIDEX展示調整/Parade Dinner</t>
        </is>
      </c>
      <c r="N14" s="159" t="inlineStr">
        <is>
          <t>SIDEX Keynote</t>
        </is>
      </c>
      <c r="O14" s="156" t="inlineStr">
        <is>
          <t>Exhibition Tour(誘導)/Panel2</t>
        </is>
      </c>
      <c r="P14" s="155" t="inlineStr">
        <is>
          <t>SIN-KIX(01:30発 便名要確認)</t>
        </is>
      </c>
      <c r="Q14" s="154" t="n"/>
      <c r="R14" s="154" t="n"/>
      <c r="S14" s="154" t="n"/>
    </row>
    <row r="15" ht="39.75" customHeight="1" s="123">
      <c r="A15" s="165">
        <f>人員一覧・判定!C14</f>
        <v/>
      </c>
      <c r="B15" s="154" t="n"/>
      <c r="C15" s="154" t="n"/>
      <c r="D15" s="154" t="n"/>
      <c r="E15" s="154" t="n"/>
      <c r="F15" s="155" t="inlineStr">
        <is>
          <t>KIX-SIN(SQ619)</t>
        </is>
      </c>
      <c r="G15" s="156" t="inlineStr">
        <is>
          <t>SIN着16:00/Hotel Mi</t>
        </is>
      </c>
      <c r="H15" s="162" t="inlineStr">
        <is>
          <t>会場下見(全員)→RT準備</t>
        </is>
      </c>
      <c r="I15" s="158" t="inlineStr">
        <is>
          <t>16:00公邸設営補助/レセプション</t>
        </is>
      </c>
      <c r="J15" s="159" t="inlineStr">
        <is>
          <t>Opening</t>
        </is>
      </c>
      <c r="K15" s="160" t="inlineStr">
        <is>
          <t>RT運営(共同)/ノート/SCメモ/Gala</t>
        </is>
      </c>
      <c r="L15" s="159" t="inlineStr">
        <is>
          <t>Tech Session(ノート)/Draft Summary</t>
        </is>
      </c>
      <c r="M15" s="160" t="inlineStr">
        <is>
          <t>Field Trip/Parade Dinner</t>
        </is>
      </c>
      <c r="N15" s="159" t="inlineStr">
        <is>
          <t>SIDEX Keynote/Summary</t>
        </is>
      </c>
      <c r="O15" s="156" t="inlineStr">
        <is>
          <t>Panel2/閉会</t>
        </is>
      </c>
      <c r="P15" s="155" t="inlineStr">
        <is>
          <t>SIN-KIX(01:30発 便名要確認)</t>
        </is>
      </c>
      <c r="Q15" s="154" t="n"/>
      <c r="R15" s="154" t="n"/>
      <c r="S15" s="154" t="n"/>
    </row>
    <row r="16" ht="39.75" customHeight="1" s="123">
      <c r="A16" s="165">
        <f>人員一覧・判定!C15</f>
        <v/>
      </c>
      <c r="B16" s="154" t="n"/>
      <c r="C16" s="154" t="n"/>
      <c r="D16" s="154" t="n"/>
      <c r="E16" s="154" t="n"/>
      <c r="F16" s="167" t="inlineStr">
        <is>
          <t>(未手配)</t>
        </is>
      </c>
      <c r="G16" s="167" t="inlineStr">
        <is>
          <t>(未手配)</t>
        </is>
      </c>
      <c r="H16" s="157" t="inlineStr">
        <is>
          <t>会場下見(全員)→登壇者対応</t>
        </is>
      </c>
      <c r="I16" s="158" t="inlineStr">
        <is>
          <t>16:00公邸設営補助/レセプション</t>
        </is>
      </c>
      <c r="J16" s="159" t="inlineStr">
        <is>
          <t>Opening</t>
        </is>
      </c>
      <c r="K16" s="160" t="inlineStr">
        <is>
          <t>RT(ノート)/Gala</t>
        </is>
      </c>
      <c r="L16" s="159" t="inlineStr">
        <is>
          <t>Tech Session Co-Chair</t>
        </is>
      </c>
      <c r="M16" s="160" t="inlineStr">
        <is>
          <t>Field Trip/Parade Dinner</t>
        </is>
      </c>
      <c r="N16" s="159" t="inlineStr">
        <is>
          <t>SIDEX Keynote</t>
        </is>
      </c>
      <c r="O16" s="156" t="inlineStr">
        <is>
          <t>Panel2/閉会</t>
        </is>
      </c>
      <c r="P16" s="167" t="inlineStr">
        <is>
          <t>(未手配)</t>
        </is>
      </c>
      <c r="Q16" s="154" t="n"/>
      <c r="R16" s="154" t="n"/>
      <c r="S16" s="154" t="n"/>
    </row>
    <row r="17" ht="21.75" customHeight="1" s="123">
      <c r="A17" s="168">
        <f>人員一覧・判定!B18</f>
        <v/>
      </c>
      <c r="F17" s="169" t="inlineStr">
        <is>
          <t>（未手配）</t>
        </is>
      </c>
      <c r="G17" s="169" t="inlineStr">
        <is>
          <t>（未手配）</t>
        </is>
      </c>
      <c r="H17" s="157" t="inlineStr">
        <is>
          <t>会場下見・動線確認(全員)/SC資料準備</t>
        </is>
      </c>
      <c r="I17" s="158" t="inlineStr">
        <is>
          <t>公邸設営補助/レセプション</t>
        </is>
      </c>
      <c r="J17" s="162" t="inlineStr">
        <is>
          <t>事務局部屋設営/Joint Opening</t>
        </is>
      </c>
      <c r="K17" s="160" t="inlineStr">
        <is>
          <t>ACDR Opening/RT/SC事務(議案・進行・会計報告)/Gala</t>
        </is>
      </c>
      <c r="L17" s="159" t="inlineStr">
        <is>
          <t>Tech Session/Closing</t>
        </is>
      </c>
      <c r="M17" s="160" t="inlineStr">
        <is>
          <t>Field Trip/Parade Dinner</t>
        </is>
      </c>
      <c r="N17" s="159" t="inlineStr">
        <is>
          <t>SIDEX Keynote/SCサマリー</t>
        </is>
      </c>
      <c r="O17" s="159" t="inlineStr">
        <is>
          <t>Panel2/閉会</t>
        </is>
      </c>
      <c r="P17" s="169" t="inlineStr">
        <is>
          <t>（帰国 未手配）</t>
        </is>
      </c>
    </row>
    <row r="18" ht="39.75" customHeight="1" s="123">
      <c r="A18" s="165">
        <f>人員一覧・判定!B16</f>
        <v/>
      </c>
      <c r="B18" s="154" t="n"/>
      <c r="C18" s="154" t="n"/>
      <c r="D18" s="154" t="n"/>
      <c r="E18" s="154" t="n"/>
      <c r="F18" s="164" t="inlineStr">
        <is>
          <t>（移動）</t>
        </is>
      </c>
      <c r="G18" s="170" t="inlineStr">
        <is>
          <t>夕方〜夜 SIN着→Hotel Mi</t>
        </is>
      </c>
      <c r="H18" s="166" t="inlineStr">
        <is>
          <t>会場下見(全員)→公邸・ケータリング最終確認/撮影準備</t>
        </is>
      </c>
      <c r="I18" s="166" t="inlineStr">
        <is>
          <t>16:00公邸設営・MC進行確認/撮影</t>
        </is>
      </c>
      <c r="J18" s="156" t="inlineStr">
        <is>
          <t>Zoom・AI翻訳/写真</t>
        </is>
      </c>
      <c r="K18" s="166" t="inlineStr">
        <is>
          <t>受付/Zoom/写真/Gala</t>
        </is>
      </c>
      <c r="L18" s="156" t="inlineStr">
        <is>
          <t>Zoom・AI翻訳/写真</t>
        </is>
      </c>
      <c r="M18" s="156" t="inlineStr">
        <is>
          <t>Japan Pavilion/参加者誘導</t>
        </is>
      </c>
      <c r="N18" s="159" t="inlineStr">
        <is>
          <t>SIDEX(写真・誘導)</t>
        </is>
      </c>
      <c r="O18" s="156" t="inlineStr">
        <is>
          <t>Exhibition Tour誘導/閉会/夜:空港へ（便未定）</t>
        </is>
      </c>
      <c r="P18" s="157" t="inlineStr">
        <is>
          <t>（10/30夜便で帰国）</t>
        </is>
      </c>
      <c r="Q18" s="154" t="n"/>
      <c r="R18" s="154" t="n"/>
      <c r="S18" s="154" t="n"/>
    </row>
    <row r="19" ht="39.75" customHeight="1" s="123">
      <c r="A19" s="165">
        <f>人員一覧・判定!B17</f>
        <v/>
      </c>
      <c r="B19" s="154" t="n"/>
      <c r="C19" s="154" t="n"/>
      <c r="D19" s="154" t="n"/>
      <c r="E19" s="154" t="n"/>
      <c r="F19" s="164" t="inlineStr">
        <is>
          <t>（移動）</t>
        </is>
      </c>
      <c r="G19" s="170" t="inlineStr">
        <is>
          <t>夕方〜夜 SIN着→Hotel Mi</t>
        </is>
      </c>
      <c r="H19" s="157" t="inlineStr">
        <is>
          <t>会場下見(全員)→到着者対応</t>
        </is>
      </c>
      <c r="I19" s="166" t="inlineStr">
        <is>
          <t>16:00公邸設営補助/レセプション</t>
        </is>
      </c>
      <c r="J19" s="159" t="inlineStr">
        <is>
          <t>Opening/参加者誘導</t>
        </is>
      </c>
      <c r="K19" s="160" t="inlineStr">
        <is>
          <t>RT記録・サマリー補助/Gala</t>
        </is>
      </c>
      <c r="L19" s="159" t="inlineStr">
        <is>
          <t>Dorsett→EXPO誘導/Tech Session記録</t>
        </is>
      </c>
      <c r="M19" s="160" t="inlineStr">
        <is>
          <t>Field Trip/ホテル→EXPO誘導(パレード)/Parade Dinner</t>
        </is>
      </c>
      <c r="N19" s="159" t="inlineStr">
        <is>
          <t>SIDEX Keynote/サマリー</t>
        </is>
      </c>
      <c r="O19" s="156" t="inlineStr">
        <is>
          <t>Panel2/閉会/夜:空港へ（便未定）</t>
        </is>
      </c>
      <c r="P19" s="157" t="inlineStr">
        <is>
          <t>（10/30夜便で帰国）</t>
        </is>
      </c>
      <c r="Q19" s="154" t="n"/>
      <c r="R19" s="154" t="n"/>
      <c r="S19" s="154" t="n"/>
    </row>
    <row r="20" ht="14.25" customHeight="1" s="123">
      <c r="A20" s="171" t="inlineStr">
        <is>
          <t>在場人数(役員・森口・藤本・塩見含む)</t>
        </is>
      </c>
      <c r="B20" s="172">
        <f>COUNTA(B6:B19)-COUNTIF(B6:B19,"*未手配*")-COUNTIF(B6:B19,"*要確認*")-COUNTIF(B6:B19,"*NRT着*")-COUNTIF(B6:B19,"*HND着*")-COUNTIF(B6:B19,"*KIX着*")-COUNTIF(B6:B19,"*GVA着*")</f>
        <v/>
      </c>
      <c r="C20" s="172">
        <f>COUNTA(C6:C19)-COUNTIF(C6:C19,"*未手配*")-COUNTIF(C6:C19,"*要確認*")-COUNTIF(C6:C19,"*NRT着*")-COUNTIF(C6:C19,"*HND着*")-COUNTIF(C6:C19,"*KIX着*")-COUNTIF(C6:C19,"*GVA着*")</f>
        <v/>
      </c>
      <c r="D20" s="172">
        <f>COUNTA(D6:D19)-COUNTIF(D6:D19,"*未手配*")-COUNTIF(D6:D19,"*要確認*")-COUNTIF(D6:D19,"*NRT着*")-COUNTIF(D6:D19,"*HND着*")-COUNTIF(D6:D19,"*KIX着*")-COUNTIF(D6:D19,"*GVA着*")</f>
        <v/>
      </c>
      <c r="E20" s="172">
        <f>COUNTA(E6:E19)-COUNTIF(E6:E19,"*未手配*")-COUNTIF(E6:E19,"*要確認*")-COUNTIF(E6:E19,"*NRT着*")-COUNTIF(E6:E19,"*HND着*")-COUNTIF(E6:E19,"*KIX着*")-COUNTIF(E6:E19,"*GVA着*")</f>
        <v/>
      </c>
      <c r="F20" s="172">
        <f>COUNTA(F6:F19)-COUNTIF(F6:F19,"*未手配*")-COUNTIF(F6:F19,"*要確認*")-COUNTIF(F6:F19,"*NRT着*")-COUNTIF(F6:F19,"*HND着*")-COUNTIF(F6:F19,"*KIX着*")-COUNTIF(F6:F19,"*GVA着*")</f>
        <v/>
      </c>
      <c r="G20" s="172">
        <f>COUNTA(G6:G19)-COUNTIF(G6:G19,"*未手配*")-COUNTIF(G6:G19,"*要確認*")-COUNTIF(G6:G19,"*NRT着*")-COUNTIF(G6:G19,"*HND着*")-COUNTIF(G6:G19,"*KIX着*")-COUNTIF(G6:G19,"*GVA着*")</f>
        <v/>
      </c>
      <c r="H20" s="172">
        <f>COUNTA(H6:H19)-COUNTIF(H6:H19,"*未手配*")-COUNTIF(H6:H19,"*要確認*")-COUNTIF(H6:H19,"*NRT着*")-COUNTIF(H6:H19,"*HND着*")-COUNTIF(H6:H19,"*KIX着*")-COUNTIF(H6:H19,"*GVA着*")</f>
        <v/>
      </c>
      <c r="I20" s="172">
        <f>COUNTA(I6:I19)-COUNTIF(I6:I19,"*未手配*")-COUNTIF(I6:I19,"*要確認*")-COUNTIF(I6:I19,"*NRT着*")-COUNTIF(I6:I19,"*HND着*")-COUNTIF(I6:I19,"*KIX着*")-COUNTIF(I6:I19,"*GVA着*")</f>
        <v/>
      </c>
      <c r="J20" s="172">
        <f>COUNTA(J6:J19)-COUNTIF(J6:J19,"*未手配*")-COUNTIF(J6:J19,"*要確認*")-COUNTIF(J6:J19,"*NRT着*")-COUNTIF(J6:J19,"*HND着*")-COUNTIF(J6:J19,"*KIX着*")-COUNTIF(J6:J19,"*GVA着*")</f>
        <v/>
      </c>
      <c r="K20" s="172">
        <f>COUNTA(K6:K19)-COUNTIF(K6:K19,"*未手配*")-COUNTIF(K6:K19,"*要確認*")-COUNTIF(K6:K19,"*NRT着*")-COUNTIF(K6:K19,"*HND着*")-COUNTIF(K6:K19,"*KIX着*")-COUNTIF(K6:K19,"*GVA着*")</f>
        <v/>
      </c>
      <c r="L20" s="172">
        <f>COUNTA(L6:L19)-COUNTIF(L6:L19,"*未手配*")-COUNTIF(L6:L19,"*要確認*")-COUNTIF(L6:L19,"*NRT着*")-COUNTIF(L6:L19,"*HND着*")-COUNTIF(L6:L19,"*KIX着*")-COUNTIF(L6:L19,"*GVA着*")</f>
        <v/>
      </c>
      <c r="M20" s="172">
        <f>COUNTA(M6:M19)-COUNTIF(M6:M19,"*未手配*")-COUNTIF(M6:M19,"*要確認*")-COUNTIF(M6:M19,"*NRT着*")-COUNTIF(M6:M19,"*HND着*")-COUNTIF(M6:M19,"*KIX着*")-COUNTIF(M6:M19,"*GVA着*")</f>
        <v/>
      </c>
      <c r="N20" s="172">
        <f>COUNTA(N6:N19)-COUNTIF(N6:N19,"*未手配*")-COUNTIF(N6:N19,"*要確認*")-COUNTIF(N6:N19,"*NRT着*")-COUNTIF(N6:N19,"*HND着*")-COUNTIF(N6:N19,"*KIX着*")-COUNTIF(N6:N19,"*GVA着*")</f>
        <v/>
      </c>
      <c r="O20" s="172">
        <f>COUNTA(O6:O19)-COUNTIF(O6:O19,"*未手配*")-COUNTIF(O6:O19,"*要確認*")-COUNTIF(O6:O19,"*NRT着*")-COUNTIF(O6:O19,"*HND着*")-COUNTIF(O6:O19,"*KIX着*")-COUNTIF(O6:O19,"*GVA着*")</f>
        <v/>
      </c>
      <c r="P20" s="172">
        <f>COUNTA(P6:P19)-COUNTIF(P6:P19,"*未手配*")-COUNTIF(P6:P19,"*要確認*")-COUNTIF(P6:P19,"*NRT着*")-COUNTIF(P6:P19,"*HND着*")-COUNTIF(P6:P19,"*KIX着*")-COUNTIF(P6:P19,"*GVA着*")</f>
        <v/>
      </c>
      <c r="Q20" s="172">
        <f>COUNTA(Q6:Q19)-COUNTIF(Q6:Q19,"*未手配*")-COUNTIF(Q6:Q19,"*要確認*")-COUNTIF(Q6:Q19,"*NRT着*")-COUNTIF(Q6:Q19,"*HND着*")-COUNTIF(Q6:Q19,"*KIX着*")-COUNTIF(Q6:Q19,"*GVA着*")</f>
        <v/>
      </c>
      <c r="R20" s="172">
        <f>COUNTA(R6:R19)-COUNTIF(R6:R19,"*未手配*")-COUNTIF(R6:R19,"*要確認*")-COUNTIF(R6:R19,"*NRT着*")-COUNTIF(R6:R19,"*HND着*")-COUNTIF(R6:R19,"*KIX着*")-COUNTIF(R6:R19,"*GVA着*")</f>
        <v/>
      </c>
      <c r="S20" s="172">
        <f>COUNTA(S6:S19)-COUNTIF(S6:S19,"*未手配*")-COUNTIF(S6:S19,"*要確認*")-COUNTIF(S6:S19,"*NRT着*")-COUNTIF(S6:S19,"*HND着*")-COUNTIF(S6:S19,"*KIX着*")-COUNTIF(S6:S19,"*GVA着*")</f>
        <v/>
      </c>
    </row>
    <row r="21" ht="14.25" customHeight="1" s="123">
      <c r="A21" s="171" t="inlineStr">
        <is>
          <t>うち藤本・塩見</t>
        </is>
      </c>
      <c r="B21" s="173">
        <f>COUNTA(B18:B19)-COUNTIF(B18:B19,"*未手配*")-COUNTIF(B18:B19,"*要確認*")-COUNTIF(B18:B19,"*NRT着*")-COUNTIF(B18:B19,"*HND着*")-COUNTIF(B18:B19,"*KIX着*")-COUNTIF(B18:B19,"*GVA着*")</f>
        <v/>
      </c>
      <c r="C21" s="173">
        <f>COUNTA(C18:C19)-COUNTIF(C18:C19,"*未手配*")-COUNTIF(C18:C19,"*要確認*")-COUNTIF(C18:C19,"*NRT着*")-COUNTIF(C18:C19,"*HND着*")-COUNTIF(C18:C19,"*KIX着*")-COUNTIF(C18:C19,"*GVA着*")</f>
        <v/>
      </c>
      <c r="D21" s="173">
        <f>COUNTA(D18:D19)-COUNTIF(D18:D19,"*未手配*")-COUNTIF(D18:D19,"*要確認*")-COUNTIF(D18:D19,"*NRT着*")-COUNTIF(D18:D19,"*HND着*")-COUNTIF(D18:D19,"*KIX着*")-COUNTIF(D18:D19,"*GVA着*")</f>
        <v/>
      </c>
      <c r="E21" s="173">
        <f>COUNTA(E18:E19)-COUNTIF(E18:E19,"*未手配*")-COUNTIF(E18:E19,"*要確認*")-COUNTIF(E18:E19,"*NRT着*")-COUNTIF(E18:E19,"*HND着*")-COUNTIF(E18:E19,"*KIX着*")-COUNTIF(E18:E19,"*GVA着*")</f>
        <v/>
      </c>
      <c r="F21" s="173">
        <f>COUNTA(F18:F19)-COUNTIF(F18:F19,"*未手配*")-COUNTIF(F18:F19,"*要確認*")-COUNTIF(F18:F19,"*NRT着*")-COUNTIF(F18:F19,"*HND着*")-COUNTIF(F18:F19,"*KIX着*")-COUNTIF(F18:F19,"*GVA着*")</f>
        <v/>
      </c>
      <c r="G21" s="173">
        <f>COUNTA(G18:G19)-COUNTIF(G18:G19,"*未手配*")-COUNTIF(G18:G19,"*要確認*")-COUNTIF(G18:G19,"*NRT着*")-COUNTIF(G18:G19,"*HND着*")-COUNTIF(G18:G19,"*KIX着*")-COUNTIF(G18:G19,"*GVA着*")</f>
        <v/>
      </c>
      <c r="H21" s="173">
        <f>COUNTA(H18:H19)-COUNTIF(H18:H19,"*未手配*")-COUNTIF(H18:H19,"*要確認*")-COUNTIF(H18:H19,"*NRT着*")-COUNTIF(H18:H19,"*HND着*")-COUNTIF(H18:H19,"*KIX着*")-COUNTIF(H18:H19,"*GVA着*")</f>
        <v/>
      </c>
      <c r="I21" s="173">
        <f>COUNTA(I18:I19)-COUNTIF(I18:I19,"*未手配*")-COUNTIF(I18:I19,"*要確認*")-COUNTIF(I18:I19,"*NRT着*")-COUNTIF(I18:I19,"*HND着*")-COUNTIF(I18:I19,"*KIX着*")-COUNTIF(I18:I19,"*GVA着*")</f>
        <v/>
      </c>
      <c r="J21" s="173">
        <f>COUNTA(J18:J19)-COUNTIF(J18:J19,"*未手配*")-COUNTIF(J18:J19,"*要確認*")-COUNTIF(J18:J19,"*NRT着*")-COUNTIF(J18:J19,"*HND着*")-COUNTIF(J18:J19,"*KIX着*")-COUNTIF(J18:J19,"*GVA着*")</f>
        <v/>
      </c>
      <c r="K21" s="173">
        <f>COUNTA(K18:K19)-COUNTIF(K18:K19,"*未手配*")-COUNTIF(K18:K19,"*要確認*")-COUNTIF(K18:K19,"*NRT着*")-COUNTIF(K18:K19,"*HND着*")-COUNTIF(K18:K19,"*KIX着*")-COUNTIF(K18:K19,"*GVA着*")</f>
        <v/>
      </c>
      <c r="L21" s="173">
        <f>COUNTA(L18:L19)-COUNTIF(L18:L19,"*未手配*")-COUNTIF(L18:L19,"*要確認*")-COUNTIF(L18:L19,"*NRT着*")-COUNTIF(L18:L19,"*HND着*")-COUNTIF(L18:L19,"*KIX着*")-COUNTIF(L18:L19,"*GVA着*")</f>
        <v/>
      </c>
      <c r="M21" s="173">
        <f>COUNTA(M18:M19)-COUNTIF(M18:M19,"*未手配*")-COUNTIF(M18:M19,"*要確認*")-COUNTIF(M18:M19,"*NRT着*")-COUNTIF(M18:M19,"*HND着*")-COUNTIF(M18:M19,"*KIX着*")-COUNTIF(M18:M19,"*GVA着*")</f>
        <v/>
      </c>
      <c r="N21" s="173">
        <f>COUNTA(N18:N19)-COUNTIF(N18:N19,"*未手配*")-COUNTIF(N18:N19,"*要確認*")-COUNTIF(N18:N19,"*NRT着*")-COUNTIF(N18:N19,"*HND着*")-COUNTIF(N18:N19,"*KIX着*")-COUNTIF(N18:N19,"*GVA着*")</f>
        <v/>
      </c>
      <c r="O21" s="173">
        <f>COUNTA(O18:O19)-COUNTIF(O18:O19,"*未手配*")-COUNTIF(O18:O19,"*要確認*")-COUNTIF(O18:O19,"*NRT着*")-COUNTIF(O18:O19,"*HND着*")-COUNTIF(O18:O19,"*KIX着*")-COUNTIF(O18:O19,"*GVA着*")</f>
        <v/>
      </c>
      <c r="P21" s="173">
        <f>COUNTA(P18:P19)-COUNTIF(P18:P19,"*未手配*")-COUNTIF(P18:P19,"*要確認*")-COUNTIF(P18:P19,"*NRT着*")-COUNTIF(P18:P19,"*HND着*")-COUNTIF(P18:P19,"*KIX着*")-COUNTIF(P18:P19,"*GVA着*")</f>
        <v/>
      </c>
      <c r="Q21" s="173">
        <f>COUNTA(Q18:Q19)-COUNTIF(Q18:Q19,"*未手配*")-COUNTIF(Q18:Q19,"*要確認*")-COUNTIF(Q18:Q19,"*NRT着*")-COUNTIF(Q18:Q19,"*HND着*")-COUNTIF(Q18:Q19,"*KIX着*")-COUNTIF(Q18:Q19,"*GVA着*")</f>
        <v/>
      </c>
      <c r="R21" s="173">
        <f>COUNTA(R18:R19)-COUNTIF(R18:R19,"*未手配*")-COUNTIF(R18:R19,"*要確認*")-COUNTIF(R18:R19,"*NRT着*")-COUNTIF(R18:R19,"*HND着*")-COUNTIF(R18:R19,"*KIX着*")-COUNTIF(R18:R19,"*GVA着*")</f>
        <v/>
      </c>
      <c r="S21" s="173">
        <f>COUNTA(S18:S19)-COUNTIF(S18:S19,"*未手配*")-COUNTIF(S18:S19,"*要確認*")-COUNTIF(S18:S19,"*NRT着*")-COUNTIF(S18:S19,"*HND着*")-COUNTIF(S18:S19,"*KIX着*")-COUNTIF(S18:S19,"*GVA着*")</f>
        <v/>
      </c>
    </row>
    <row r="22" ht="14.25" customHeight="1" s="123">
      <c r="A22" s="174" t="inlineStr">
        <is>
          <t>※自動計算は『記入があり、かつ未手配・要確認・日本側到着(NRT着/HND着/KIX着/GVA着)を除く』人数で、フライト移動中を含む。藤本・塩見・森口は本人承諾/参加見込だがフライト未手配のため、手配前の日は「未手配」表記で件数から外れる。</t>
        </is>
      </c>
    </row>
    <row r="23" ht="14.25" customHeight="1" s="123"/>
    <row r="24" ht="14.25" customHeight="1" s="123">
      <c r="A24" s="175" t="inlineStr">
        <is>
          <t>日本側サポート（神戸）　※JST = SGT + 1時間</t>
        </is>
      </c>
    </row>
    <row r="25" ht="39.75" customHeight="1" s="123">
      <c r="A25" s="176">
        <f>人員一覧・判定!B19</f>
        <v/>
      </c>
      <c r="B25" s="154" t="n"/>
      <c r="C25" s="154" t="n"/>
      <c r="D25" s="154" t="n"/>
      <c r="E25" s="154" t="n"/>
      <c r="F25" s="177" t="inlineStr">
        <is>
          <t>Webinar/Zoom/AI通訳 設定・リハーサル</t>
        </is>
      </c>
      <c r="G25" s="178" t="inlineStr">
        <is>
          <t>現地(荒木田・池田)と接続テスト①(JST 15-17)</t>
        </is>
      </c>
      <c r="H25" s="177" t="inlineStr">
        <is>
          <t>AI通訳ツール最終設定</t>
        </is>
      </c>
      <c r="I25" s="177" t="inlineStr">
        <is>
          <t>Webinar・Zoomホスト設定/接続テスト②(JST 14-17)/SCリハ(Q&amp;A確認)</t>
        </is>
      </c>
      <c r="J25" s="177" t="inlineStr">
        <is>
          <t>Webinar開始/AI通訳監視 (JST 9:30-)</t>
        </is>
      </c>
      <c r="K25" s="177" t="inlineStr">
        <is>
          <t>RT・SC: Q&amp;A/コメント確認・AI通訳監視</t>
        </is>
      </c>
      <c r="L25" s="177" t="inlineStr">
        <is>
          <t>TS: Q&amp;A/コメント確認・AI通訳監視</t>
        </is>
      </c>
      <c r="M25" s="178" t="inlineStr">
        <is>
          <t>（配信なし）ログ回収</t>
        </is>
      </c>
      <c r="N25" s="178" t="inlineStr">
        <is>
          <t>（SIDEX配信はSCDF側）</t>
        </is>
      </c>
      <c r="O25" s="177" t="inlineStr">
        <is>
          <t>Webinar/Zoom終了処理</t>
        </is>
      </c>
      <c r="P25" s="154" t="n"/>
      <c r="Q25" s="154" t="n"/>
      <c r="R25" s="154" t="n"/>
      <c r="S25" s="154" t="n"/>
    </row>
    <row r="26" ht="39.75" customHeight="1" s="123">
      <c r="A26" s="176">
        <f>人員一覧・判定!B20</f>
        <v/>
      </c>
      <c r="B26" s="154" t="n"/>
      <c r="C26" s="154" t="n"/>
      <c r="D26" s="154" t="n"/>
      <c r="E26" s="154" t="n"/>
      <c r="F26" s="178" t="inlineStr">
        <is>
          <t>録画設定テスト(クラウド+ローカル)</t>
        </is>
      </c>
      <c r="G26" s="154" t="n"/>
      <c r="H26" s="178" t="inlineStr">
        <is>
          <t>録画リハーサル</t>
        </is>
      </c>
      <c r="I26" s="178" t="inlineStr">
        <is>
          <t>接続テスト②(録画・Q&amp;A確認)/SCリハ録画</t>
        </is>
      </c>
      <c r="J26" s="177" t="inlineStr">
        <is>
          <t>Opening/RT 録画・オンライン質疑</t>
        </is>
      </c>
      <c r="K26" s="177" t="inlineStr">
        <is>
          <t>SC 録画</t>
        </is>
      </c>
      <c r="L26" s="177" t="inlineStr">
        <is>
          <t>TS/Closing 録画・オンライン質疑</t>
        </is>
      </c>
      <c r="M26" s="178" t="inlineStr">
        <is>
          <t>録画データ整理・保存</t>
        </is>
      </c>
      <c r="N26" s="154" t="n"/>
      <c r="O26" s="178" t="inlineStr">
        <is>
          <t>録画データ整理・保存</t>
        </is>
      </c>
      <c r="P26" s="154" t="n"/>
      <c r="Q26" s="154" t="n"/>
      <c r="R26" s="154" t="n"/>
      <c r="S26" s="154" t="n"/>
    </row>
    <row r="27" ht="39.75" customHeight="1" s="123">
      <c r="A27" s="176">
        <f>人員一覧・判定!B22</f>
        <v/>
      </c>
      <c r="B27" s="154" t="n"/>
      <c r="C27" s="154" t="n"/>
      <c r="D27" s="154" t="n"/>
      <c r="E27" s="154" t="n"/>
      <c r="F27" s="154" t="n"/>
      <c r="G27" s="154" t="n"/>
      <c r="H27" s="169" t="inlineStr">
        <is>
          <t>録画テスト(日英2台) ※仮置き</t>
        </is>
      </c>
      <c r="I27" s="154" t="n"/>
      <c r="J27" s="169" t="inlineStr">
        <is>
          <t>録画(日英)ローカル保存 ※仮置き</t>
        </is>
      </c>
      <c r="K27" s="169" t="inlineStr">
        <is>
          <t>録画(日英)ローカル保存 ※仮置き</t>
        </is>
      </c>
      <c r="L27" s="169" t="inlineStr">
        <is>
          <t>録画(日英)ローカル保存 ※仮置き</t>
        </is>
      </c>
      <c r="M27" s="154" t="n"/>
      <c r="N27" s="154" t="n"/>
      <c r="O27" s="154" t="n"/>
      <c r="P27" s="154" t="n"/>
      <c r="Q27" s="154" t="n"/>
      <c r="R27" s="154" t="n"/>
      <c r="S27" s="154" t="n"/>
    </row>
    <row r="28" ht="39.75" customHeight="1" s="123">
      <c r="A28" s="176">
        <f>人員一覧・判定!B21</f>
        <v/>
      </c>
      <c r="B28" s="154" t="n"/>
      <c r="C28" s="154" t="n"/>
      <c r="D28" s="154" t="n"/>
      <c r="E28" s="154" t="n"/>
      <c r="F28" s="154" t="n"/>
      <c r="G28" s="154" t="n"/>
      <c r="H28" s="167" t="inlineStr">
        <is>
          <t>Webinar設定・ホスト/録画確認 ※仮置き</t>
        </is>
      </c>
      <c r="I28" s="154" t="n"/>
      <c r="J28" s="167" t="inlineStr">
        <is>
          <t>Webinarホスト・録画確認 ※仮置き</t>
        </is>
      </c>
      <c r="K28" s="167" t="inlineStr">
        <is>
          <t>SC Zoom設定 ※仮置き</t>
        </is>
      </c>
      <c r="L28" s="167" t="inlineStr">
        <is>
          <t>Webinarホスト・録画確認 ※仮置き</t>
        </is>
      </c>
      <c r="M28" s="154" t="n"/>
      <c r="N28" s="154" t="n"/>
      <c r="O28" s="154" t="n"/>
      <c r="P28" s="154" t="n"/>
      <c r="Q28" s="154" t="n"/>
      <c r="R28" s="154" t="n"/>
      <c r="S28" s="154" t="n"/>
    </row>
    <row r="29" ht="14.25" customHeight="1" s="123">
      <c r="A29" s="138" t="inlineStr">
        <is>
          <t>※中村・山口は荒木田指示（9/4）により確定。寺坂・伊達はACDR2025の実績に基づくバックアップの仮置きで、本人未確認。</t>
        </is>
      </c>
    </row>
  </sheetData>
  <mergeCells count="10">
    <mergeCell ref="F3:G3"/>
    <mergeCell ref="L3:M3"/>
    <mergeCell ref="J3:K3"/>
    <mergeCell ref="P3:Q3"/>
    <mergeCell ref="N3:O3"/>
    <mergeCell ref="B3:C3"/>
    <mergeCell ref="A24:G24"/>
    <mergeCell ref="R3:S3"/>
    <mergeCell ref="D3:E3"/>
    <mergeCell ref="H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G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R22" activeCellId="0" sqref="R22"/>
    </sheetView>
  </sheetViews>
  <sheetFormatPr baseColWidth="8" defaultColWidth="8.55859375" defaultRowHeight="14.25" zeroHeight="0" outlineLevelRow="0"/>
  <cols>
    <col width="14" customWidth="1" style="122" min="1" max="1"/>
    <col width="4.22" customWidth="1" style="122" min="2" max="33"/>
  </cols>
  <sheetData>
    <row r="1" ht="15" customHeight="1" s="123">
      <c r="A1" s="179" t="inlineStr">
        <is>
          <t>27 OCT 2026 (TUE)  Day 0: 参加者到着・大使公邸レセプション（SJ60 Commemorative Reception）　※27日午前: 全員で会場下見・ホテル動線確認（会場は27日午後以降しか使えないため設営不可、持込PCでの接続テストのみ）</t>
        </is>
      </c>
    </row>
    <row r="3" ht="14.25" customHeight="1" s="123">
      <c r="B3" s="180" t="inlineStr">
        <is>
          <t>7:00</t>
        </is>
      </c>
      <c r="C3" s="180" t="n"/>
      <c r="D3" s="180" t="inlineStr">
        <is>
          <t>8:00</t>
        </is>
      </c>
      <c r="E3" s="180" t="n"/>
      <c r="F3" s="180" t="inlineStr">
        <is>
          <t>9:00</t>
        </is>
      </c>
      <c r="G3" s="180" t="n"/>
      <c r="H3" s="180" t="inlineStr">
        <is>
          <t>10:00</t>
        </is>
      </c>
      <c r="I3" s="180" t="n"/>
      <c r="J3" s="180" t="inlineStr">
        <is>
          <t>11:00</t>
        </is>
      </c>
      <c r="K3" s="180" t="n"/>
      <c r="L3" s="180" t="inlineStr">
        <is>
          <t>12:00</t>
        </is>
      </c>
      <c r="M3" s="180" t="n"/>
      <c r="N3" s="180" t="inlineStr">
        <is>
          <t>13:00</t>
        </is>
      </c>
      <c r="O3" s="180" t="n"/>
      <c r="P3" s="180" t="inlineStr">
        <is>
          <t>14:00</t>
        </is>
      </c>
      <c r="Q3" s="180" t="n"/>
      <c r="R3" s="180" t="inlineStr">
        <is>
          <t>15:00</t>
        </is>
      </c>
      <c r="S3" s="180" t="n"/>
      <c r="T3" s="180" t="inlineStr">
        <is>
          <t>16:00</t>
        </is>
      </c>
      <c r="U3" s="180" t="n"/>
      <c r="V3" s="180" t="inlineStr">
        <is>
          <t>17:00</t>
        </is>
      </c>
      <c r="W3" s="180" t="n"/>
      <c r="X3" s="180" t="inlineStr">
        <is>
          <t>18:00</t>
        </is>
      </c>
      <c r="Y3" s="180" t="n"/>
      <c r="Z3" s="180" t="inlineStr">
        <is>
          <t>19:00</t>
        </is>
      </c>
      <c r="AA3" s="180" t="n"/>
      <c r="AB3" s="180" t="inlineStr">
        <is>
          <t>20:00</t>
        </is>
      </c>
      <c r="AC3" s="180" t="n"/>
      <c r="AD3" s="180" t="inlineStr">
        <is>
          <t>21:00</t>
        </is>
      </c>
      <c r="AE3" s="180" t="n"/>
      <c r="AF3" s="180" t="inlineStr">
        <is>
          <t>22:00</t>
        </is>
      </c>
      <c r="AG3" s="180" t="n"/>
    </row>
    <row r="4" ht="30" customHeight="1" s="123">
      <c r="A4" s="181" t="inlineStr">
        <is>
          <t>PROGRAM</t>
        </is>
      </c>
      <c r="B4" s="182" t="inlineStr">
        <is>
          <t>参加者到着(Dorsett): 07:15モルディブ/08:10スリランカ/08:45アルメニア・トルコ・ウズベキスタン/11:15パキスタン/11:20インドネシア</t>
        </is>
      </c>
      <c r="C4" s="183" t="n"/>
      <c r="D4" s="183" t="n"/>
      <c r="E4" s="183" t="n"/>
      <c r="F4" s="183" t="n"/>
      <c r="G4" s="183" t="n"/>
      <c r="H4" s="183" t="n"/>
      <c r="I4" s="183" t="n"/>
      <c r="J4" s="183" t="n"/>
      <c r="K4" s="184" t="n"/>
      <c r="L4" s="182" t="inlineStr">
        <is>
          <t>到着: 12:20マレーシア/14:30ブルネイ/14:50タイ/15:10ミャンマー</t>
        </is>
      </c>
      <c r="M4" s="183" t="n"/>
      <c r="N4" s="183" t="n"/>
      <c r="O4" s="183" t="n"/>
      <c r="P4" s="183" t="n"/>
      <c r="Q4" s="183" t="n"/>
      <c r="R4" s="183" t="n"/>
      <c r="S4" s="184" t="n"/>
      <c r="T4" s="182" t="inlineStr">
        <is>
          <t>大使公邸 設営（名札セット持込・受付配置）</t>
        </is>
      </c>
      <c r="U4" s="183" t="n"/>
      <c r="V4" s="183" t="n"/>
      <c r="W4" s="183" t="n"/>
      <c r="X4" s="183" t="n"/>
      <c r="Y4" s="184" t="n"/>
      <c r="Z4" s="182" t="inlineStr">
        <is>
          <t>レセプション 19:00-21:00（大使挨拶・乾杯・内閣府発表）</t>
        </is>
      </c>
      <c r="AA4" s="183" t="n"/>
      <c r="AB4" s="183" t="n"/>
      <c r="AC4" s="183" t="n"/>
      <c r="AD4" s="184" t="n"/>
      <c r="AE4" s="122" t="inlineStr">
        <is>
          <t>撤収</t>
        </is>
      </c>
    </row>
    <row r="5" ht="1.5" customHeight="1" s="123">
      <c r="A5" s="181" t="n"/>
      <c r="B5" s="185" t="n"/>
      <c r="C5" s="185" t="n"/>
      <c r="D5" s="185" t="n"/>
      <c r="E5" s="185" t="n"/>
      <c r="F5" s="185" t="n"/>
      <c r="G5" s="185" t="n"/>
      <c r="H5" s="185" t="n"/>
      <c r="I5" s="185" t="n"/>
      <c r="J5" s="185" t="n"/>
      <c r="K5" s="185" t="n"/>
      <c r="L5" s="185" t="n"/>
      <c r="M5" s="185" t="n"/>
      <c r="N5" s="185" t="n"/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2" t="n"/>
      <c r="Y5" s="182" t="n"/>
      <c r="Z5" s="182" t="n"/>
      <c r="AA5" s="182" t="n"/>
      <c r="AB5" s="182" t="n"/>
      <c r="AC5" s="182" t="n"/>
    </row>
    <row r="6" ht="21.75" customHeight="1" s="123">
      <c r="A6" s="165">
        <f>人員一覧・判定!B5</f>
        <v/>
      </c>
      <c r="X6" s="186" t="n"/>
      <c r="Y6" s="186" t="inlineStr">
        <is>
          <t>レセプション出席(VIP)</t>
        </is>
      </c>
      <c r="Z6" s="183" t="n"/>
      <c r="AA6" s="183" t="n"/>
      <c r="AB6" s="183" t="n"/>
      <c r="AC6" s="183" t="n"/>
      <c r="AD6" s="184" t="n"/>
    </row>
    <row r="7" ht="21.75" customHeight="1" s="123">
      <c r="A7" s="165">
        <f>人員一覧・判定!B6</f>
        <v/>
      </c>
      <c r="H7" s="187" t="inlineStr">
        <is>
          <t>会場下見(全員 9-11)→事前ブリーフィング(荒木田)</t>
        </is>
      </c>
      <c r="I7" s="183" t="n"/>
      <c r="J7" s="184" t="n"/>
      <c r="X7" s="186" t="n"/>
      <c r="Y7" s="186" t="inlineStr">
        <is>
          <t>レセプション出席(VIP)</t>
        </is>
      </c>
      <c r="Z7" s="183" t="n"/>
      <c r="AA7" s="183" t="n"/>
      <c r="AB7" s="183" t="n"/>
      <c r="AC7" s="183" t="n"/>
      <c r="AD7" s="184" t="n"/>
    </row>
    <row r="8" ht="21.75" customHeight="1" s="123">
      <c r="A8" s="165">
        <f>人員一覧・判定!B7</f>
        <v/>
      </c>
      <c r="F8" s="186" t="inlineStr">
        <is>
          <t>会場下見(全員 9-11)→COSEM・内閣府調整（出迎え不要）</t>
        </is>
      </c>
      <c r="G8" s="183" t="n"/>
      <c r="H8" s="183" t="n"/>
      <c r="I8" s="183" t="n"/>
      <c r="J8" s="183" t="n"/>
      <c r="K8" s="184" t="n"/>
      <c r="W8" s="186" t="inlineStr">
        <is>
          <t>レセプション(大使・内閣府対応)</t>
        </is>
      </c>
      <c r="X8" s="183" t="n"/>
      <c r="Y8" s="183" t="n"/>
      <c r="Z8" s="183" t="n"/>
      <c r="AA8" s="183" t="n"/>
      <c r="AB8" s="183" t="n"/>
      <c r="AC8" s="183" t="n"/>
      <c r="AD8" s="184" t="n"/>
    </row>
    <row r="9" ht="21.75" customHeight="1" s="123">
      <c r="A9" s="165">
        <f>人員一覧・判定!B8</f>
        <v/>
      </c>
      <c r="F9" s="187" t="inlineStr">
        <is>
          <t>会場下見(全員 9-11)→公邸・ケータリング最終確認</t>
        </is>
      </c>
      <c r="G9" s="183" t="n"/>
      <c r="H9" s="183" t="n"/>
      <c r="I9" s="183" t="n"/>
      <c r="J9" s="183" t="n"/>
      <c r="K9" s="184" t="n"/>
      <c r="T9" s="188" t="inlineStr">
        <is>
          <t>公邸設営・MC進行確認</t>
        </is>
      </c>
      <c r="U9" s="183" t="n"/>
      <c r="V9" s="183" t="n"/>
      <c r="W9" s="183" t="n"/>
      <c r="X9" s="184" t="n"/>
      <c r="Y9" s="189" t="inlineStr">
        <is>
          <t>MC/進行</t>
        </is>
      </c>
      <c r="Z9" s="183" t="n"/>
      <c r="AA9" s="183" t="n"/>
      <c r="AB9" s="183" t="n"/>
      <c r="AC9" s="183" t="n"/>
      <c r="AD9" s="184" t="n"/>
    </row>
    <row r="10" ht="21.75" customHeight="1" s="123">
      <c r="A10" s="165">
        <f>人員一覧・判定!B9</f>
        <v/>
      </c>
      <c r="F10" s="187" t="inlineStr">
        <is>
          <t>会場下見引率(全員 9-11)</t>
        </is>
      </c>
      <c r="G10" s="184" t="n"/>
      <c r="H10" s="187" t="inlineStr">
        <is>
          <t>→北本ブリーフ(11:00-)</t>
        </is>
      </c>
      <c r="I10" s="183" t="n"/>
      <c r="J10" s="184" t="n"/>
      <c r="N10" s="188" t="inlineStr">
        <is>
          <t>機材・Zoom・AI通訳準備／日本側(中村・山口)と接続テスト②(JST14-17)</t>
        </is>
      </c>
      <c r="O10" s="183" t="n"/>
      <c r="P10" s="183" t="n"/>
      <c r="Q10" s="183" t="n"/>
      <c r="R10" s="183" t="n"/>
      <c r="S10" s="184" t="n"/>
      <c r="T10" s="188" t="inlineStr">
        <is>
          <t>公邸設営・運営・撤収</t>
        </is>
      </c>
      <c r="U10" s="183" t="n"/>
      <c r="V10" s="183" t="n"/>
      <c r="W10" s="183" t="n"/>
      <c r="X10" s="183" t="n"/>
      <c r="Y10" s="183" t="n"/>
      <c r="Z10" s="183" t="n"/>
      <c r="AA10" s="183" t="n"/>
      <c r="AB10" s="183" t="n"/>
      <c r="AC10" s="183" t="n"/>
      <c r="AD10" s="183" t="n"/>
      <c r="AE10" s="184" t="n"/>
    </row>
    <row r="11" ht="21.75" customHeight="1" s="123">
      <c r="A11" s="165">
        <f>人員一覧・判定!B10</f>
        <v/>
      </c>
      <c r="F11" s="187" t="inlineStr">
        <is>
          <t>会場下見(全員 9-11)→公邸・ケータリング最終確認</t>
        </is>
      </c>
      <c r="G11" s="183" t="n"/>
      <c r="H11" s="183" t="n"/>
      <c r="I11" s="183" t="n"/>
      <c r="J11" s="183" t="n"/>
      <c r="K11" s="184" t="n"/>
      <c r="T11" s="190" t="inlineStr">
        <is>
          <t>公邸受付準備</t>
        </is>
      </c>
      <c r="U11" s="183" t="n"/>
      <c r="V11" s="183" t="n"/>
      <c r="W11" s="183" t="n"/>
      <c r="X11" s="184" t="n"/>
      <c r="Y11" s="190" t="inlineStr">
        <is>
          <t>受付/進行補佐</t>
        </is>
      </c>
      <c r="Z11" s="183" t="n"/>
      <c r="AA11" s="183" t="n"/>
      <c r="AB11" s="183" t="n"/>
      <c r="AC11" s="183" t="n"/>
      <c r="AD11" s="184" t="n"/>
    </row>
    <row r="12" ht="21.75" customHeight="1" s="123">
      <c r="A12" s="165">
        <f>人員一覧・判定!B11</f>
        <v/>
      </c>
      <c r="D12" s="191" t="inlineStr">
        <is>
          <t>Dorsett受付(到着者対応)／下見は交代で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4" t="n"/>
      <c r="T12" s="190" t="inlineStr">
        <is>
          <t>公邸受付準備(名札セット)</t>
        </is>
      </c>
      <c r="U12" s="183" t="n"/>
      <c r="V12" s="183" t="n"/>
      <c r="W12" s="183" t="n"/>
      <c r="X12" s="184" t="n"/>
      <c r="Y12" s="190" t="inlineStr">
        <is>
          <t>受付/名札配布</t>
        </is>
      </c>
      <c r="Z12" s="183" t="n"/>
      <c r="AA12" s="183" t="n"/>
      <c r="AB12" s="183" t="n"/>
      <c r="AC12" s="183" t="n"/>
      <c r="AD12" s="184" t="n"/>
    </row>
    <row r="13" ht="21.75" customHeight="1" s="123">
      <c r="A13" s="165">
        <f>人員一覧・判定!B12</f>
        <v/>
      </c>
      <c r="D13" s="191" t="inlineStr">
        <is>
          <t>Dorsett受付(到着者・送迎確認)／下見は交代で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4" t="n"/>
      <c r="T13" s="190" t="inlineStr">
        <is>
          <t>公邸受付準備</t>
        </is>
      </c>
      <c r="U13" s="183" t="n"/>
      <c r="V13" s="183" t="n"/>
      <c r="W13" s="183" t="n"/>
      <c r="X13" s="184" t="n"/>
      <c r="Y13" s="190" t="inlineStr">
        <is>
          <t>受付/名札配布</t>
        </is>
      </c>
      <c r="Z13" s="183" t="n"/>
      <c r="AA13" s="183" t="n"/>
      <c r="AB13" s="183" t="n"/>
      <c r="AC13" s="183" t="n"/>
      <c r="AD13" s="184" t="n"/>
    </row>
    <row r="14" ht="21.75" customHeight="1" s="123">
      <c r="A14" s="165">
        <f>人員一覧・判定!B13</f>
        <v/>
      </c>
      <c r="F14" s="188" t="inlineStr">
        <is>
          <t>会場下見(全員 9-11)→Japan Pavilion確認</t>
        </is>
      </c>
      <c r="G14" s="183" t="n"/>
      <c r="H14" s="183" t="n"/>
      <c r="I14" s="183" t="n"/>
      <c r="J14" s="183" t="n"/>
      <c r="K14" s="184" t="n"/>
      <c r="N14" s="188" t="inlineStr">
        <is>
          <t>機材準備／日本側と接続テスト②(録画・Q&amp;A確認)</t>
        </is>
      </c>
      <c r="O14" s="183" t="n"/>
      <c r="P14" s="183" t="n"/>
      <c r="Q14" s="183" t="n"/>
      <c r="R14" s="183" t="n"/>
      <c r="S14" s="184" t="n"/>
      <c r="W14" s="182" t="inlineStr">
        <is>
          <t>レセプション(設営補助)</t>
        </is>
      </c>
      <c r="X14" s="183" t="n"/>
      <c r="Y14" s="183" t="n"/>
      <c r="Z14" s="183" t="n"/>
      <c r="AA14" s="183" t="n"/>
      <c r="AB14" s="183" t="n"/>
      <c r="AC14" s="183" t="n"/>
      <c r="AD14" s="184" t="n"/>
    </row>
    <row r="15" ht="24.75" customHeight="1" s="123">
      <c r="A15" s="192">
        <f>人員一覧・判定!C14</f>
        <v/>
      </c>
      <c r="F15" s="187" t="inlineStr">
        <is>
          <t>会場下見(全員 9-11)→RT/Summary準備</t>
        </is>
      </c>
      <c r="G15" s="183" t="n"/>
      <c r="H15" s="183" t="n"/>
      <c r="I15" s="183" t="n"/>
      <c r="J15" s="183" t="n"/>
      <c r="K15" s="184" t="n"/>
      <c r="T15" s="193" t="inlineStr">
        <is>
          <t>公邸設営補助</t>
        </is>
      </c>
      <c r="U15" s="183" t="n"/>
      <c r="V15" s="184" t="n"/>
      <c r="W15" s="182" t="inlineStr">
        <is>
          <t>レセプション</t>
        </is>
      </c>
      <c r="X15" s="183" t="n"/>
      <c r="Y15" s="183" t="n"/>
      <c r="Z15" s="183" t="n"/>
      <c r="AA15" s="183" t="n"/>
      <c r="AB15" s="183" t="n"/>
      <c r="AC15" s="183" t="n"/>
      <c r="AD15" s="184" t="n"/>
    </row>
    <row r="16" ht="21" customHeight="1" s="123">
      <c r="A16" s="165">
        <f>人員一覧・判定!C15</f>
        <v/>
      </c>
      <c r="F16" s="187" t="inlineStr">
        <is>
          <t>会場下見(全員 9-11)→登壇者連絡・接続テスト</t>
        </is>
      </c>
      <c r="G16" s="183" t="n"/>
      <c r="H16" s="183" t="n"/>
      <c r="I16" s="183" t="n"/>
      <c r="J16" s="183" t="n"/>
      <c r="K16" s="184" t="n"/>
      <c r="T16" s="193" t="inlineStr">
        <is>
          <t>公邸設営補助</t>
        </is>
      </c>
      <c r="U16" s="183" t="n"/>
      <c r="V16" s="184" t="n"/>
      <c r="W16" s="182" t="inlineStr">
        <is>
          <t>レセプション</t>
        </is>
      </c>
      <c r="X16" s="183" t="n"/>
      <c r="Y16" s="183" t="n"/>
      <c r="Z16" s="183" t="n"/>
      <c r="AA16" s="183" t="n"/>
      <c r="AB16" s="183" t="n"/>
      <c r="AC16" s="183" t="n"/>
      <c r="AD16" s="184" t="n"/>
    </row>
    <row r="17" ht="21.75" customHeight="1" s="123">
      <c r="A17" s="168">
        <f>人員一覧・判定!B18</f>
        <v/>
      </c>
      <c r="F17" s="194" t="inlineStr">
        <is>
          <t>会場下見・動線確認(全員)</t>
        </is>
      </c>
      <c r="G17" s="183" t="n"/>
      <c r="H17" s="183" t="n"/>
      <c r="I17" s="184" t="n"/>
      <c r="J17" s="195" t="inlineStr">
        <is>
          <t>SC資料準備</t>
        </is>
      </c>
      <c r="K17" s="184" t="n"/>
      <c r="T17" s="193" t="inlineStr">
        <is>
          <t>公邸設営補助</t>
        </is>
      </c>
      <c r="U17" s="183" t="n"/>
      <c r="V17" s="183" t="n"/>
      <c r="W17" s="183" t="n"/>
      <c r="X17" s="184" t="n"/>
      <c r="Y17" s="196" t="inlineStr">
        <is>
          <t>レセプション</t>
        </is>
      </c>
      <c r="Z17" s="183" t="n"/>
      <c r="AA17" s="183" t="n"/>
      <c r="AB17" s="183" t="n"/>
      <c r="AC17" s="183" t="n"/>
      <c r="AD17" s="184" t="n"/>
    </row>
    <row r="18" ht="21.75" customHeight="1" s="123">
      <c r="A18" s="165">
        <f>人員一覧・判定!B16</f>
        <v/>
      </c>
      <c r="F18" s="187" t="inlineStr">
        <is>
          <t>会場下見(全員 9-11)→公邸・ケータリング最終確認/撮影準備</t>
        </is>
      </c>
      <c r="G18" s="183" t="n"/>
      <c r="H18" s="183" t="n"/>
      <c r="I18" s="183" t="n"/>
      <c r="J18" s="183" t="n"/>
      <c r="K18" s="184" t="n"/>
      <c r="T18" s="188" t="inlineStr">
        <is>
          <t>公邸設営・MC進行確認</t>
        </is>
      </c>
      <c r="U18" s="183" t="n"/>
      <c r="V18" s="183" t="n"/>
      <c r="W18" s="183" t="n"/>
      <c r="X18" s="184" t="n"/>
      <c r="Y18" s="188" t="inlineStr">
        <is>
          <t>写真</t>
        </is>
      </c>
      <c r="Z18" s="183" t="n"/>
      <c r="AA18" s="183" t="n"/>
      <c r="AB18" s="183" t="n"/>
      <c r="AC18" s="183" t="n"/>
      <c r="AD18" s="184" t="n"/>
    </row>
    <row r="19" ht="21.75" customHeight="1" s="123">
      <c r="A19" s="165">
        <f>人員一覧・判定!B17</f>
        <v/>
      </c>
      <c r="F19" s="190" t="inlineStr">
        <is>
          <t>会場下見(全員 9-11)→到着者対応(ウズベキスタン等)</t>
        </is>
      </c>
      <c r="G19" s="183" t="n"/>
      <c r="H19" s="183" t="n"/>
      <c r="I19" s="183" t="n"/>
      <c r="J19" s="183" t="n"/>
      <c r="K19" s="183" t="n"/>
      <c r="L19" s="183" t="n"/>
      <c r="M19" s="183" t="n"/>
      <c r="N19" s="183" t="n"/>
      <c r="O19" s="183" t="n"/>
      <c r="P19" s="183" t="n"/>
      <c r="Q19" s="184" t="n"/>
      <c r="T19" s="193" t="inlineStr">
        <is>
          <t>公邸設営補助</t>
        </is>
      </c>
      <c r="U19" s="183" t="n"/>
      <c r="V19" s="184" t="n"/>
      <c r="W19" s="190" t="inlineStr">
        <is>
          <t>レセプション受付補助</t>
        </is>
      </c>
      <c r="X19" s="183" t="n"/>
      <c r="Y19" s="183" t="n"/>
      <c r="Z19" s="183" t="n"/>
      <c r="AA19" s="183" t="n"/>
      <c r="AB19" s="183" t="n"/>
      <c r="AC19" s="183" t="n"/>
      <c r="AD19" s="184" t="n"/>
    </row>
    <row r="20" ht="14.25" customHeight="1" s="123">
      <c r="A20" s="134" t="inlineStr">
        <is>
          <t>稼働人数(自動)</t>
        </is>
      </c>
      <c r="B20" s="197">
        <f>COUNTA(B5:B19)</f>
        <v/>
      </c>
      <c r="C20" s="197">
        <f>COUNTA(C5:C19)</f>
        <v/>
      </c>
      <c r="D20" s="197">
        <f>COUNTA(D5:D19)</f>
        <v/>
      </c>
      <c r="E20" s="197">
        <f>COUNTA(E5:E19)</f>
        <v/>
      </c>
      <c r="F20" s="197">
        <f>COUNTA(F5:F19)</f>
        <v/>
      </c>
      <c r="G20" s="197">
        <f>COUNTA(G5:G19)</f>
        <v/>
      </c>
      <c r="H20" s="197">
        <f>COUNTA(H5:H19)</f>
        <v/>
      </c>
      <c r="I20" s="197">
        <f>COUNTA(I5:I19)</f>
        <v/>
      </c>
      <c r="J20" s="197">
        <f>COUNTA(J5:J19)</f>
        <v/>
      </c>
      <c r="K20" s="197">
        <f>COUNTA(K5:K19)</f>
        <v/>
      </c>
      <c r="L20" s="197">
        <f>COUNTA(L5:L19)</f>
        <v/>
      </c>
      <c r="M20" s="197">
        <f>COUNTA(M5:M19)</f>
        <v/>
      </c>
      <c r="N20" s="197">
        <f>COUNTA(N5:N19)</f>
        <v/>
      </c>
      <c r="O20" s="197">
        <f>COUNTA(O5:O19)</f>
        <v/>
      </c>
      <c r="P20" s="197">
        <f>COUNTA(P5:P19)</f>
        <v/>
      </c>
      <c r="Q20" s="197">
        <f>COUNTA(Q5:Q19)</f>
        <v/>
      </c>
      <c r="R20" s="197">
        <f>COUNTA(R5:R19)</f>
        <v/>
      </c>
      <c r="S20" s="197">
        <f>COUNTA(S5:S19)</f>
        <v/>
      </c>
      <c r="T20" s="197">
        <f>COUNTA(T5:T19)</f>
        <v/>
      </c>
      <c r="U20" s="197">
        <f>COUNTA(U5:U19)</f>
        <v/>
      </c>
      <c r="V20" s="197">
        <f>COUNTA(V5:V19)</f>
        <v/>
      </c>
      <c r="W20" s="197">
        <f>COUNTA(W5:W19)</f>
        <v/>
      </c>
      <c r="X20" s="197">
        <f>COUNTA(X5:X19)</f>
        <v/>
      </c>
      <c r="Y20" s="197">
        <f>COUNTA(Y5:Y19)</f>
        <v/>
      </c>
      <c r="Z20" s="197">
        <f>COUNTA(Z5:Z19)</f>
        <v/>
      </c>
      <c r="AA20" s="197">
        <f>COUNTA(AA5:AA19)</f>
        <v/>
      </c>
      <c r="AB20" s="197">
        <f>COUNTA(AB5:AB19)</f>
        <v/>
      </c>
      <c r="AC20" s="197">
        <f>COUNTA(AC5:AC19)</f>
        <v/>
      </c>
      <c r="AD20" s="197">
        <f>COUNTA(AD5:AD19)</f>
        <v/>
      </c>
      <c r="AE20" s="197">
        <f>COUNTA(AE5:AE19)</f>
        <v/>
      </c>
      <c r="AF20" s="197">
        <f>COUNTA(AF5:AF19)</f>
        <v/>
      </c>
      <c r="AG20" s="197">
        <f>COUNTA(AG5:AG19)</f>
        <v/>
      </c>
    </row>
    <row r="21" ht="14.25" customHeight="1" s="123">
      <c r="A21" s="198" t="inlineStr">
        <is>
          <t>※稼働人数は各30分列で「文字が入っている先頭セル」のみを数えるため、結合セルの2列目以降は0扱い。人数の目安として『同時刻に業務が始まる人数』を示す（正確な在場人数は動態表(日別)を参照）。</t>
        </is>
      </c>
    </row>
    <row r="22" ht="60" customHeight="1" s="123">
      <c r="A22" s="199" t="inlineStr">
        <is>
          <t>ギャップ: (1) 19:00-21:00に受付(名札セット配布100-120名)・MC・VIP対応・写真・バス誘導(Dorsett→公邸)が同時発生。受付2名(藤中・田中)＋吉田で名札配布、写真担当が空白。(2) 27日午前は全員で会場下見のため、Dorsettは藤中・田中のみ。午後はDorsett到着対応と公邸設営準備が並行し、荒木田・池田は機材、児玉は公邸に張り付くため、Dorsett側の到着対応が手薄になる。(3) 開始が19:00（8/26版アジェンダ）に後ろ倒しになったため、Dorsett→公邸の送迎バス出発（従来想定17:30〜18:30）と撤収時刻をCOSEMと再確認する必要がある。</t>
        </is>
      </c>
    </row>
    <row r="23" ht="14.25" customHeight="1" s="123"/>
    <row r="24" ht="14.25" customHeight="1" s="123">
      <c r="A24" s="200" t="inlineStr">
        <is>
          <t>日本側サポート（神戸）※列はシンガポール時間、JSTは+1時間</t>
        </is>
      </c>
    </row>
    <row r="25" ht="21.75" customHeight="1" s="123">
      <c r="A25" s="176">
        <f>人員一覧・判定!B19</f>
        <v/>
      </c>
      <c r="F25" s="201" t="inlineStr">
        <is>
          <t>AI通訳ツール最終設定 (JST10-13)</t>
        </is>
      </c>
      <c r="G25" s="183" t="n"/>
      <c r="H25" s="183" t="n"/>
      <c r="I25" s="183" t="n"/>
      <c r="J25" s="183" t="n"/>
      <c r="K25" s="184" t="n"/>
      <c r="N25" s="193" t="inlineStr">
        <is>
          <t>接続テスト②: Webinar/Zoomホスト設定・現地(荒木田・池田)と接続 (JST14-17)</t>
        </is>
      </c>
      <c r="O25" s="183" t="n"/>
      <c r="P25" s="183" t="n"/>
      <c r="Q25" s="183" t="n"/>
      <c r="R25" s="183" t="n"/>
      <c r="S25" s="184" t="n"/>
    </row>
    <row r="26" ht="21.75" customHeight="1" s="123">
      <c r="A26" s="176">
        <f>人員一覧・判定!B20</f>
        <v/>
      </c>
      <c r="F26" s="193" t="inlineStr">
        <is>
          <t>録画設定テスト(クラウド+ローカル)</t>
        </is>
      </c>
      <c r="G26" s="183" t="n"/>
      <c r="H26" s="183" t="n"/>
      <c r="I26" s="183" t="n"/>
      <c r="J26" s="183" t="n"/>
      <c r="K26" s="184" t="n"/>
      <c r="N26" s="193" t="inlineStr">
        <is>
          <t>接続テスト②参加・録画リハ</t>
        </is>
      </c>
      <c r="O26" s="183" t="n"/>
      <c r="P26" s="183" t="n"/>
      <c r="Q26" s="183" t="n"/>
      <c r="R26" s="183" t="n"/>
      <c r="S26" s="184" t="n"/>
    </row>
    <row r="27" ht="21.75" customHeight="1" s="123">
      <c r="A27" s="176">
        <f>人員一覧・判定!B22</f>
        <v/>
      </c>
      <c r="N27" s="202" t="inlineStr">
        <is>
          <t>録画テスト(日英2台) ※仮置き</t>
        </is>
      </c>
      <c r="O27" s="183" t="n"/>
      <c r="P27" s="183" t="n"/>
      <c r="Q27" s="183" t="n"/>
      <c r="R27" s="183" t="n"/>
      <c r="S27" s="184" t="n"/>
    </row>
    <row r="28" ht="21.75" customHeight="1" s="123">
      <c r="A28" s="176">
        <f>人員一覧・判定!B21</f>
        <v/>
      </c>
      <c r="N28" s="203" t="inlineStr">
        <is>
          <t>Webinar設定・ホスト/録画確認 ※仮置き</t>
        </is>
      </c>
      <c r="O28" s="183" t="n"/>
      <c r="P28" s="183" t="n"/>
      <c r="Q28" s="183" t="n"/>
      <c r="R28" s="183" t="n"/>
      <c r="S28" s="184" t="n"/>
    </row>
    <row r="29" ht="14.25" customHeight="1" s="123">
      <c r="A29" s="198" t="inlineStr">
        <is>
          <t>※寺坂・伊達はACDR2025の実績（録画日英2台・Webinarホスト確認）に基づく仮置き。WebinarとZoomはクラウド録画をバックアップとし、ローカルにも保存（2025年運用）。</t>
        </is>
      </c>
    </row>
  </sheetData>
  <mergeCells count="52">
    <mergeCell ref="T10:AE10"/>
    <mergeCell ref="Y11:AD11"/>
    <mergeCell ref="F10:G10"/>
    <mergeCell ref="F18:K18"/>
    <mergeCell ref="F26:K26"/>
    <mergeCell ref="N14:S14"/>
    <mergeCell ref="F8:K8"/>
    <mergeCell ref="Y17:AD17"/>
    <mergeCell ref="W15:AD15"/>
    <mergeCell ref="H7:J7"/>
    <mergeCell ref="Y7:AD7"/>
    <mergeCell ref="Y6:AD6"/>
    <mergeCell ref="B4:K4"/>
    <mergeCell ref="F15:K15"/>
    <mergeCell ref="N10:S10"/>
    <mergeCell ref="N28:S28"/>
    <mergeCell ref="Y13:AD13"/>
    <mergeCell ref="Y18:AD18"/>
    <mergeCell ref="F9:K9"/>
    <mergeCell ref="D13:Q13"/>
    <mergeCell ref="Y12:AD12"/>
    <mergeCell ref="T9:X9"/>
    <mergeCell ref="T16:V16"/>
    <mergeCell ref="T12:X12"/>
    <mergeCell ref="L4:S4"/>
    <mergeCell ref="T19:V19"/>
    <mergeCell ref="W16:AD16"/>
    <mergeCell ref="F14:K14"/>
    <mergeCell ref="N27:S27"/>
    <mergeCell ref="T11:X11"/>
    <mergeCell ref="N26:S26"/>
    <mergeCell ref="T15:V15"/>
    <mergeCell ref="T17:X17"/>
    <mergeCell ref="F11:K11"/>
    <mergeCell ref="Z4:AD4"/>
    <mergeCell ref="T13:X13"/>
    <mergeCell ref="A24:L24"/>
    <mergeCell ref="H10:J10"/>
    <mergeCell ref="F25:K25"/>
    <mergeCell ref="F16:K16"/>
    <mergeCell ref="D12:Q12"/>
    <mergeCell ref="F17:I17"/>
    <mergeCell ref="A22:T22"/>
    <mergeCell ref="N25:S25"/>
    <mergeCell ref="F19:Q19"/>
    <mergeCell ref="W8:AD8"/>
    <mergeCell ref="Y9:AD9"/>
    <mergeCell ref="T4:Y4"/>
    <mergeCell ref="W14:AD14"/>
    <mergeCell ref="T18:X18"/>
    <mergeCell ref="W19:AD19"/>
    <mergeCell ref="J17:K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E18" activeCellId="0" sqref="AE18"/>
    </sheetView>
  </sheetViews>
  <sheetFormatPr baseColWidth="8" defaultColWidth="8.55859375" defaultRowHeight="14.25" zeroHeight="0" outlineLevelRow="0"/>
  <cols>
    <col width="14" customWidth="1" style="122" min="1" max="1"/>
    <col width="4.22" customWidth="1" style="122" min="2" max="33"/>
  </cols>
  <sheetData>
    <row r="1" ht="15" customHeight="1" s="123">
      <c r="A1" s="179" t="inlineStr">
        <is>
          <t>28 OCT 2026 (WED)  Day 1: Joint Opening / ACDR Opening / Roundtable / SC / Gala Dinner</t>
        </is>
      </c>
    </row>
    <row r="3" ht="14.25" customHeight="1" s="123">
      <c r="B3" s="180" t="inlineStr">
        <is>
          <t>7:00</t>
        </is>
      </c>
      <c r="C3" s="180" t="n"/>
      <c r="D3" s="180" t="inlineStr">
        <is>
          <t>8:00</t>
        </is>
      </c>
      <c r="E3" s="180" t="n"/>
      <c r="F3" s="180" t="inlineStr">
        <is>
          <t>9:00</t>
        </is>
      </c>
      <c r="G3" s="180" t="n"/>
      <c r="H3" s="180" t="inlineStr">
        <is>
          <t>10:00</t>
        </is>
      </c>
      <c r="I3" s="180" t="n"/>
      <c r="J3" s="180" t="inlineStr">
        <is>
          <t>11:00</t>
        </is>
      </c>
      <c r="K3" s="180" t="n"/>
      <c r="L3" s="180" t="inlineStr">
        <is>
          <t>12:00</t>
        </is>
      </c>
      <c r="M3" s="180" t="n"/>
      <c r="N3" s="180" t="inlineStr">
        <is>
          <t>13:00</t>
        </is>
      </c>
      <c r="O3" s="180" t="n"/>
      <c r="P3" s="180" t="inlineStr">
        <is>
          <t>14:00</t>
        </is>
      </c>
      <c r="Q3" s="180" t="n"/>
      <c r="R3" s="180" t="inlineStr">
        <is>
          <t>15:00</t>
        </is>
      </c>
      <c r="S3" s="180" t="n"/>
      <c r="T3" s="180" t="inlineStr">
        <is>
          <t>16:00</t>
        </is>
      </c>
      <c r="U3" s="180" t="n"/>
      <c r="V3" s="180" t="inlineStr">
        <is>
          <t>17:00</t>
        </is>
      </c>
      <c r="W3" s="180" t="n"/>
      <c r="X3" s="180" t="inlineStr">
        <is>
          <t>18:00</t>
        </is>
      </c>
      <c r="Y3" s="180" t="n"/>
      <c r="Z3" s="180" t="inlineStr">
        <is>
          <t>19:00</t>
        </is>
      </c>
      <c r="AA3" s="180" t="n"/>
      <c r="AB3" s="180" t="inlineStr">
        <is>
          <t>20:00</t>
        </is>
      </c>
      <c r="AC3" s="180" t="n"/>
      <c r="AD3" s="180" t="inlineStr">
        <is>
          <t>21:00</t>
        </is>
      </c>
      <c r="AE3" s="180" t="n"/>
      <c r="AF3" s="180" t="inlineStr">
        <is>
          <t>22:00</t>
        </is>
      </c>
      <c r="AG3" s="180" t="n"/>
    </row>
    <row r="4" ht="30" customHeight="1" s="123">
      <c r="A4" s="181" t="inlineStr">
        <is>
          <t>PROGRAM</t>
        </is>
      </c>
      <c r="C4" s="182" t="inlineStr">
        <is>
          <t>会場・NW最終テスト(演台・客席・事務局部屋)／事務局部屋立上げ／Hotel Mi→EXPO バス</t>
        </is>
      </c>
      <c r="D4" s="183" t="n"/>
      <c r="E4" s="183" t="n"/>
      <c r="F4" s="184" t="n"/>
      <c r="H4" s="204" t="inlineStr">
        <is>
          <t>Joint Opening (Hall 3)</t>
        </is>
      </c>
      <c r="I4" s="204" t="inlineStr">
        <is>
          <t>VIP Tour(Japan Pavilion Opening)／11:15表敬</t>
        </is>
      </c>
      <c r="J4" s="184" t="n"/>
      <c r="K4" s="204" t="inlineStr">
        <is>
          <t>Lunch (Hall 3)</t>
        </is>
      </c>
      <c r="L4" s="184" t="n"/>
      <c r="M4" s="204" t="inlineStr">
        <is>
          <t>ACDR Opening</t>
        </is>
      </c>
      <c r="N4" s="204" t="inlineStr">
        <is>
          <t>Roundtable (Peridot) 13:00-15:30 SCDFモデレーター+メンバー国Co-Mod　※前倒し検討中</t>
        </is>
      </c>
      <c r="O4" s="183" t="n"/>
      <c r="P4" s="183" t="n"/>
      <c r="Q4" s="183" t="n"/>
      <c r="R4" s="184" t="n"/>
      <c r="S4" s="204" t="inlineStr">
        <is>
          <t>Steering Committee</t>
        </is>
      </c>
      <c r="T4" s="184" t="n"/>
      <c r="W4" s="204" t="inlineStr">
        <is>
          <t>Dorsett 17:30発→Orchard Hotel</t>
        </is>
      </c>
      <c r="X4" s="184" t="n"/>
      <c r="Y4" s="204" t="inlineStr">
        <is>
          <t>SIDEX Gala Dinner (Grand Ballroom)</t>
        </is>
      </c>
      <c r="Z4" s="183" t="n"/>
      <c r="AA4" s="183" t="n"/>
      <c r="AB4" s="183" t="n"/>
      <c r="AC4" s="184" t="n"/>
    </row>
    <row r="5" ht="3.75" customHeight="1" s="123">
      <c r="A5" s="181" t="n"/>
      <c r="C5" s="185" t="n"/>
      <c r="D5" s="185" t="n"/>
      <c r="E5" s="185" t="n"/>
      <c r="F5" s="185" t="n"/>
      <c r="H5" s="204" t="n"/>
      <c r="I5" s="204" t="n"/>
      <c r="J5" s="204" t="n"/>
      <c r="K5" s="205" t="n"/>
      <c r="L5" s="205" t="n"/>
      <c r="M5" s="204" t="n"/>
      <c r="N5" s="204" t="n"/>
      <c r="O5" s="204" t="n"/>
      <c r="P5" s="204" t="n"/>
      <c r="Q5" s="204" t="n"/>
      <c r="R5" s="204" t="n"/>
      <c r="S5" s="204" t="n"/>
      <c r="T5" s="204" t="n"/>
      <c r="W5" s="204" t="n"/>
      <c r="X5" s="204" t="n"/>
      <c r="Y5" s="204" t="n"/>
      <c r="Z5" s="204" t="n"/>
      <c r="AA5" s="204" t="n"/>
      <c r="AB5" s="204" t="n"/>
      <c r="AC5" s="204" t="n"/>
    </row>
    <row r="6" ht="21.75" customHeight="1" s="123">
      <c r="A6" s="165">
        <f>人員一覧・判定!B5</f>
        <v/>
      </c>
      <c r="G6" s="206" t="inlineStr">
        <is>
          <t>Joint Opening/VIP Tour</t>
        </is>
      </c>
      <c r="H6" s="183" t="n"/>
      <c r="I6" s="183" t="n"/>
      <c r="J6" s="184" t="n"/>
      <c r="M6" s="207" t="inlineStr">
        <is>
          <t>ACDR Opening 挨拶</t>
        </is>
      </c>
      <c r="N6" s="207" t="inlineStr">
        <is>
          <t>Roundtable</t>
        </is>
      </c>
      <c r="O6" s="183" t="n"/>
      <c r="P6" s="183" t="n"/>
      <c r="Q6" s="183" t="n"/>
      <c r="R6" s="184" t="n"/>
      <c r="S6" s="207" t="inlineStr">
        <is>
          <t>SC</t>
        </is>
      </c>
      <c r="T6" s="184" t="n"/>
      <c r="W6" s="204" t="inlineStr">
        <is>
          <t>Gala</t>
        </is>
      </c>
      <c r="X6" s="183" t="n"/>
      <c r="Y6" s="183" t="n"/>
      <c r="Z6" s="183" t="n"/>
      <c r="AA6" s="183" t="n"/>
      <c r="AB6" s="183" t="n"/>
      <c r="AC6" s="184" t="n"/>
    </row>
    <row r="7" ht="21.75" customHeight="1" s="123">
      <c r="A7" s="165">
        <f>人員一覧・判定!B6</f>
        <v/>
      </c>
      <c r="G7" s="206" t="inlineStr">
        <is>
          <t>Joint Opening/VIP Tour</t>
        </is>
      </c>
      <c r="H7" s="183" t="n"/>
      <c r="I7" s="183" t="n"/>
      <c r="J7" s="184" t="n"/>
      <c r="M7" s="207" t="inlineStr">
        <is>
          <t>Opening/Roundtable</t>
        </is>
      </c>
      <c r="N7" s="183" t="n"/>
      <c r="O7" s="183" t="n"/>
      <c r="P7" s="183" t="n"/>
      <c r="Q7" s="183" t="n"/>
      <c r="R7" s="184" t="n"/>
      <c r="S7" s="207" t="inlineStr">
        <is>
          <t>SC</t>
        </is>
      </c>
      <c r="T7" s="184" t="n"/>
      <c r="W7" s="204" t="inlineStr">
        <is>
          <t>Gala</t>
        </is>
      </c>
      <c r="X7" s="183" t="n"/>
      <c r="Y7" s="183" t="n"/>
      <c r="Z7" s="183" t="n"/>
      <c r="AA7" s="183" t="n"/>
      <c r="AB7" s="183" t="n"/>
      <c r="AC7" s="184" t="n"/>
    </row>
    <row r="8" ht="21.75" customHeight="1" s="123">
      <c r="A8" s="165">
        <f>人員一覧・判定!B7</f>
        <v/>
      </c>
      <c r="F8" s="186" t="inlineStr">
        <is>
          <t>Opening/VIP Tour(内閣府に同行、随行ではない)</t>
        </is>
      </c>
      <c r="G8" s="183" t="n"/>
      <c r="H8" s="183" t="n"/>
      <c r="I8" s="183" t="n"/>
      <c r="J8" s="184" t="n"/>
      <c r="M8" s="207" t="inlineStr">
        <is>
          <t>Opening/RT(内閣府随行)</t>
        </is>
      </c>
      <c r="N8" s="183" t="n"/>
      <c r="O8" s="183" t="n"/>
      <c r="P8" s="183" t="n"/>
      <c r="Q8" s="183" t="n"/>
      <c r="R8" s="184" t="n"/>
      <c r="S8" s="207" t="inlineStr">
        <is>
          <t>SC(議長=内閣府 補佐)</t>
        </is>
      </c>
      <c r="T8" s="184" t="n"/>
      <c r="W8" s="204" t="inlineStr">
        <is>
          <t>Gala(内閣府随行)</t>
        </is>
      </c>
      <c r="X8" s="183" t="n"/>
      <c r="Y8" s="183" t="n"/>
      <c r="Z8" s="183" t="n"/>
      <c r="AA8" s="183" t="n"/>
      <c r="AB8" s="183" t="n"/>
      <c r="AC8" s="184" t="n"/>
    </row>
    <row r="9" ht="21.75" customHeight="1" s="123">
      <c r="A9" s="165">
        <f>人員一覧・判定!B8</f>
        <v/>
      </c>
      <c r="C9" s="188" t="inlineStr">
        <is>
          <t>会場テスト/事務局部屋</t>
        </is>
      </c>
      <c r="D9" s="183" t="n"/>
      <c r="E9" s="183" t="n"/>
      <c r="F9" s="184" t="n"/>
      <c r="G9" s="186" t="inlineStr">
        <is>
          <t>COSEM調整・VIP動線(臨機応変)</t>
        </is>
      </c>
      <c r="H9" s="183" t="n"/>
      <c r="I9" s="183" t="n"/>
      <c r="J9" s="184" t="n"/>
      <c r="M9" s="207" t="inlineStr">
        <is>
          <t>RT(バイ会談調整)</t>
        </is>
      </c>
      <c r="N9" s="183" t="n"/>
      <c r="O9" s="183" t="n"/>
      <c r="P9" s="183" t="n"/>
      <c r="Q9" s="183" t="n"/>
      <c r="R9" s="184" t="n"/>
      <c r="S9" s="207" t="inlineStr">
        <is>
          <t>SC</t>
        </is>
      </c>
      <c r="T9" s="184" t="n"/>
      <c r="V9" s="204" t="inlineStr">
        <is>
          <t>Gala引率(バス)</t>
        </is>
      </c>
      <c r="W9" s="183" t="n"/>
      <c r="X9" s="183" t="n"/>
      <c r="Y9" s="183" t="n"/>
      <c r="Z9" s="183" t="n"/>
      <c r="AA9" s="183" t="n"/>
      <c r="AB9" s="183" t="n"/>
      <c r="AC9" s="184" t="n"/>
    </row>
    <row r="10" ht="21.75" customHeight="1" s="123">
      <c r="A10" s="165">
        <f>人員一覧・判定!B9</f>
        <v/>
      </c>
      <c r="C10" s="188" t="inlineStr">
        <is>
          <t>会場・NW・Zoom・AI通訳テスト／日本側と接続確認</t>
        </is>
      </c>
      <c r="D10" s="183" t="n"/>
      <c r="E10" s="183" t="n"/>
      <c r="F10" s="184" t="n"/>
      <c r="G10" s="206" t="inlineStr">
        <is>
          <t>Opening進行確認/VIP Tour同行</t>
        </is>
      </c>
      <c r="H10" s="183" t="n"/>
      <c r="I10" s="183" t="n"/>
      <c r="J10" s="184" t="n"/>
      <c r="M10" s="207" t="inlineStr">
        <is>
          <t>ACDR Opening進行</t>
        </is>
      </c>
      <c r="N10" s="189" t="inlineStr">
        <is>
          <t>RT AV/Zoom運用</t>
        </is>
      </c>
      <c r="O10" s="183" t="n"/>
      <c r="P10" s="183" t="n"/>
      <c r="Q10" s="183" t="n"/>
      <c r="R10" s="184" t="n"/>
      <c r="S10" s="207" t="inlineStr">
        <is>
          <t>SC(記録)</t>
        </is>
      </c>
      <c r="T10" s="184" t="n"/>
      <c r="W10" s="204" t="inlineStr">
        <is>
          <t>Gala</t>
        </is>
      </c>
      <c r="X10" s="183" t="n"/>
      <c r="Y10" s="183" t="n"/>
      <c r="Z10" s="183" t="n"/>
      <c r="AA10" s="183" t="n"/>
      <c r="AB10" s="183" t="n"/>
      <c r="AC10" s="184" t="n"/>
    </row>
    <row r="11" ht="21.75" customHeight="1" s="123">
      <c r="A11" s="165">
        <f>人員一覧・判定!B10</f>
        <v/>
      </c>
      <c r="D11" s="208" t="inlineStr">
        <is>
          <t>RT準備(ステートメント・席札)</t>
        </is>
      </c>
      <c r="E11" s="183" t="n"/>
      <c r="F11" s="184" t="n"/>
      <c r="G11" s="190" t="inlineStr">
        <is>
          <t>参加者誘導(Hall3→昼食)</t>
        </is>
      </c>
      <c r="H11" s="183" t="n"/>
      <c r="I11" s="183" t="n"/>
      <c r="J11" s="184" t="n"/>
      <c r="M11" s="207" t="inlineStr">
        <is>
          <t>RT運営(PIC)</t>
        </is>
      </c>
      <c r="N11" s="183" t="n"/>
      <c r="O11" s="183" t="n"/>
      <c r="P11" s="183" t="n"/>
      <c r="Q11" s="183" t="n"/>
      <c r="R11" s="184" t="n"/>
      <c r="S11" s="207" t="inlineStr">
        <is>
          <t>SC補助</t>
        </is>
      </c>
      <c r="T11" s="184" t="n"/>
      <c r="V11" s="204" t="inlineStr">
        <is>
          <t>Gala引率</t>
        </is>
      </c>
      <c r="W11" s="183" t="n"/>
      <c r="X11" s="183" t="n"/>
      <c r="Y11" s="183" t="n"/>
      <c r="Z11" s="183" t="n"/>
      <c r="AA11" s="183" t="n"/>
      <c r="AB11" s="183" t="n"/>
      <c r="AC11" s="184" t="n"/>
    </row>
    <row r="12" ht="21.75" customHeight="1" s="123">
      <c r="A12" s="165">
        <f>人員一覧・判定!B11</f>
        <v/>
      </c>
      <c r="D12" s="209" t="inlineStr">
        <is>
          <t>受付デスク設営・運営(Peridot)</t>
        </is>
      </c>
      <c r="E12" s="183" t="n"/>
      <c r="F12" s="183" t="n"/>
      <c r="G12" s="183" t="n"/>
      <c r="H12" s="183" t="n"/>
      <c r="I12" s="183" t="n"/>
      <c r="J12" s="183" t="n"/>
      <c r="K12" s="183" t="n"/>
      <c r="L12" s="184" t="n"/>
      <c r="M12" s="190" t="inlineStr">
        <is>
          <t>受付/RT</t>
        </is>
      </c>
      <c r="N12" s="183" t="n"/>
      <c r="O12" s="183" t="n"/>
      <c r="P12" s="183" t="n"/>
      <c r="Q12" s="183" t="n"/>
      <c r="R12" s="184" t="n"/>
      <c r="S12" s="207" t="inlineStr">
        <is>
          <t>SC事務(会計報告)</t>
        </is>
      </c>
      <c r="T12" s="184" t="n"/>
      <c r="W12" s="204" t="inlineStr">
        <is>
          <t>Gala</t>
        </is>
      </c>
      <c r="X12" s="183" t="n"/>
      <c r="Y12" s="183" t="n"/>
      <c r="Z12" s="183" t="n"/>
      <c r="AA12" s="183" t="n"/>
      <c r="AB12" s="183" t="n"/>
      <c r="AC12" s="184" t="n"/>
    </row>
    <row r="13" ht="21.75" customHeight="1" s="123">
      <c r="A13" s="165">
        <f>人員一覧・判定!B12</f>
        <v/>
      </c>
      <c r="D13" s="209" t="inlineStr">
        <is>
          <t>受付デスク設営・運営(Peridot)</t>
        </is>
      </c>
      <c r="E13" s="183" t="n"/>
      <c r="F13" s="183" t="n"/>
      <c r="G13" s="183" t="n"/>
      <c r="H13" s="183" t="n"/>
      <c r="I13" s="183" t="n"/>
      <c r="J13" s="183" t="n"/>
      <c r="K13" s="183" t="n"/>
      <c r="L13" s="184" t="n"/>
      <c r="M13" s="190" t="inlineStr">
        <is>
          <t>受付/RT</t>
        </is>
      </c>
      <c r="N13" s="183" t="n"/>
      <c r="O13" s="183" t="n"/>
      <c r="P13" s="183" t="n"/>
      <c r="Q13" s="183" t="n"/>
      <c r="R13" s="184" t="n"/>
      <c r="S13" s="190" t="inlineStr">
        <is>
          <t>受付</t>
        </is>
      </c>
      <c r="T13" s="184" t="n"/>
      <c r="V13" s="204" t="inlineStr">
        <is>
          <t>Gala引率(名簿)</t>
        </is>
      </c>
      <c r="W13" s="183" t="n"/>
      <c r="X13" s="183" t="n"/>
      <c r="Y13" s="183" t="n"/>
      <c r="Z13" s="183" t="n"/>
      <c r="AA13" s="183" t="n"/>
      <c r="AB13" s="183" t="n"/>
      <c r="AC13" s="184" t="n"/>
    </row>
    <row r="14" ht="21.75" customHeight="1" s="123">
      <c r="A14" s="165">
        <f>人員一覧・判定!B13</f>
        <v/>
      </c>
      <c r="C14" s="188" t="inlineStr">
        <is>
          <t>会場AVテスト／日本側と接続確認</t>
        </is>
      </c>
      <c r="D14" s="183" t="n"/>
      <c r="E14" s="183" t="n"/>
      <c r="F14" s="184" t="n"/>
      <c r="G14" s="189" t="inlineStr">
        <is>
          <t>Japan Pavilion連携</t>
        </is>
      </c>
      <c r="H14" s="183" t="n"/>
      <c r="I14" s="183" t="n"/>
      <c r="J14" s="184" t="n"/>
      <c r="M14" s="189" t="inlineStr">
        <is>
          <t>RT PC・スクリーン操作</t>
        </is>
      </c>
      <c r="N14" s="183" t="n"/>
      <c r="O14" s="183" t="n"/>
      <c r="P14" s="183" t="n"/>
      <c r="Q14" s="183" t="n"/>
      <c r="R14" s="184" t="n"/>
      <c r="S14" s="189" t="inlineStr">
        <is>
          <t>SC(AV)</t>
        </is>
      </c>
      <c r="T14" s="184" t="n"/>
      <c r="W14" s="204" t="inlineStr">
        <is>
          <t>Gala</t>
        </is>
      </c>
      <c r="X14" s="183" t="n"/>
      <c r="Y14" s="183" t="n"/>
      <c r="Z14" s="183" t="n"/>
      <c r="AA14" s="183" t="n"/>
      <c r="AB14" s="183" t="n"/>
      <c r="AC14" s="184" t="n"/>
    </row>
    <row r="15" ht="21.75" customHeight="1" s="123">
      <c r="A15" s="192">
        <f>人員一覧・判定!C14</f>
        <v/>
      </c>
      <c r="C15" s="135" t="inlineStr">
        <is>
          <t>事務局部屋・受付デスク設営</t>
        </is>
      </c>
      <c r="D15" s="187" t="inlineStr">
        <is>
          <t>受付デスク設営</t>
        </is>
      </c>
      <c r="E15" s="183" t="n"/>
      <c r="F15" s="184" t="n"/>
      <c r="G15" s="207" t="inlineStr">
        <is>
          <t>Opening</t>
        </is>
      </c>
      <c r="H15" s="183" t="n"/>
      <c r="I15" s="183" t="n"/>
      <c r="J15" s="184" t="n"/>
      <c r="M15" s="207" t="inlineStr">
        <is>
          <t>RT共同運営/ノート</t>
        </is>
      </c>
      <c r="N15" s="183" t="n"/>
      <c r="O15" s="183" t="n"/>
      <c r="P15" s="183" t="n"/>
      <c r="Q15" s="183" t="n"/>
      <c r="R15" s="184" t="n"/>
      <c r="S15" s="207" t="inlineStr">
        <is>
          <t>SCメモ</t>
        </is>
      </c>
      <c r="T15" s="184" t="n"/>
      <c r="W15" s="204" t="inlineStr">
        <is>
          <t>Gala</t>
        </is>
      </c>
      <c r="X15" s="183" t="n"/>
      <c r="Y15" s="183" t="n"/>
      <c r="Z15" s="183" t="n"/>
      <c r="AA15" s="183" t="n"/>
      <c r="AB15" s="183" t="n"/>
      <c r="AC15" s="184" t="n"/>
      <c r="AD15" s="208" t="inlineStr">
        <is>
          <t>Draft Summary執筆</t>
        </is>
      </c>
      <c r="AE15" s="183" t="n"/>
      <c r="AF15" s="184" t="n"/>
    </row>
    <row r="16" ht="21.75" customHeight="1" s="123">
      <c r="A16" s="165">
        <f>人員一覧・判定!C15</f>
        <v/>
      </c>
      <c r="C16" s="135" t="inlineStr">
        <is>
          <t>事務局部屋・受付デスク設営</t>
        </is>
      </c>
      <c r="D16" s="187" t="inlineStr">
        <is>
          <t>受付デスク設営</t>
        </is>
      </c>
      <c r="E16" s="183" t="n"/>
      <c r="F16" s="184" t="n"/>
      <c r="G16" s="207" t="inlineStr">
        <is>
          <t>Opening</t>
        </is>
      </c>
      <c r="H16" s="183" t="n"/>
      <c r="I16" s="183" t="n"/>
      <c r="J16" s="184" t="n"/>
      <c r="M16" s="207" t="inlineStr">
        <is>
          <t>RTノート/翌日登壇者対応</t>
        </is>
      </c>
      <c r="N16" s="183" t="n"/>
      <c r="O16" s="183" t="n"/>
      <c r="P16" s="183" t="n"/>
      <c r="Q16" s="183" t="n"/>
      <c r="R16" s="184" t="n"/>
      <c r="S16" s="187" t="inlineStr">
        <is>
          <t>登壇者リハ調整</t>
        </is>
      </c>
      <c r="T16" s="184" t="n"/>
      <c r="W16" s="204" t="inlineStr">
        <is>
          <t>Gala</t>
        </is>
      </c>
      <c r="X16" s="183" t="n"/>
      <c r="Y16" s="183" t="n"/>
      <c r="Z16" s="183" t="n"/>
      <c r="AA16" s="183" t="n"/>
      <c r="AB16" s="183" t="n"/>
      <c r="AC16" s="184" t="n"/>
    </row>
    <row r="17" ht="21.75" customHeight="1" s="123">
      <c r="A17" s="168">
        <f>人員一覧・判定!B18</f>
        <v/>
      </c>
      <c r="C17" s="193" t="inlineStr">
        <is>
          <t>事務局部屋設営</t>
        </is>
      </c>
      <c r="D17" s="183" t="n"/>
      <c r="E17" s="183" t="n"/>
      <c r="F17" s="184" t="n"/>
      <c r="G17" s="210" t="inlineStr">
        <is>
          <t>Joint Opening</t>
        </is>
      </c>
      <c r="H17" s="183" t="n"/>
      <c r="I17" s="183" t="n"/>
      <c r="J17" s="184" t="n"/>
      <c r="M17" s="210" t="inlineStr">
        <is>
          <t>ACDR Opening/RT</t>
        </is>
      </c>
      <c r="N17" s="183" t="n"/>
      <c r="O17" s="183" t="n"/>
      <c r="P17" s="183" t="n"/>
      <c r="Q17" s="183" t="n"/>
      <c r="R17" s="184" t="n"/>
      <c r="S17" s="210" t="inlineStr">
        <is>
          <t>SC事務(議案・進行・会計報告)</t>
        </is>
      </c>
      <c r="T17" s="184" t="n"/>
      <c r="W17" s="211" t="inlineStr">
        <is>
          <t>Gala</t>
        </is>
      </c>
      <c r="X17" s="183" t="n"/>
      <c r="Y17" s="183" t="n"/>
      <c r="Z17" s="183" t="n"/>
      <c r="AA17" s="183" t="n"/>
      <c r="AB17" s="183" t="n"/>
      <c r="AC17" s="184" t="n"/>
    </row>
    <row r="18" ht="21.75" customHeight="1" s="123">
      <c r="A18" s="165">
        <f>人員一覧・判定!B16</f>
        <v/>
      </c>
      <c r="C18" s="188" t="inlineStr">
        <is>
          <t>Zoom/AI翻訳セットアップ</t>
        </is>
      </c>
      <c r="D18" s="183" t="n"/>
      <c r="E18" s="183" t="n"/>
      <c r="F18" s="184" t="n"/>
      <c r="G18" s="188" t="inlineStr">
        <is>
          <t>写真/誘導</t>
        </is>
      </c>
      <c r="H18" s="183" t="n"/>
      <c r="I18" s="183" t="n"/>
      <c r="J18" s="184" t="n"/>
      <c r="M18" s="188" t="inlineStr">
        <is>
          <t>Zoom・AI翻訳オペ/写真</t>
        </is>
      </c>
      <c r="N18" s="183" t="n"/>
      <c r="O18" s="183" t="n"/>
      <c r="P18" s="183" t="n"/>
      <c r="Q18" s="183" t="n"/>
      <c r="R18" s="183" t="n"/>
      <c r="S18" s="183" t="n"/>
      <c r="T18" s="184" t="n"/>
      <c r="W18" s="182" t="inlineStr">
        <is>
          <t>Gala(写真)</t>
        </is>
      </c>
      <c r="X18" s="183" t="n"/>
      <c r="Y18" s="183" t="n"/>
      <c r="Z18" s="183" t="n"/>
      <c r="AA18" s="183" t="n"/>
      <c r="AB18" s="183" t="n"/>
      <c r="AC18" s="184" t="n"/>
    </row>
    <row r="19" ht="21.75" customHeight="1" s="123">
      <c r="A19" s="165">
        <f>人員一覧・判定!B17</f>
        <v/>
      </c>
      <c r="C19" s="135" t="inlineStr">
        <is>
          <t>事務局部屋・受付デスク設営</t>
        </is>
      </c>
      <c r="D19" s="187" t="inlineStr">
        <is>
          <t>受付デスク設営</t>
        </is>
      </c>
      <c r="E19" s="183" t="n"/>
      <c r="F19" s="184" t="n"/>
      <c r="G19" s="190" t="inlineStr">
        <is>
          <t>参加者誘導</t>
        </is>
      </c>
      <c r="H19" s="183" t="n"/>
      <c r="I19" s="183" t="n"/>
      <c r="J19" s="184" t="n"/>
      <c r="M19" s="212" t="inlineStr">
        <is>
          <t>RT記録</t>
        </is>
      </c>
      <c r="N19" s="183" t="n"/>
      <c r="O19" s="183" t="n"/>
      <c r="P19" s="183" t="n"/>
      <c r="Q19" s="183" t="n"/>
      <c r="R19" s="184" t="n"/>
      <c r="S19" s="212" t="inlineStr">
        <is>
          <t>SC記録補助</t>
        </is>
      </c>
      <c r="T19" s="184" t="n"/>
      <c r="W19" s="182" t="inlineStr">
        <is>
          <t>Gala</t>
        </is>
      </c>
      <c r="X19" s="183" t="n"/>
      <c r="Y19" s="183" t="n"/>
      <c r="Z19" s="183" t="n"/>
      <c r="AA19" s="183" t="n"/>
      <c r="AB19" s="183" t="n"/>
      <c r="AC19" s="184" t="n"/>
    </row>
    <row r="20" ht="14.25" customHeight="1" s="123">
      <c r="A20" s="134" t="inlineStr">
        <is>
          <t>稼働人数(自動)</t>
        </is>
      </c>
      <c r="B20" s="197">
        <f>COUNTA(B5:B19)</f>
        <v/>
      </c>
      <c r="C20" s="197">
        <f>COUNTA(C5:C19)</f>
        <v/>
      </c>
      <c r="D20" s="197">
        <f>COUNTA(D5:D19)</f>
        <v/>
      </c>
      <c r="E20" s="197">
        <f>COUNTA(E5:E19)</f>
        <v/>
      </c>
      <c r="F20" s="197">
        <f>COUNTA(F5:F19)</f>
        <v/>
      </c>
      <c r="G20" s="197">
        <f>COUNTA(G5:G19)</f>
        <v/>
      </c>
      <c r="H20" s="197">
        <f>COUNTA(H5:H19)</f>
        <v/>
      </c>
      <c r="I20" s="197">
        <f>COUNTA(I5:I19)</f>
        <v/>
      </c>
      <c r="J20" s="197">
        <f>COUNTA(J5:J19)</f>
        <v/>
      </c>
      <c r="K20" s="197">
        <f>COUNTA(K5:K19)</f>
        <v/>
      </c>
      <c r="L20" s="197">
        <f>COUNTA(L5:L19)</f>
        <v/>
      </c>
      <c r="M20" s="197">
        <f>COUNTA(M5:M19)</f>
        <v/>
      </c>
      <c r="N20" s="197">
        <f>COUNTA(N5:N19)</f>
        <v/>
      </c>
      <c r="O20" s="197">
        <f>COUNTA(O5:O19)</f>
        <v/>
      </c>
      <c r="P20" s="197">
        <f>COUNTA(P5:P19)</f>
        <v/>
      </c>
      <c r="Q20" s="197">
        <f>COUNTA(Q5:Q19)</f>
        <v/>
      </c>
      <c r="R20" s="197">
        <f>COUNTA(R5:R19)</f>
        <v/>
      </c>
      <c r="S20" s="197">
        <f>COUNTA(S5:S19)</f>
        <v/>
      </c>
      <c r="T20" s="197">
        <f>COUNTA(T5:T19)</f>
        <v/>
      </c>
      <c r="U20" s="197">
        <f>COUNTA(U5:U19)</f>
        <v/>
      </c>
      <c r="V20" s="197">
        <f>COUNTA(V5:V19)</f>
        <v/>
      </c>
      <c r="W20" s="197">
        <f>COUNTA(W5:W19)</f>
        <v/>
      </c>
      <c r="X20" s="197">
        <f>COUNTA(X5:X19)</f>
        <v/>
      </c>
      <c r="Y20" s="197">
        <f>COUNTA(Y5:Y19)</f>
        <v/>
      </c>
      <c r="Z20" s="197">
        <f>COUNTA(Z5:Z19)</f>
        <v/>
      </c>
      <c r="AA20" s="197">
        <f>COUNTA(AA5:AA19)</f>
        <v/>
      </c>
      <c r="AB20" s="197">
        <f>COUNTA(AB5:AB19)</f>
        <v/>
      </c>
      <c r="AC20" s="197">
        <f>COUNTA(AC5:AC19)</f>
        <v/>
      </c>
      <c r="AD20" s="197">
        <f>COUNTA(AD5:AD19)</f>
        <v/>
      </c>
      <c r="AE20" s="197">
        <f>COUNTA(AE5:AE19)</f>
        <v/>
      </c>
      <c r="AF20" s="197">
        <f>COUNTA(AF5:AF19)</f>
        <v/>
      </c>
      <c r="AG20" s="197">
        <f>COUNTA(AG5:AG19)</f>
        <v/>
      </c>
    </row>
    <row r="21" ht="14.25" customHeight="1" s="123">
      <c r="A21" s="198" t="inlineStr">
        <is>
          <t>※稼働人数は各30分列で「文字が入っている先頭セル」のみを数えるため、結合セルの2列目以降は0扱い。人数の目安として『同時刻に業務が始まる人数』を示す（正確な在場人数は動態表(日別)を参照）。</t>
        </is>
      </c>
    </row>
    <row r="22" ht="60" customHeight="1" s="123">
      <c r="A22" s="199" t="inlineStr">
        <is>
          <t>ギャップ: (1) 07:30-09:30 会場テストと同時にHotel Mi→EXPOバス・Dorsett出発対応が必要だが、機材担当(荒木田・池田)がテスト、事務局・受付設営はGerry・Mizan・塩見(推奨)・森口が担当。(2) 10:00-11:45 Hall3(Opening/VIP Tour)とPeridot(受付・設営)に分かれ、VIP随行(宮木・児玉・荒木田)が抜ける間のPeridot側は藤中・田中・吉田のみ。(3) Roundtable中はAV/Zoom(荒木田・池田)、進行(吉田・Gerry)、ノート(Gerry・Mizan)、受付(藤中・田中)で全員が張り付き、写真・バイ会談・急病等の予備要員がゼロ。(4) Gala出発17:30はSC終了16:45の45分後で、撤収要員が不足。　(4)【9/24】Sylvia氏（9/18）からDay 1全体の前倒し要望。RT・SCは短縮不可と回答済み。前倒しの可否は日本パビリオン開会式（GOHツアー内）の所要時間次第で、9/25内閣府連絡会後に田中経由で正式回答。前倒しする場合は昼食を11:45-12:30に短縮し、開会12:30・RT12:45-15:15・SC15:30-16:30が候補。</t>
        </is>
      </c>
    </row>
    <row r="23" ht="14.25" customHeight="1" s="123"/>
    <row r="24" ht="14.25" customHeight="1" s="123">
      <c r="A24" s="200" t="inlineStr">
        <is>
          <t>日本側サポート（神戸）※列はシンガポール時間、JSTは+1時間</t>
        </is>
      </c>
    </row>
    <row r="25" ht="21.75" customHeight="1" s="123">
      <c r="A25" s="176">
        <f>人員一覧・判定!B19</f>
        <v/>
      </c>
      <c r="D25" s="201" t="inlineStr">
        <is>
          <t>Webinar起動・AI通訳・現地接続確認 (JST9-10:30)</t>
        </is>
      </c>
      <c r="E25" s="183" t="n"/>
      <c r="F25" s="184" t="n"/>
      <c r="M25" s="201" t="inlineStr">
        <is>
          <t>ACDR Opening/RT: Q&amp;A・コメント確認・AI通訳監視</t>
        </is>
      </c>
      <c r="N25" s="183" t="n"/>
      <c r="O25" s="183" t="n"/>
      <c r="P25" s="183" t="n"/>
      <c r="Q25" s="183" t="n"/>
      <c r="R25" s="184" t="n"/>
      <c r="S25" s="201" t="inlineStr">
        <is>
          <t>SC: Zoom設定・Q&amp;A確認</t>
        </is>
      </c>
      <c r="T25" s="184" t="n"/>
    </row>
    <row r="26" ht="21.75" customHeight="1" s="123">
      <c r="A26" s="176">
        <f>人員一覧・判定!B20</f>
        <v/>
      </c>
      <c r="D26" s="193" t="inlineStr">
        <is>
          <t>録画準備</t>
        </is>
      </c>
      <c r="E26" s="183" t="n"/>
      <c r="F26" s="184" t="n"/>
      <c r="M26" s="201" t="inlineStr">
        <is>
          <t>Opening/RT 録画・オンライン質疑取次</t>
        </is>
      </c>
      <c r="N26" s="183" t="n"/>
      <c r="O26" s="183" t="n"/>
      <c r="P26" s="183" t="n"/>
      <c r="Q26" s="183" t="n"/>
      <c r="R26" s="184" t="n"/>
      <c r="S26" s="201" t="inlineStr">
        <is>
          <t>SC 録画</t>
        </is>
      </c>
      <c r="T26" s="184" t="n"/>
    </row>
    <row r="27" ht="21.75" customHeight="1" s="123">
      <c r="A27" s="176">
        <f>人員一覧・判定!B22</f>
        <v/>
      </c>
      <c r="M27" s="202" t="inlineStr">
        <is>
          <t>録画(日英2台)ローカル保存 ※仮置き</t>
        </is>
      </c>
      <c r="N27" s="183" t="n"/>
      <c r="O27" s="183" t="n"/>
      <c r="P27" s="183" t="n"/>
      <c r="Q27" s="183" t="n"/>
      <c r="R27" s="183" t="n"/>
      <c r="S27" s="183" t="n"/>
      <c r="T27" s="184" t="n"/>
    </row>
    <row r="28" ht="21.75" customHeight="1" s="123">
      <c r="A28" s="176">
        <f>人員一覧・判定!B21</f>
        <v/>
      </c>
      <c r="D28" s="203" t="inlineStr">
        <is>
          <t>Webinarホスト・録画確認 ※仮置き</t>
        </is>
      </c>
      <c r="E28" s="183" t="n"/>
      <c r="F28" s="184" t="n"/>
      <c r="S28" s="203" t="inlineStr">
        <is>
          <t>SC Zoom設定 ※仮置き</t>
        </is>
      </c>
      <c r="T28" s="184" t="n"/>
    </row>
    <row r="29" ht="14.25" customHeight="1" s="123">
      <c r="A29" s="198" t="inlineStr">
        <is>
          <t>※寺坂・伊達はACDR2025の実績（録画日英2台・Webinarホスト確認）に基づく仮置き。WebinarとZoomはクラウド録画をバックアップとし、ローカルにも保存（2025年運用）。</t>
        </is>
      </c>
    </row>
  </sheetData>
  <mergeCells count="83">
    <mergeCell ref="W4:X4"/>
    <mergeCell ref="D11:F11"/>
    <mergeCell ref="D13:L13"/>
    <mergeCell ref="M15:R15"/>
    <mergeCell ref="V13:AC13"/>
    <mergeCell ref="W19:AC19"/>
    <mergeCell ref="D28:F28"/>
    <mergeCell ref="S7:T7"/>
    <mergeCell ref="F8:J8"/>
    <mergeCell ref="W6:AC6"/>
    <mergeCell ref="M14:R14"/>
    <mergeCell ref="S10:T10"/>
    <mergeCell ref="S19:T19"/>
    <mergeCell ref="S9:T9"/>
    <mergeCell ref="C10:F10"/>
    <mergeCell ref="G10:J10"/>
    <mergeCell ref="G18:J18"/>
    <mergeCell ref="A22:T22"/>
    <mergeCell ref="N6:R6"/>
    <mergeCell ref="W7:AC7"/>
    <mergeCell ref="W16:AC16"/>
    <mergeCell ref="S4:T4"/>
    <mergeCell ref="N4:R4"/>
    <mergeCell ref="C17:F17"/>
    <mergeCell ref="W18:AC18"/>
    <mergeCell ref="S12:T12"/>
    <mergeCell ref="W8:AC8"/>
    <mergeCell ref="W17:AC17"/>
    <mergeCell ref="M25:R25"/>
    <mergeCell ref="M17:R17"/>
    <mergeCell ref="S13:T13"/>
    <mergeCell ref="D25:F25"/>
    <mergeCell ref="C14:F14"/>
    <mergeCell ref="C4:F4"/>
    <mergeCell ref="M19:R19"/>
    <mergeCell ref="S15:T15"/>
    <mergeCell ref="G7:J7"/>
    <mergeCell ref="N10:R10"/>
    <mergeCell ref="A24:L24"/>
    <mergeCell ref="W12:AC12"/>
    <mergeCell ref="Y4:AC4"/>
    <mergeCell ref="AD15:AF15"/>
    <mergeCell ref="G16:J16"/>
    <mergeCell ref="M13:R13"/>
    <mergeCell ref="M7:R7"/>
    <mergeCell ref="D16:F16"/>
    <mergeCell ref="M16:R16"/>
    <mergeCell ref="C18:F18"/>
    <mergeCell ref="G9:J9"/>
    <mergeCell ref="S14:T14"/>
    <mergeCell ref="S28:T28"/>
    <mergeCell ref="W10:AC10"/>
    <mergeCell ref="M8:R8"/>
    <mergeCell ref="G11:J11"/>
    <mergeCell ref="V9:AC9"/>
    <mergeCell ref="D12:L12"/>
    <mergeCell ref="V11:AC11"/>
    <mergeCell ref="S6:T6"/>
    <mergeCell ref="M27:T27"/>
    <mergeCell ref="M18:T18"/>
    <mergeCell ref="M9:R9"/>
    <mergeCell ref="G15:J15"/>
    <mergeCell ref="S26:T26"/>
    <mergeCell ref="M11:R11"/>
    <mergeCell ref="S16:T16"/>
    <mergeCell ref="S25:T25"/>
    <mergeCell ref="W14:AC14"/>
    <mergeCell ref="M12:R12"/>
    <mergeCell ref="S8:T8"/>
    <mergeCell ref="S17:T17"/>
    <mergeCell ref="S11:T11"/>
    <mergeCell ref="M26:R26"/>
    <mergeCell ref="D15:F15"/>
    <mergeCell ref="W15:AC15"/>
    <mergeCell ref="G17:J17"/>
    <mergeCell ref="D26:F26"/>
    <mergeCell ref="G19:J19"/>
    <mergeCell ref="G6:J6"/>
    <mergeCell ref="C9:F9"/>
    <mergeCell ref="D19:F19"/>
    <mergeCell ref="I4:J4"/>
    <mergeCell ref="K4:L4"/>
    <mergeCell ref="G14:J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B24" activeCellId="0" sqref="AB24"/>
    </sheetView>
  </sheetViews>
  <sheetFormatPr baseColWidth="8" defaultColWidth="8.55859375" defaultRowHeight="14.25" zeroHeight="0" outlineLevelRow="0"/>
  <cols>
    <col width="14" customWidth="1" style="122" min="1" max="1"/>
    <col width="4.22" customWidth="1" style="122" min="2" max="33"/>
  </cols>
  <sheetData>
    <row r="1" ht="15" customHeight="1" s="123">
      <c r="A1" s="179" t="inlineStr">
        <is>
          <t>29 OCT 2026 (THU)  Day 2: Technical Session / Closing / Field Trip (CDA) / SCDF Parade &amp; Dinner　※28日はSCDF側がDorsett→会場を引率、29・30日はADRC側で誘導。パレード前はホテルで着替え後EXPOへ再移動（誘導要）</t>
        </is>
      </c>
    </row>
    <row r="3" ht="14.25" customHeight="1" s="123">
      <c r="B3" s="180" t="inlineStr">
        <is>
          <t>7:00</t>
        </is>
      </c>
      <c r="C3" s="180" t="n"/>
      <c r="D3" s="180" t="inlineStr">
        <is>
          <t>8:00</t>
        </is>
      </c>
      <c r="E3" s="180" t="n"/>
      <c r="F3" s="180" t="inlineStr">
        <is>
          <t>9:00</t>
        </is>
      </c>
      <c r="G3" s="180" t="n"/>
      <c r="H3" s="180" t="inlineStr">
        <is>
          <t>10:00</t>
        </is>
      </c>
      <c r="I3" s="180" t="n"/>
      <c r="J3" s="180" t="inlineStr">
        <is>
          <t>11:00</t>
        </is>
      </c>
      <c r="K3" s="180" t="n"/>
      <c r="L3" s="180" t="inlineStr">
        <is>
          <t>12:00</t>
        </is>
      </c>
      <c r="M3" s="180" t="n"/>
      <c r="N3" s="180" t="inlineStr">
        <is>
          <t>13:00</t>
        </is>
      </c>
      <c r="O3" s="180" t="n"/>
      <c r="P3" s="180" t="inlineStr">
        <is>
          <t>14:00</t>
        </is>
      </c>
      <c r="Q3" s="180" t="n"/>
      <c r="R3" s="180" t="inlineStr">
        <is>
          <t>15:00</t>
        </is>
      </c>
      <c r="S3" s="180" t="n"/>
      <c r="T3" s="180" t="inlineStr">
        <is>
          <t>16:00</t>
        </is>
      </c>
      <c r="U3" s="180" t="n"/>
      <c r="V3" s="180" t="inlineStr">
        <is>
          <t>17:00</t>
        </is>
      </c>
      <c r="W3" s="180" t="n"/>
      <c r="X3" s="180" t="inlineStr">
        <is>
          <t>18:00</t>
        </is>
      </c>
      <c r="Y3" s="180" t="n"/>
      <c r="Z3" s="180" t="inlineStr">
        <is>
          <t>19:00</t>
        </is>
      </c>
      <c r="AA3" s="180" t="n"/>
      <c r="AB3" s="180" t="inlineStr">
        <is>
          <t>20:00</t>
        </is>
      </c>
      <c r="AC3" s="180" t="n"/>
      <c r="AD3" s="180" t="inlineStr">
        <is>
          <t>21:00</t>
        </is>
      </c>
      <c r="AE3" s="180" t="n"/>
      <c r="AF3" s="180" t="inlineStr">
        <is>
          <t>22:00</t>
        </is>
      </c>
      <c r="AG3" s="180" t="n"/>
    </row>
    <row r="4" ht="30" customHeight="1" s="123">
      <c r="A4" s="181" t="inlineStr">
        <is>
          <t>PROGRAM</t>
        </is>
      </c>
      <c r="D4" s="182" t="inlineStr">
        <is>
          <t>会場準備(ステージ前方へ・テーブルマイク)／登壇者集合・接続確認</t>
        </is>
      </c>
      <c r="E4" s="183" t="n"/>
      <c r="F4" s="184" t="n"/>
      <c r="G4" s="204" t="inlineStr">
        <is>
          <t>Technical Session (Peridot) 09:30-11:30　モデレーター LTC Chen Yong Kai (SCDF) + ADRC Co-Chair</t>
        </is>
      </c>
      <c r="H4" s="183" t="n"/>
      <c r="I4" s="183" t="n"/>
      <c r="J4" s="184" t="n"/>
      <c r="K4" s="204" t="inlineStr">
        <is>
          <t>Summary &amp; Closing</t>
        </is>
      </c>
      <c r="L4" s="204" t="inlineStr">
        <is>
          <t>Lunch</t>
        </is>
      </c>
      <c r="M4" s="184" t="n"/>
      <c r="N4" s="204" t="inlineStr">
        <is>
          <t>Field Trip: Civil Defence Academy　13:00 EXPO発 → 16:15 EXPO帰着（9/18 WhatsApp配布の最新版。ADRC Web用アジェンダv2と整合）</t>
        </is>
      </c>
      <c r="O4" s="183" t="n"/>
      <c r="P4" s="183" t="n"/>
      <c r="Q4" s="183" t="n"/>
      <c r="R4" s="183" t="n"/>
      <c r="S4" s="183" t="n"/>
      <c r="T4" s="183" t="n"/>
      <c r="U4" s="184" t="n"/>
      <c r="Y4" s="204" t="inlineStr">
        <is>
          <t>SCDF Parade (Hall 4)</t>
        </is>
      </c>
      <c r="Z4" s="183" t="n"/>
      <c r="AA4" s="184" t="n"/>
      <c r="AB4" s="204" t="inlineStr">
        <is>
          <t>Parade Dinner (Garnet Room)</t>
        </is>
      </c>
      <c r="AC4" s="183" t="n"/>
      <c r="AD4" s="184" t="n"/>
    </row>
    <row r="5" ht="3.75" customHeight="1" s="123">
      <c r="A5" s="181" t="n"/>
      <c r="D5" s="185" t="n"/>
      <c r="E5" s="185" t="n"/>
      <c r="F5" s="185" t="n"/>
      <c r="G5" s="204" t="n"/>
      <c r="H5" s="204" t="n"/>
      <c r="I5" s="204" t="n"/>
      <c r="J5" s="204" t="n"/>
      <c r="K5" s="204" t="n"/>
      <c r="L5" s="205" t="n"/>
      <c r="M5" s="205" t="n"/>
      <c r="N5" s="204" t="n"/>
      <c r="O5" s="204" t="n"/>
      <c r="P5" s="204" t="n"/>
      <c r="Q5" s="204" t="n"/>
      <c r="R5" s="204" t="n"/>
      <c r="S5" s="204" t="n"/>
      <c r="T5" s="204" t="n"/>
      <c r="U5" s="204" t="n"/>
      <c r="Y5" s="204" t="n"/>
      <c r="Z5" s="204" t="n"/>
      <c r="AA5" s="204" t="n"/>
      <c r="AB5" s="204" t="n"/>
      <c r="AC5" s="204" t="n"/>
      <c r="AD5" s="204" t="n"/>
    </row>
    <row r="6" ht="21.75" customHeight="1" s="123">
      <c r="A6" s="165">
        <f>人員一覧・判定!B5</f>
        <v/>
      </c>
      <c r="G6" s="207" t="inlineStr">
        <is>
          <t>Tech Session/Closing</t>
        </is>
      </c>
      <c r="H6" s="183" t="n"/>
      <c r="I6" s="183" t="n"/>
      <c r="J6" s="183" t="n"/>
      <c r="K6" s="184" t="n"/>
      <c r="N6" s="213" t="inlineStr">
        <is>
          <t>Field Trip</t>
        </is>
      </c>
      <c r="O6" s="183" t="n"/>
      <c r="P6" s="183" t="n"/>
      <c r="Q6" s="183" t="n"/>
      <c r="R6" s="183" t="n"/>
      <c r="S6" s="183" t="n"/>
      <c r="T6" s="183" t="n"/>
      <c r="U6" s="184" t="n"/>
      <c r="X6" s="214" t="n"/>
      <c r="Y6" s="204" t="inlineStr">
        <is>
          <t>Parade &amp; Dinner</t>
        </is>
      </c>
      <c r="Z6" s="183" t="n"/>
      <c r="AA6" s="183" t="n"/>
      <c r="AB6" s="183" t="n"/>
      <c r="AC6" s="183" t="n"/>
      <c r="AD6" s="184" t="n"/>
    </row>
    <row r="7" ht="21.75" customHeight="1" s="123">
      <c r="A7" s="165">
        <f>人員一覧・判定!B6</f>
        <v/>
      </c>
      <c r="G7" s="207" t="inlineStr">
        <is>
          <t>Tech Session/Closing</t>
        </is>
      </c>
      <c r="H7" s="183" t="n"/>
      <c r="I7" s="183" t="n"/>
      <c r="J7" s="183" t="n"/>
      <c r="K7" s="184" t="n"/>
      <c r="N7" s="213" t="inlineStr">
        <is>
          <t>Field Trip</t>
        </is>
      </c>
      <c r="O7" s="183" t="n"/>
      <c r="P7" s="183" t="n"/>
      <c r="Q7" s="183" t="n"/>
      <c r="R7" s="183" t="n"/>
      <c r="S7" s="183" t="n"/>
      <c r="T7" s="183" t="n"/>
      <c r="U7" s="184" t="n"/>
      <c r="X7" s="214" t="n"/>
      <c r="Y7" s="204" t="inlineStr">
        <is>
          <t>Parade &amp; Dinner</t>
        </is>
      </c>
      <c r="Z7" s="183" t="n"/>
      <c r="AA7" s="183" t="n"/>
      <c r="AB7" s="183" t="n"/>
      <c r="AC7" s="183" t="n"/>
      <c r="AD7" s="184" t="n"/>
    </row>
    <row r="8" ht="21.75" customHeight="1" s="123">
      <c r="A8" s="165">
        <f>人員一覧・判定!B7</f>
        <v/>
      </c>
      <c r="G8" s="207" t="inlineStr">
        <is>
          <t>Tech Session/Closing(内閣府随行)</t>
        </is>
      </c>
      <c r="H8" s="183" t="n"/>
      <c r="I8" s="183" t="n"/>
      <c r="J8" s="183" t="n"/>
      <c r="K8" s="184" t="n"/>
      <c r="N8" s="213" t="inlineStr">
        <is>
          <t>Field Trip</t>
        </is>
      </c>
      <c r="O8" s="183" t="n"/>
      <c r="P8" s="183" t="n"/>
      <c r="Q8" s="183" t="n"/>
      <c r="R8" s="183" t="n"/>
      <c r="S8" s="183" t="n"/>
      <c r="T8" s="183" t="n"/>
      <c r="U8" s="184" t="n"/>
      <c r="X8" s="214" t="n"/>
      <c r="Y8" s="204" t="inlineStr">
        <is>
          <t>Parade &amp; Dinner</t>
        </is>
      </c>
      <c r="Z8" s="183" t="n"/>
      <c r="AA8" s="183" t="n"/>
      <c r="AB8" s="183" t="n"/>
      <c r="AC8" s="183" t="n"/>
      <c r="AD8" s="184" t="n"/>
    </row>
    <row r="9" ht="21.75" customHeight="1" s="123">
      <c r="A9" s="165">
        <f>人員一覧・判定!B8</f>
        <v/>
      </c>
      <c r="D9" s="188" t="inlineStr">
        <is>
          <t>会場準備</t>
        </is>
      </c>
      <c r="E9" s="183" t="n"/>
      <c r="F9" s="184" t="n"/>
      <c r="G9" s="207" t="inlineStr">
        <is>
          <t>Tech Session(バイ会談調整)</t>
        </is>
      </c>
      <c r="H9" s="183" t="n"/>
      <c r="I9" s="183" t="n"/>
      <c r="J9" s="183" t="n"/>
      <c r="K9" s="184" t="n"/>
      <c r="N9" s="215" t="inlineStr">
        <is>
          <t>事務局撤収(藤中と2名)/バイ会談</t>
        </is>
      </c>
      <c r="O9" s="183" t="n"/>
      <c r="P9" s="183" t="n"/>
      <c r="Q9" s="183" t="n"/>
      <c r="R9" s="183" t="n"/>
      <c r="S9" s="183" t="n"/>
      <c r="T9" s="183" t="n"/>
      <c r="U9" s="184" t="n"/>
      <c r="X9" s="214" t="n"/>
      <c r="Y9" s="204" t="inlineStr">
        <is>
          <t>Parade &amp; Dinner</t>
        </is>
      </c>
      <c r="Z9" s="183" t="n"/>
      <c r="AA9" s="183" t="n"/>
      <c r="AB9" s="183" t="n"/>
      <c r="AC9" s="183" t="n"/>
      <c r="AD9" s="184" t="n"/>
    </row>
    <row r="10" ht="21.75" customHeight="1" s="123">
      <c r="A10" s="165">
        <f>人員一覧・判定!B9</f>
        <v/>
      </c>
      <c r="D10" s="189" t="inlineStr">
        <is>
          <t>AV/Zoom準備・登壇者確認／日本側と接続確認</t>
        </is>
      </c>
      <c r="E10" s="183" t="n"/>
      <c r="F10" s="184" t="n"/>
      <c r="G10" s="189" t="inlineStr">
        <is>
          <t>Tech Session AV/Zoom運用</t>
        </is>
      </c>
      <c r="H10" s="183" t="n"/>
      <c r="I10" s="183" t="n"/>
      <c r="J10" s="184" t="n"/>
      <c r="K10" s="207" t="inlineStr">
        <is>
          <t>Summary/Closing進行</t>
        </is>
      </c>
      <c r="M10" s="213" t="inlineStr">
        <is>
          <t>Field Trip引率(バス)</t>
        </is>
      </c>
      <c r="N10" s="183" t="n"/>
      <c r="O10" s="183" t="n"/>
      <c r="P10" s="183" t="n"/>
      <c r="Q10" s="183" t="n"/>
      <c r="R10" s="183" t="n"/>
      <c r="S10" s="183" t="n"/>
      <c r="T10" s="183" t="n"/>
      <c r="U10" s="184" t="n"/>
      <c r="X10" s="214" t="n"/>
      <c r="Y10" s="204" t="inlineStr">
        <is>
          <t>Parade &amp; Dinner</t>
        </is>
      </c>
      <c r="Z10" s="183" t="n"/>
      <c r="AA10" s="183" t="n"/>
      <c r="AB10" s="183" t="n"/>
      <c r="AC10" s="183" t="n"/>
      <c r="AD10" s="184" t="n"/>
    </row>
    <row r="11" ht="21.75" customHeight="1" s="123">
      <c r="A11" s="165">
        <f>人員一覧・判定!B10</f>
        <v/>
      </c>
      <c r="D11" s="187" t="inlineStr">
        <is>
          <t>参加者誘導・Field Trip名簿</t>
        </is>
      </c>
      <c r="E11" s="183" t="n"/>
      <c r="F11" s="184" t="n"/>
      <c r="G11" s="207" t="inlineStr">
        <is>
          <t>Tech Session記録</t>
        </is>
      </c>
      <c r="H11" s="183" t="n"/>
      <c r="I11" s="183" t="n"/>
      <c r="J11" s="183" t="n"/>
      <c r="K11" s="184" t="n"/>
      <c r="M11" s="213" t="inlineStr">
        <is>
          <t>Field Trip引率(バス)</t>
        </is>
      </c>
      <c r="N11" s="183" t="n"/>
      <c r="O11" s="183" t="n"/>
      <c r="P11" s="183" t="n"/>
      <c r="Q11" s="183" t="n"/>
      <c r="R11" s="183" t="n"/>
      <c r="S11" s="183" t="n"/>
      <c r="T11" s="183" t="n"/>
      <c r="U11" s="184" t="n"/>
      <c r="V11" s="216" t="inlineStr">
        <is>
          <t>ホテル→EXPO誘導(パレード)</t>
        </is>
      </c>
      <c r="W11" s="183" t="n"/>
      <c r="X11" s="184" t="n"/>
      <c r="Y11" s="204" t="inlineStr">
        <is>
          <t>Parade &amp; Dinner</t>
        </is>
      </c>
      <c r="Z11" s="183" t="n"/>
      <c r="AA11" s="183" t="n"/>
      <c r="AB11" s="183" t="n"/>
      <c r="AC11" s="183" t="n"/>
      <c r="AD11" s="184" t="n"/>
    </row>
    <row r="12" ht="21.75" customHeight="1" s="123">
      <c r="A12" s="165">
        <f>人員一覧・判定!B11</f>
        <v/>
      </c>
      <c r="D12" s="190" t="inlineStr">
        <is>
          <t>受付デスク/支払・清算</t>
        </is>
      </c>
      <c r="E12" s="183" t="n"/>
      <c r="F12" s="183" t="n"/>
      <c r="G12" s="183" t="n"/>
      <c r="H12" s="183" t="n"/>
      <c r="I12" s="183" t="n"/>
      <c r="J12" s="183" t="n"/>
      <c r="K12" s="184" t="n"/>
      <c r="N12" s="187" t="inlineStr">
        <is>
          <t>事務局撤収(児玉と2名)/ホテル・バス精算</t>
        </is>
      </c>
      <c r="O12" s="183" t="n"/>
      <c r="P12" s="183" t="n"/>
      <c r="Q12" s="183" t="n"/>
      <c r="R12" s="183" t="n"/>
      <c r="S12" s="183" t="n"/>
      <c r="T12" s="183" t="n"/>
      <c r="U12" s="184" t="n"/>
      <c r="X12" s="214" t="n"/>
      <c r="Y12" s="204" t="inlineStr">
        <is>
          <t>Parade &amp; Dinner</t>
        </is>
      </c>
      <c r="Z12" s="183" t="n"/>
      <c r="AA12" s="183" t="n"/>
      <c r="AB12" s="183" t="n"/>
      <c r="AC12" s="183" t="n"/>
      <c r="AD12" s="184" t="n"/>
    </row>
    <row r="13" ht="21.75" customHeight="1" s="123">
      <c r="A13" s="165">
        <f>人員一覧・判定!B12</f>
        <v/>
      </c>
      <c r="D13" s="190" t="inlineStr">
        <is>
          <t>Dorsett→EXPO誘導(8-9)→受付デスク/登壇者受付</t>
        </is>
      </c>
      <c r="E13" s="183" t="n"/>
      <c r="F13" s="183" t="n"/>
      <c r="G13" s="183" t="n"/>
      <c r="H13" s="183" t="n"/>
      <c r="I13" s="183" t="n"/>
      <c r="J13" s="183" t="n"/>
      <c r="K13" s="184" t="n"/>
      <c r="M13" s="213" t="inlineStr">
        <is>
          <t>Field Trip名簿/バス点呼</t>
        </is>
      </c>
      <c r="N13" s="183" t="n"/>
      <c r="O13" s="183" t="n"/>
      <c r="P13" s="183" t="n"/>
      <c r="Q13" s="183" t="n"/>
      <c r="R13" s="183" t="n"/>
      <c r="S13" s="183" t="n"/>
      <c r="T13" s="183" t="n"/>
      <c r="U13" s="184" t="n"/>
      <c r="V13" s="216" t="inlineStr">
        <is>
          <t>ホテル→EXPO誘導(パレード)</t>
        </is>
      </c>
      <c r="W13" s="183" t="n"/>
      <c r="X13" s="184" t="n"/>
      <c r="Y13" s="204" t="inlineStr">
        <is>
          <t>Parade &amp; Dinner</t>
        </is>
      </c>
      <c r="Z13" s="183" t="n"/>
      <c r="AA13" s="183" t="n"/>
      <c r="AB13" s="183" t="n"/>
      <c r="AC13" s="183" t="n"/>
      <c r="AD13" s="184" t="n"/>
    </row>
    <row r="14" ht="21.75" customHeight="1" s="123">
      <c r="A14" s="165">
        <f>人員一覧・判定!B13</f>
        <v/>
      </c>
      <c r="D14" s="188" t="inlineStr">
        <is>
          <t>登壇者集合・スライド確認／日本側と接続確認</t>
        </is>
      </c>
      <c r="E14" s="183" t="n"/>
      <c r="F14" s="184" t="n"/>
      <c r="G14" s="207" t="inlineStr">
        <is>
          <t>Tech Session運営(PIC)</t>
        </is>
      </c>
      <c r="H14" s="183" t="n"/>
      <c r="I14" s="183" t="n"/>
      <c r="J14" s="184" t="n"/>
      <c r="N14" s="189" t="inlineStr">
        <is>
          <t>SIDEX展示/Japan Pavilion調整</t>
        </is>
      </c>
      <c r="O14" s="183" t="n"/>
      <c r="P14" s="183" t="n"/>
      <c r="Q14" s="183" t="n"/>
      <c r="R14" s="183" t="n"/>
      <c r="S14" s="183" t="n"/>
      <c r="T14" s="183" t="n"/>
      <c r="U14" s="184" t="n"/>
      <c r="X14" s="214" t="n"/>
      <c r="Y14" s="204" t="inlineStr">
        <is>
          <t>Parade &amp; Dinner</t>
        </is>
      </c>
      <c r="Z14" s="183" t="n"/>
      <c r="AA14" s="183" t="n"/>
      <c r="AB14" s="183" t="n"/>
      <c r="AC14" s="183" t="n"/>
      <c r="AD14" s="184" t="n"/>
    </row>
    <row r="15" ht="21.75" customHeight="1" s="123">
      <c r="A15" s="192">
        <f>人員一覧・判定!C14</f>
        <v/>
      </c>
      <c r="D15" s="208" t="inlineStr">
        <is>
          <t>Draft Summary仕上げ</t>
        </is>
      </c>
      <c r="E15" s="183" t="n"/>
      <c r="F15" s="184" t="n"/>
      <c r="G15" s="207" t="inlineStr">
        <is>
          <t>Tech Sessionノート</t>
        </is>
      </c>
      <c r="H15" s="183" t="n"/>
      <c r="I15" s="183" t="n"/>
      <c r="J15" s="184" t="n"/>
      <c r="K15" s="207" t="inlineStr">
        <is>
          <t>Summary</t>
        </is>
      </c>
      <c r="N15" s="213" t="inlineStr">
        <is>
          <t>Field Trip</t>
        </is>
      </c>
      <c r="O15" s="183" t="n"/>
      <c r="P15" s="183" t="n"/>
      <c r="Q15" s="183" t="n"/>
      <c r="R15" s="183" t="n"/>
      <c r="S15" s="183" t="n"/>
      <c r="T15" s="183" t="n"/>
      <c r="U15" s="184" t="n"/>
      <c r="X15" s="214" t="n"/>
      <c r="Y15" s="204" t="inlineStr">
        <is>
          <t>Parade &amp; Dinner</t>
        </is>
      </c>
      <c r="Z15" s="183" t="n"/>
      <c r="AA15" s="183" t="n"/>
      <c r="AB15" s="183" t="n"/>
      <c r="AC15" s="183" t="n"/>
      <c r="AD15" s="184" t="n"/>
    </row>
    <row r="16" ht="21.75" customHeight="1" s="123">
      <c r="A16" s="165">
        <f>人員一覧・判定!C15</f>
        <v/>
      </c>
      <c r="D16" s="188" t="inlineStr">
        <is>
          <t>登壇者対応・進行確認</t>
        </is>
      </c>
      <c r="E16" s="183" t="n"/>
      <c r="F16" s="184" t="n"/>
      <c r="G16" s="207" t="inlineStr">
        <is>
          <t>Tech Session ADRC Co-Chair</t>
        </is>
      </c>
      <c r="H16" s="183" t="n"/>
      <c r="I16" s="183" t="n"/>
      <c r="J16" s="184" t="n"/>
      <c r="N16" s="213" t="inlineStr">
        <is>
          <t>Field Trip</t>
        </is>
      </c>
      <c r="O16" s="183" t="n"/>
      <c r="P16" s="183" t="n"/>
      <c r="Q16" s="183" t="n"/>
      <c r="R16" s="183" t="n"/>
      <c r="S16" s="183" t="n"/>
      <c r="T16" s="183" t="n"/>
      <c r="U16" s="184" t="n"/>
      <c r="X16" s="214" t="n"/>
      <c r="Y16" s="204" t="inlineStr">
        <is>
          <t>Parade &amp; Dinner</t>
        </is>
      </c>
      <c r="Z16" s="183" t="n"/>
      <c r="AA16" s="183" t="n"/>
      <c r="AB16" s="183" t="n"/>
      <c r="AC16" s="183" t="n"/>
      <c r="AD16" s="184" t="n"/>
    </row>
    <row r="17" ht="21.75" customHeight="1" s="123">
      <c r="A17" s="168">
        <f>人員一覧・判定!B18</f>
        <v/>
      </c>
      <c r="G17" s="210" t="inlineStr">
        <is>
          <t>Tech Session/Closing</t>
        </is>
      </c>
      <c r="H17" s="183" t="n"/>
      <c r="I17" s="183" t="n"/>
      <c r="J17" s="183" t="n"/>
      <c r="K17" s="184" t="n"/>
      <c r="N17" s="217" t="inlineStr">
        <is>
          <t>Field Trip</t>
        </is>
      </c>
      <c r="O17" s="183" t="n"/>
      <c r="P17" s="183" t="n"/>
      <c r="Q17" s="183" t="n"/>
      <c r="R17" s="183" t="n"/>
      <c r="S17" s="183" t="n"/>
      <c r="T17" s="183" t="n"/>
      <c r="U17" s="184" t="n"/>
      <c r="Y17" s="211" t="inlineStr">
        <is>
          <t>Parade &amp; Dinner</t>
        </is>
      </c>
      <c r="Z17" s="183" t="n"/>
      <c r="AA17" s="183" t="n"/>
      <c r="AB17" s="183" t="n"/>
      <c r="AC17" s="183" t="n"/>
      <c r="AD17" s="184" t="n"/>
    </row>
    <row r="18" ht="21.75" customHeight="1" s="123">
      <c r="A18" s="165">
        <f>人員一覧・判定!B16</f>
        <v/>
      </c>
      <c r="D18" s="188" t="inlineStr">
        <is>
          <t>Zoom/AI翻訳準備</t>
        </is>
      </c>
      <c r="E18" s="183" t="n"/>
      <c r="F18" s="184" t="n"/>
      <c r="G18" s="188" t="inlineStr">
        <is>
          <t>Zoom・AI翻訳オペ/写真</t>
        </is>
      </c>
      <c r="H18" s="183" t="n"/>
      <c r="I18" s="183" t="n"/>
      <c r="J18" s="183" t="n"/>
      <c r="K18" s="184" t="n"/>
      <c r="N18" s="218" t="inlineStr">
        <is>
          <t>Field Trip写真 or 事務局撤収</t>
        </is>
      </c>
      <c r="O18" s="183" t="n"/>
      <c r="P18" s="183" t="n"/>
      <c r="Q18" s="183" t="n"/>
      <c r="R18" s="183" t="n"/>
      <c r="S18" s="183" t="n"/>
      <c r="T18" s="183" t="n"/>
      <c r="U18" s="184" t="n"/>
      <c r="X18" s="214" t="n"/>
      <c r="Y18" s="182" t="inlineStr">
        <is>
          <t>Parade(写真)</t>
        </is>
      </c>
      <c r="Z18" s="183" t="n"/>
      <c r="AA18" s="183" t="n"/>
      <c r="AB18" s="183" t="n"/>
      <c r="AC18" s="183" t="n"/>
      <c r="AD18" s="184" t="n"/>
    </row>
    <row r="19" ht="21.75" customHeight="1" s="123">
      <c r="A19" s="165">
        <f>人員一覧・判定!B17</f>
        <v/>
      </c>
      <c r="D19" s="187" t="inlineStr">
        <is>
          <t>Dorsett→EXPO誘導</t>
        </is>
      </c>
      <c r="E19" s="183" t="n"/>
      <c r="F19" s="184" t="n"/>
      <c r="G19" s="212" t="inlineStr">
        <is>
          <t>Tech Session記録/サマリー補助</t>
        </is>
      </c>
      <c r="H19" s="183" t="n"/>
      <c r="I19" s="183" t="n"/>
      <c r="J19" s="183" t="n"/>
      <c r="K19" s="184" t="n"/>
      <c r="N19" s="218" t="inlineStr">
        <is>
          <t>Field Trip</t>
        </is>
      </c>
      <c r="O19" s="183" t="n"/>
      <c r="P19" s="183" t="n"/>
      <c r="Q19" s="183" t="n"/>
      <c r="R19" s="183" t="n"/>
      <c r="S19" s="183" t="n"/>
      <c r="T19" s="183" t="n"/>
      <c r="U19" s="184" t="n"/>
      <c r="V19" s="216" t="inlineStr">
        <is>
          <t>ホテル→EXPO誘導(パレード)</t>
        </is>
      </c>
      <c r="W19" s="183" t="n"/>
      <c r="X19" s="184" t="n"/>
      <c r="Y19" s="182" t="inlineStr">
        <is>
          <t>Parade &amp; Dinner</t>
        </is>
      </c>
      <c r="Z19" s="183" t="n"/>
      <c r="AA19" s="183" t="n"/>
      <c r="AB19" s="183" t="n"/>
      <c r="AC19" s="183" t="n"/>
      <c r="AD19" s="184" t="n"/>
    </row>
    <row r="20" ht="14.25" customHeight="1" s="123">
      <c r="A20" s="134" t="inlineStr">
        <is>
          <t>稼働人数(自動)</t>
        </is>
      </c>
      <c r="B20" s="197">
        <f>COUNTA(B5:B19)</f>
        <v/>
      </c>
      <c r="C20" s="197">
        <f>COUNTA(C5:C19)</f>
        <v/>
      </c>
      <c r="D20" s="197">
        <f>COUNTA(D5:D19)</f>
        <v/>
      </c>
      <c r="E20" s="197">
        <f>COUNTA(E5:E19)</f>
        <v/>
      </c>
      <c r="F20" s="197">
        <f>COUNTA(F5:F19)</f>
        <v/>
      </c>
      <c r="G20" s="197">
        <f>COUNTA(G5:G19)</f>
        <v/>
      </c>
      <c r="H20" s="197">
        <f>COUNTA(H5:H19)</f>
        <v/>
      </c>
      <c r="I20" s="197">
        <f>COUNTA(I5:I19)</f>
        <v/>
      </c>
      <c r="J20" s="197">
        <f>COUNTA(J5:J19)</f>
        <v/>
      </c>
      <c r="K20" s="197">
        <f>COUNTA(K5:K19)</f>
        <v/>
      </c>
      <c r="L20" s="197">
        <f>COUNTA(L5:L19)</f>
        <v/>
      </c>
      <c r="M20" s="197">
        <f>COUNTA(M5:M19)</f>
        <v/>
      </c>
      <c r="N20" s="197">
        <f>COUNTA(N5:N19)</f>
        <v/>
      </c>
      <c r="O20" s="197">
        <f>COUNTA(O5:O19)</f>
        <v/>
      </c>
      <c r="P20" s="197">
        <f>COUNTA(P5:P19)</f>
        <v/>
      </c>
      <c r="Q20" s="197">
        <f>COUNTA(Q5:Q19)</f>
        <v/>
      </c>
      <c r="R20" s="197">
        <f>COUNTA(R5:R19)</f>
        <v/>
      </c>
      <c r="S20" s="197">
        <f>COUNTA(S5:S19)</f>
        <v/>
      </c>
      <c r="T20" s="197">
        <f>COUNTA(T5:T19)</f>
        <v/>
      </c>
      <c r="U20" s="197">
        <f>COUNTA(U5:U19)</f>
        <v/>
      </c>
      <c r="V20" s="197">
        <f>COUNTA(V5:V19)</f>
        <v/>
      </c>
      <c r="W20" s="197">
        <f>COUNTA(W5:W19)</f>
        <v/>
      </c>
      <c r="X20" s="197">
        <f>COUNTA(X5:X19)</f>
        <v/>
      </c>
      <c r="Y20" s="197">
        <f>COUNTA(Y5:Y19)</f>
        <v/>
      </c>
      <c r="Z20" s="197">
        <f>COUNTA(Z5:Z19)</f>
        <v/>
      </c>
      <c r="AA20" s="197">
        <f>COUNTA(AA5:AA19)</f>
        <v/>
      </c>
      <c r="AB20" s="197">
        <f>COUNTA(AB5:AB19)</f>
        <v/>
      </c>
      <c r="AC20" s="197">
        <f>COUNTA(AC5:AC19)</f>
        <v/>
      </c>
      <c r="AD20" s="197">
        <f>COUNTA(AD5:AD19)</f>
        <v/>
      </c>
      <c r="AE20" s="197">
        <f>COUNTA(AE5:AE19)</f>
        <v/>
      </c>
      <c r="AF20" s="197">
        <f>COUNTA(AF5:AF19)</f>
        <v/>
      </c>
      <c r="AG20" s="197">
        <f>COUNTA(AG5:AG19)</f>
        <v/>
      </c>
    </row>
    <row r="21" ht="14.25" customHeight="1" s="123">
      <c r="A21" s="198" t="inlineStr">
        <is>
          <t>※稼働人数は各30分列で「文字が入っている先頭セル」のみを数えるため、結合セルの2列目以降は0扱い。人数の目安として『同時刻に業務が始まる人数』を示す（正確な在場人数は動態表(日別)を参照）。</t>
        </is>
      </c>
    </row>
    <row r="22" ht="60" customHeight="1" s="123">
      <c r="A22" s="199" t="inlineStr">
        <is>
          <t>【9/24更新】モデレーターはLTC Chen Yong Kai, Deputy Commander, 3rd SCDF Division で確定（Sylvia 9/17）。予備のLTC Adrianはプログラム・レセプションに含めない。オンライン事前ブリーフィングは9/29が第一候補。登壇者6枠: JAXA（人選中）、BRIN（Yenni Vetrita）、YI-Lab（Pradip Khatiwada）、Google（Sirada Boonkongchuen）、ウズベキスタン（未定・9/24再リマインド）、内閣府（9/25連絡会で依頼）。進行はrev1.0どおり 15分×6＋質疑15分＋まとめ10分（当日調整可）。　ギャップ: (1) Technical SessionはMizan=Co-Chair（未確定）、池田=PIC、荒木田=AV/Zoomで、登壇者6名（JAXA・BRIN・DOST/ネパール・Google・ウズベキスタン・日本）の個別対応と時間管理を行う『フロア担当』が不在。EOS-NTU(Emma Hill教授)は不参加が確定し、BRINへ切替（9/7 Mizan）。(2) 11:45-12:00のSummary &amp; ClosingはRT(前日)の要約が前提で、Gerryの執筆時間（Day1夜〜Day2朝）を確保する必要がある。</t>
        </is>
      </c>
    </row>
    <row r="23" ht="14.25" customHeight="1" s="123"/>
    <row r="24" ht="14.25" customHeight="1" s="123">
      <c r="A24" s="200" t="inlineStr">
        <is>
          <t>日本側サポート（神戸）※列はシンガポール時間、JSTは+1時間</t>
        </is>
      </c>
    </row>
    <row r="25" ht="21.75" customHeight="1" s="123">
      <c r="A25" s="176">
        <f>人員一覧・判定!B19</f>
        <v/>
      </c>
      <c r="D25" s="201" t="inlineStr">
        <is>
          <t>Webinar起動・AI通訳・現地接続確認 (JST9-10:30)</t>
        </is>
      </c>
      <c r="E25" s="183" t="n"/>
      <c r="F25" s="184" t="n"/>
      <c r="G25" s="201" t="inlineStr">
        <is>
          <t>TS/Closing: Q&amp;A・コメント確認・AI通訳監視</t>
        </is>
      </c>
      <c r="H25" s="183" t="n"/>
      <c r="I25" s="183" t="n"/>
      <c r="J25" s="183" t="n"/>
      <c r="K25" s="184" t="n"/>
      <c r="N25" s="201" t="inlineStr">
        <is>
          <t>Webinar終了処理・ログ回収</t>
        </is>
      </c>
      <c r="O25" s="184" t="n"/>
    </row>
    <row r="26" ht="21.75" customHeight="1" s="123">
      <c r="A26" s="176">
        <f>人員一覧・判定!B20</f>
        <v/>
      </c>
      <c r="D26" s="193" t="inlineStr">
        <is>
          <t>録画準備</t>
        </is>
      </c>
      <c r="E26" s="183" t="n"/>
      <c r="F26" s="184" t="n"/>
      <c r="G26" s="201" t="inlineStr">
        <is>
          <t>TS/Closing 録画・オンライン質疑取次</t>
        </is>
      </c>
      <c r="H26" s="183" t="n"/>
      <c r="I26" s="183" t="n"/>
      <c r="J26" s="183" t="n"/>
      <c r="K26" s="184" t="n"/>
      <c r="N26" s="193" t="inlineStr">
        <is>
          <t>録画データ整理・保存</t>
        </is>
      </c>
      <c r="O26" s="183" t="n"/>
      <c r="P26" s="183" t="n"/>
      <c r="Q26" s="183" t="n"/>
      <c r="R26" s="183" t="n"/>
      <c r="S26" s="184" t="n"/>
    </row>
    <row r="27" ht="21.75" customHeight="1" s="123">
      <c r="A27" s="176">
        <f>人員一覧・判定!B22</f>
        <v/>
      </c>
      <c r="G27" s="202" t="inlineStr">
        <is>
          <t>録画(日英)ローカル保存 ※仮置き</t>
        </is>
      </c>
      <c r="H27" s="183" t="n"/>
      <c r="I27" s="183" t="n"/>
      <c r="J27" s="183" t="n"/>
      <c r="K27" s="184" t="n"/>
    </row>
    <row r="28" ht="21.75" customHeight="1" s="123">
      <c r="A28" s="176">
        <f>人員一覧・判定!B21</f>
        <v/>
      </c>
      <c r="D28" s="203" t="inlineStr">
        <is>
          <t>Webinarホスト・録画確認 ※仮置き</t>
        </is>
      </c>
      <c r="E28" s="183" t="n"/>
      <c r="F28" s="184" t="n"/>
    </row>
    <row r="29" ht="14.25" customHeight="1" s="123">
      <c r="A29" s="198" t="inlineStr">
        <is>
          <t>※寺坂・伊達はACDR2025の実績（録画日英2台・Webinarホスト確認）に基づく仮置き。WebinarとZoomはクラウド録画をバックアップとし、ローカルにも保存（2025年運用）。</t>
        </is>
      </c>
    </row>
  </sheetData>
  <mergeCells count="69">
    <mergeCell ref="M11:U11"/>
    <mergeCell ref="D11:F11"/>
    <mergeCell ref="N4:U4"/>
    <mergeCell ref="Y11:AD11"/>
    <mergeCell ref="M10:U10"/>
    <mergeCell ref="Y14:AD14"/>
    <mergeCell ref="G4:J4"/>
    <mergeCell ref="Y10:AD10"/>
    <mergeCell ref="N16:U16"/>
    <mergeCell ref="Y19:AD19"/>
    <mergeCell ref="N7:U7"/>
    <mergeCell ref="G11:K11"/>
    <mergeCell ref="N25:O25"/>
    <mergeCell ref="G16:J16"/>
    <mergeCell ref="Y17:AD17"/>
    <mergeCell ref="G27:K27"/>
    <mergeCell ref="M13:U13"/>
    <mergeCell ref="D16:F16"/>
    <mergeCell ref="G8:K8"/>
    <mergeCell ref="Y16:AD16"/>
    <mergeCell ref="V11:X11"/>
    <mergeCell ref="Y7:AD7"/>
    <mergeCell ref="G17:K17"/>
    <mergeCell ref="D28:F28"/>
    <mergeCell ref="G7:K7"/>
    <mergeCell ref="Y6:AD6"/>
    <mergeCell ref="N12:U12"/>
    <mergeCell ref="G14:J14"/>
    <mergeCell ref="D4:F4"/>
    <mergeCell ref="Y13:AD13"/>
    <mergeCell ref="D18:F18"/>
    <mergeCell ref="Y18:AD18"/>
    <mergeCell ref="D9:F9"/>
    <mergeCell ref="D13:K13"/>
    <mergeCell ref="G19:K19"/>
    <mergeCell ref="Y12:AD12"/>
    <mergeCell ref="G6:K6"/>
    <mergeCell ref="D15:F15"/>
    <mergeCell ref="N18:U18"/>
    <mergeCell ref="N14:U14"/>
    <mergeCell ref="G18:K18"/>
    <mergeCell ref="D25:F25"/>
    <mergeCell ref="N17:U17"/>
    <mergeCell ref="N8:U8"/>
    <mergeCell ref="D14:F14"/>
    <mergeCell ref="L4:M4"/>
    <mergeCell ref="D26:F26"/>
    <mergeCell ref="Y8:AD8"/>
    <mergeCell ref="N19:U19"/>
    <mergeCell ref="Y4:AA4"/>
    <mergeCell ref="N26:S26"/>
    <mergeCell ref="G10:J10"/>
    <mergeCell ref="D10:F10"/>
    <mergeCell ref="D12:K12"/>
    <mergeCell ref="A24:L24"/>
    <mergeCell ref="N9:U9"/>
    <mergeCell ref="D19:F19"/>
    <mergeCell ref="G26:K26"/>
    <mergeCell ref="A22:T22"/>
    <mergeCell ref="N6:U6"/>
    <mergeCell ref="Y15:AD15"/>
    <mergeCell ref="N15:U15"/>
    <mergeCell ref="G25:K25"/>
    <mergeCell ref="Y9:AD9"/>
    <mergeCell ref="V13:X13"/>
    <mergeCell ref="AB4:AD4"/>
    <mergeCell ref="G15:J15"/>
    <mergeCell ref="G9:K9"/>
    <mergeCell ref="V19:X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G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V22" activeCellId="0" sqref="V22"/>
    </sheetView>
  </sheetViews>
  <sheetFormatPr baseColWidth="8" defaultColWidth="8.55859375" defaultRowHeight="14.25" zeroHeight="0" outlineLevelRow="0"/>
  <cols>
    <col width="14" customWidth="1" style="122" min="1" max="1"/>
    <col width="4.22" customWidth="1" style="122" min="2" max="33"/>
  </cols>
  <sheetData>
    <row r="1" ht="15" customHeight="1" s="123">
      <c r="A1" s="179" t="inlineStr">
        <is>
          <t>30 OCT 2026 (FRI)  Day 3: SIDEX-ACDR Keynote / Panels / Exhibition Tour / Closing / 出発</t>
        </is>
      </c>
    </row>
    <row r="3" ht="14.25" customHeight="1" s="123">
      <c r="B3" s="180" t="inlineStr">
        <is>
          <t>7:00</t>
        </is>
      </c>
      <c r="C3" s="180" t="n"/>
      <c r="D3" s="180" t="inlineStr">
        <is>
          <t>8:00</t>
        </is>
      </c>
      <c r="E3" s="180" t="n"/>
      <c r="F3" s="180" t="inlineStr">
        <is>
          <t>9:00</t>
        </is>
      </c>
      <c r="G3" s="180" t="n"/>
      <c r="H3" s="180" t="inlineStr">
        <is>
          <t>10:00</t>
        </is>
      </c>
      <c r="I3" s="180" t="n"/>
      <c r="J3" s="180" t="inlineStr">
        <is>
          <t>11:00</t>
        </is>
      </c>
      <c r="K3" s="180" t="n"/>
      <c r="L3" s="180" t="inlineStr">
        <is>
          <t>12:00</t>
        </is>
      </c>
      <c r="M3" s="180" t="n"/>
      <c r="N3" s="180" t="inlineStr">
        <is>
          <t>13:00</t>
        </is>
      </c>
      <c r="O3" s="180" t="n"/>
      <c r="P3" s="180" t="inlineStr">
        <is>
          <t>14:00</t>
        </is>
      </c>
      <c r="Q3" s="180" t="n"/>
      <c r="R3" s="180" t="inlineStr">
        <is>
          <t>15:00</t>
        </is>
      </c>
      <c r="S3" s="180" t="n"/>
      <c r="T3" s="180" t="inlineStr">
        <is>
          <t>16:00</t>
        </is>
      </c>
      <c r="U3" s="180" t="n"/>
      <c r="V3" s="180" t="inlineStr">
        <is>
          <t>17:00</t>
        </is>
      </c>
      <c r="W3" s="180" t="n"/>
      <c r="X3" s="180" t="inlineStr">
        <is>
          <t>18:00</t>
        </is>
      </c>
      <c r="Y3" s="180" t="n"/>
      <c r="Z3" s="180" t="inlineStr">
        <is>
          <t>19:00</t>
        </is>
      </c>
      <c r="AA3" s="180" t="n"/>
      <c r="AB3" s="180" t="inlineStr">
        <is>
          <t>20:00</t>
        </is>
      </c>
      <c r="AC3" s="180" t="n"/>
      <c r="AD3" s="180" t="inlineStr">
        <is>
          <t>21:00</t>
        </is>
      </c>
      <c r="AE3" s="180" t="n"/>
      <c r="AF3" s="180" t="inlineStr">
        <is>
          <t>22:00</t>
        </is>
      </c>
      <c r="AG3" s="180" t="n"/>
    </row>
    <row r="4" ht="30" customHeight="1" s="123">
      <c r="A4" s="181" t="inlineStr">
        <is>
          <t>PROGRAM</t>
        </is>
      </c>
      <c r="F4" s="204" t="inlineStr">
        <is>
          <t>Keynote &amp; Panel 1 (Hall 3)</t>
        </is>
      </c>
      <c r="G4" s="183" t="n"/>
      <c r="H4" s="183" t="n"/>
      <c r="I4" s="183" t="n"/>
      <c r="J4" s="183" t="n"/>
      <c r="K4" s="184" t="n"/>
      <c r="L4" s="204" t="inlineStr">
        <is>
          <t>Lunch</t>
        </is>
      </c>
      <c r="M4" s="183" t="n"/>
      <c r="N4" s="184" t="n"/>
      <c r="O4" s="204" t="inlineStr">
        <is>
          <t>Exhibition Tour</t>
        </is>
      </c>
      <c r="P4" s="184" t="n"/>
      <c r="R4" s="204" t="inlineStr">
        <is>
          <t>Panel 2</t>
        </is>
      </c>
      <c r="S4" s="183" t="n"/>
      <c r="T4" s="184" t="n"/>
      <c r="U4" s="204" t="inlineStr">
        <is>
          <t>Closing Ceremony</t>
        </is>
      </c>
      <c r="V4" s="182" t="inlineStr">
        <is>
          <t>出発: 藤本・塩見(夜便・便未定)/荒木田22:20/北本23:55/吉田22:05/アゼルバイジャン23:15/インドネシア22:40/モンゴル23:55、三浦・韓国は10/31 01:20-01:35</t>
        </is>
      </c>
      <c r="W4" s="183" t="n"/>
      <c r="X4" s="183" t="n"/>
      <c r="Y4" s="183" t="n"/>
      <c r="Z4" s="183" t="n"/>
      <c r="AA4" s="183" t="n"/>
      <c r="AB4" s="183" t="n"/>
      <c r="AC4" s="183" t="n"/>
      <c r="AD4" s="183" t="n"/>
      <c r="AE4" s="183" t="n"/>
      <c r="AF4" s="184" t="n"/>
    </row>
    <row r="5" ht="3" customHeight="1" s="123">
      <c r="A5" s="181" t="n"/>
      <c r="F5" s="204" t="n"/>
      <c r="G5" s="204" t="n"/>
      <c r="H5" s="204" t="n"/>
      <c r="I5" s="204" t="n"/>
      <c r="J5" s="204" t="n"/>
      <c r="K5" s="204" t="n"/>
      <c r="L5" s="205" t="n"/>
      <c r="M5" s="205" t="n"/>
      <c r="N5" s="205" t="n"/>
      <c r="O5" s="204" t="n"/>
      <c r="P5" s="204" t="n"/>
      <c r="R5" s="204" t="n"/>
      <c r="S5" s="204" t="n"/>
      <c r="T5" s="204" t="n"/>
      <c r="U5" s="205" t="n"/>
      <c r="V5" s="185" t="n"/>
      <c r="W5" s="185" t="n"/>
      <c r="X5" s="185" t="n"/>
      <c r="Y5" s="185" t="n"/>
      <c r="Z5" s="185" t="n"/>
      <c r="AA5" s="185" t="n"/>
      <c r="AB5" s="185" t="n"/>
      <c r="AC5" s="185" t="n"/>
      <c r="AD5" s="182" t="n"/>
      <c r="AE5" s="182" t="n"/>
      <c r="AF5" s="182" t="n"/>
    </row>
    <row r="6" ht="21.75" customHeight="1" s="123">
      <c r="A6" s="165">
        <f>人員一覧・判定!B5</f>
        <v/>
      </c>
      <c r="F6" s="207" t="inlineStr">
        <is>
          <t>Keynote/Panel1</t>
        </is>
      </c>
      <c r="G6" s="183" t="n"/>
      <c r="H6" s="183" t="n"/>
      <c r="I6" s="183" t="n"/>
      <c r="J6" s="183" t="n"/>
      <c r="K6" s="184" t="n"/>
      <c r="O6" s="207" t="inlineStr">
        <is>
          <t>Exhibition Tour/Panel2/Closing</t>
        </is>
      </c>
      <c r="P6" s="183" t="n"/>
      <c r="Q6" s="183" t="n"/>
      <c r="R6" s="183" t="n"/>
      <c r="S6" s="183" t="n"/>
      <c r="T6" s="184" t="n"/>
      <c r="AD6" s="219" t="inlineStr">
        <is>
          <t>空港へ(SQ656 01:20)</t>
        </is>
      </c>
      <c r="AE6" s="183" t="n"/>
      <c r="AF6" s="184" t="n"/>
    </row>
    <row r="7" ht="21.75" customHeight="1" s="123">
      <c r="A7" s="165">
        <f>人員一覧・判定!B6</f>
        <v/>
      </c>
      <c r="F7" s="207" t="inlineStr">
        <is>
          <t>Keynote/Panel1</t>
        </is>
      </c>
      <c r="G7" s="183" t="n"/>
      <c r="H7" s="183" t="n"/>
      <c r="I7" s="183" t="n"/>
      <c r="J7" s="183" t="n"/>
      <c r="K7" s="184" t="n"/>
      <c r="O7" s="207" t="inlineStr">
        <is>
          <t>Exhibition Tour/Panel2/Closing</t>
        </is>
      </c>
      <c r="P7" s="183" t="n"/>
      <c r="Q7" s="183" t="n"/>
      <c r="R7" s="183" t="n"/>
      <c r="S7" s="183" t="n"/>
      <c r="T7" s="184" t="n"/>
      <c r="AC7" s="219" t="inlineStr">
        <is>
          <t>空港へ(SQ638 23:55)</t>
        </is>
      </c>
      <c r="AD7" s="183" t="n"/>
      <c r="AE7" s="183" t="n"/>
      <c r="AF7" s="184" t="n"/>
    </row>
    <row r="8" ht="21.75" customHeight="1" s="123">
      <c r="A8" s="165">
        <f>人員一覧・判定!B7</f>
        <v/>
      </c>
      <c r="F8" s="207" t="inlineStr">
        <is>
          <t>Keynote/Panel1</t>
        </is>
      </c>
      <c r="G8" s="183" t="n"/>
      <c r="H8" s="183" t="n"/>
      <c r="I8" s="183" t="n"/>
      <c r="J8" s="183" t="n"/>
      <c r="K8" s="184" t="n"/>
      <c r="O8" s="207" t="inlineStr">
        <is>
          <t>Exhibition Tour/Panel2/Closing</t>
        </is>
      </c>
      <c r="P8" s="183" t="n"/>
      <c r="Q8" s="183" t="n"/>
      <c r="R8" s="183" t="n"/>
      <c r="S8" s="183" t="n"/>
      <c r="T8" s="184" t="n"/>
      <c r="V8" s="187" t="inlineStr">
        <is>
          <t>内閣府見送り/総括</t>
        </is>
      </c>
      <c r="W8" s="183" t="n"/>
      <c r="X8" s="183" t="n"/>
      <c r="Y8" s="184" t="n"/>
    </row>
    <row r="9" ht="21.75" customHeight="1" s="123">
      <c r="A9" s="165">
        <f>人員一覧・判定!B8</f>
        <v/>
      </c>
      <c r="F9" s="207" t="inlineStr">
        <is>
          <t>Keynote/Panel1</t>
        </is>
      </c>
      <c r="G9" s="183" t="n"/>
      <c r="H9" s="183" t="n"/>
      <c r="I9" s="183" t="n"/>
      <c r="J9" s="183" t="n"/>
      <c r="K9" s="184" t="n"/>
      <c r="O9" s="207" t="inlineStr">
        <is>
          <t>Exhibition Tour(誘導)/Panel2</t>
        </is>
      </c>
      <c r="P9" s="183" t="n"/>
      <c r="Q9" s="183" t="n"/>
      <c r="R9" s="183" t="n"/>
      <c r="S9" s="183" t="n"/>
      <c r="T9" s="184" t="n"/>
      <c r="V9" s="190" t="inlineStr">
        <is>
          <t>出発対応(Dorsett)・COSEM精算打合せ</t>
        </is>
      </c>
      <c r="W9" s="183" t="n"/>
      <c r="X9" s="183" t="n"/>
      <c r="Y9" s="183" t="n"/>
      <c r="Z9" s="183" t="n"/>
      <c r="AA9" s="184" t="n"/>
    </row>
    <row r="10" ht="21.75" customHeight="1" s="123">
      <c r="A10" s="165">
        <f>人員一覧・判定!B9</f>
        <v/>
      </c>
      <c r="F10" s="207" t="inlineStr">
        <is>
          <t>Keynote/Panel1(リソース対応)</t>
        </is>
      </c>
      <c r="G10" s="183" t="n"/>
      <c r="H10" s="183" t="n"/>
      <c r="I10" s="183" t="n"/>
      <c r="J10" s="183" t="n"/>
      <c r="K10" s="184" t="n"/>
      <c r="O10" s="207" t="inlineStr">
        <is>
          <t>Exhibition Tour/Panel2/Closing</t>
        </is>
      </c>
      <c r="P10" s="183" t="n"/>
      <c r="Q10" s="183" t="n"/>
      <c r="R10" s="183" t="n"/>
      <c r="S10" s="183" t="n"/>
      <c r="T10" s="184" t="n"/>
      <c r="V10" s="187" t="inlineStr">
        <is>
          <t>総括・引継ぎ</t>
        </is>
      </c>
      <c r="W10" s="183" t="n"/>
      <c r="X10" s="183" t="n"/>
      <c r="Y10" s="184" t="n"/>
      <c r="AA10" s="219" t="inlineStr">
        <is>
          <t>空港へ(NH844 22:20)</t>
        </is>
      </c>
      <c r="AB10" s="183" t="n"/>
      <c r="AC10" s="183" t="n"/>
      <c r="AD10" s="183" t="n"/>
      <c r="AE10" s="183" t="n"/>
      <c r="AF10" s="184" t="n"/>
    </row>
    <row r="11" ht="21.75" customHeight="1" s="123">
      <c r="A11" s="165">
        <f>人員一覧・判定!B10</f>
        <v/>
      </c>
      <c r="D11" s="220" t="inlineStr">
        <is>
          <t>Dorsett→EXPO誘導</t>
        </is>
      </c>
      <c r="E11" s="184" t="n"/>
      <c r="F11" s="207" t="inlineStr">
        <is>
          <t>Keynote/Panel1</t>
        </is>
      </c>
      <c r="G11" s="183" t="n"/>
      <c r="H11" s="183" t="n"/>
      <c r="I11" s="183" t="n"/>
      <c r="J11" s="183" t="n"/>
      <c r="K11" s="184" t="n"/>
      <c r="O11" s="207" t="inlineStr">
        <is>
          <t>Exhibition Tour/Panel2</t>
        </is>
      </c>
      <c r="P11" s="183" t="n"/>
      <c r="Q11" s="183" t="n"/>
      <c r="R11" s="183" t="n"/>
      <c r="S11" s="183" t="n"/>
      <c r="T11" s="184" t="n"/>
      <c r="V11" s="190" t="inlineStr">
        <is>
          <t>参加者出発案内</t>
        </is>
      </c>
      <c r="W11" s="183" t="n"/>
      <c r="X11" s="183" t="n"/>
      <c r="Y11" s="184" t="n"/>
      <c r="AB11" s="219" t="inlineStr">
        <is>
          <t>空港へ(AY132 22:05)</t>
        </is>
      </c>
      <c r="AC11" s="183" t="n"/>
      <c r="AD11" s="183" t="n"/>
      <c r="AE11" s="183" t="n"/>
      <c r="AF11" s="184" t="n"/>
    </row>
    <row r="12" ht="21.75" customHeight="1" s="123">
      <c r="A12" s="165">
        <f>人員一覧・判定!B11</f>
        <v/>
      </c>
      <c r="F12" s="190" t="inlineStr">
        <is>
          <t>受付/清算</t>
        </is>
      </c>
      <c r="G12" s="183" t="n"/>
      <c r="H12" s="183" t="n"/>
      <c r="I12" s="183" t="n"/>
      <c r="J12" s="183" t="n"/>
      <c r="K12" s="184" t="n"/>
      <c r="O12" s="190" t="inlineStr">
        <is>
          <t>会場(受付)</t>
        </is>
      </c>
      <c r="P12" s="183" t="n"/>
      <c r="Q12" s="183" t="n"/>
      <c r="R12" s="183" t="n"/>
      <c r="S12" s="183" t="n"/>
      <c r="T12" s="184" t="n"/>
      <c r="V12" s="191" t="inlineStr">
        <is>
          <t>Dorsett出発対応・支払</t>
        </is>
      </c>
      <c r="W12" s="183" t="n"/>
      <c r="X12" s="183" t="n"/>
      <c r="Y12" s="183" t="n"/>
      <c r="Z12" s="183" t="n"/>
      <c r="AA12" s="183" t="n"/>
      <c r="AB12" s="183" t="n"/>
      <c r="AC12" s="184" t="n"/>
    </row>
    <row r="13" ht="21.75" customHeight="1" s="123">
      <c r="A13" s="165">
        <f>人員一覧・判定!B12</f>
        <v/>
      </c>
      <c r="D13" s="220" t="inlineStr">
        <is>
          <t>Dorsett→EXPO誘導</t>
        </is>
      </c>
      <c r="E13" s="184" t="n"/>
      <c r="F13" s="190" t="inlineStr">
        <is>
          <t>受付</t>
        </is>
      </c>
      <c r="G13" s="183" t="n"/>
      <c r="H13" s="183" t="n"/>
      <c r="I13" s="183" t="n"/>
      <c r="J13" s="183" t="n"/>
      <c r="K13" s="184" t="n"/>
      <c r="O13" s="190" t="inlineStr">
        <is>
          <t>会場(受付)</t>
        </is>
      </c>
      <c r="P13" s="183" t="n"/>
      <c r="Q13" s="183" t="n"/>
      <c r="R13" s="183" t="n"/>
      <c r="S13" s="183" t="n"/>
      <c r="T13" s="184" t="n"/>
      <c r="V13" s="191" t="inlineStr">
        <is>
          <t>Dorsett出発対応・送迎確認</t>
        </is>
      </c>
      <c r="W13" s="183" t="n"/>
      <c r="X13" s="183" t="n"/>
      <c r="Y13" s="183" t="n"/>
      <c r="Z13" s="183" t="n"/>
      <c r="AA13" s="183" t="n"/>
      <c r="AB13" s="183" t="n"/>
      <c r="AC13" s="184" t="n"/>
    </row>
    <row r="14" ht="21.75" customHeight="1" s="123">
      <c r="A14" s="165">
        <f>人員一覧・判定!B13</f>
        <v/>
      </c>
      <c r="F14" s="207" t="inlineStr">
        <is>
          <t>Keynote/Panel1</t>
        </is>
      </c>
      <c r="G14" s="183" t="n"/>
      <c r="H14" s="183" t="n"/>
      <c r="I14" s="183" t="n"/>
      <c r="J14" s="183" t="n"/>
      <c r="K14" s="184" t="n"/>
      <c r="O14" s="189" t="inlineStr">
        <is>
          <t>Exhibition Tour誘導(Japan Pavilion)</t>
        </is>
      </c>
      <c r="P14" s="184" t="n"/>
      <c r="R14" s="207" t="inlineStr">
        <is>
          <t>Panel2/Closing</t>
        </is>
      </c>
      <c r="S14" s="183" t="n"/>
      <c r="T14" s="184" t="n"/>
      <c r="V14" s="188" t="inlineStr">
        <is>
          <t>機材撤収</t>
        </is>
      </c>
      <c r="W14" s="183" t="n"/>
      <c r="X14" s="183" t="n"/>
      <c r="Y14" s="184" t="n"/>
      <c r="AE14" s="221" t="inlineStr">
        <is>
          <t>空港へ(01:30発)</t>
        </is>
      </c>
      <c r="AF14" s="184" t="n"/>
    </row>
    <row r="15" ht="21.75" customHeight="1" s="123">
      <c r="A15" s="192">
        <f>人員一覧・判定!C14</f>
        <v/>
      </c>
      <c r="F15" s="207" t="inlineStr">
        <is>
          <t>Keynote/Panel1/Summary最終化</t>
        </is>
      </c>
      <c r="G15" s="183" t="n"/>
      <c r="H15" s="183" t="n"/>
      <c r="I15" s="183" t="n"/>
      <c r="J15" s="183" t="n"/>
      <c r="K15" s="184" t="n"/>
      <c r="O15" s="207" t="inlineStr">
        <is>
          <t>Exhibition Tour/Panel2</t>
        </is>
      </c>
      <c r="P15" s="183" t="n"/>
      <c r="Q15" s="183" t="n"/>
      <c r="R15" s="183" t="n"/>
      <c r="S15" s="183" t="n"/>
      <c r="T15" s="184" t="n"/>
      <c r="AE15" s="221" t="inlineStr">
        <is>
          <t>空港へ(01:30発)</t>
        </is>
      </c>
      <c r="AF15" s="184" t="n"/>
    </row>
    <row r="16" ht="21.75" customHeight="1" s="123">
      <c r="A16" s="165">
        <f>人員一覧・判定!C15</f>
        <v/>
      </c>
      <c r="F16" s="207" t="inlineStr">
        <is>
          <t>Keynote/Panel1</t>
        </is>
      </c>
      <c r="G16" s="183" t="n"/>
      <c r="H16" s="183" t="n"/>
      <c r="I16" s="183" t="n"/>
      <c r="J16" s="183" t="n"/>
      <c r="K16" s="184" t="n"/>
      <c r="O16" s="207" t="inlineStr">
        <is>
          <t>Exhibition Tour/Panel2</t>
        </is>
      </c>
      <c r="P16" s="183" t="n"/>
      <c r="Q16" s="183" t="n"/>
      <c r="R16" s="183" t="n"/>
      <c r="S16" s="183" t="n"/>
      <c r="T16" s="184" t="n"/>
    </row>
    <row r="17" ht="21.75" customHeight="1" s="123">
      <c r="A17" s="168">
        <f>人員一覧・判定!B18</f>
        <v/>
      </c>
      <c r="F17" s="210" t="inlineStr">
        <is>
          <t>Keynote/Panel1/SCサマリー</t>
        </is>
      </c>
      <c r="G17" s="183" t="n"/>
      <c r="H17" s="183" t="n"/>
      <c r="I17" s="183" t="n"/>
      <c r="J17" s="183" t="n"/>
      <c r="K17" s="184" t="n"/>
      <c r="O17" s="210" t="inlineStr">
        <is>
          <t>Exhibition Tour/Panel2/Closing</t>
        </is>
      </c>
      <c r="P17" s="183" t="n"/>
      <c r="Q17" s="183" t="n"/>
      <c r="R17" s="183" t="n"/>
      <c r="S17" s="183" t="n"/>
      <c r="T17" s="184" t="n"/>
      <c r="V17" s="202" t="inlineStr">
        <is>
          <t>帰国準備(便未定)</t>
        </is>
      </c>
      <c r="W17" s="183" t="n"/>
      <c r="X17" s="183" t="n"/>
      <c r="Y17" s="184" t="n"/>
    </row>
    <row r="18" ht="21.75" customHeight="1" s="123">
      <c r="A18" s="165">
        <f>人員一覧・判定!B16</f>
        <v/>
      </c>
      <c r="F18" s="188" t="inlineStr">
        <is>
          <t>写真/誘導</t>
        </is>
      </c>
      <c r="G18" s="183" t="n"/>
      <c r="H18" s="183" t="n"/>
      <c r="I18" s="183" t="n"/>
      <c r="J18" s="183" t="n"/>
      <c r="K18" s="184" t="n"/>
      <c r="O18" s="188" t="inlineStr">
        <is>
          <t>Exhibition Tour誘導/写真</t>
        </is>
      </c>
      <c r="P18" s="183" t="n"/>
      <c r="Q18" s="183" t="n"/>
      <c r="R18" s="183" t="n"/>
      <c r="S18" s="183" t="n"/>
      <c r="T18" s="184" t="n"/>
      <c r="V18" s="190" t="inlineStr">
        <is>
          <t>帰国準備→空港へ（30日夜便、便未定）</t>
        </is>
      </c>
      <c r="W18" s="183" t="n"/>
      <c r="X18" s="183" t="n"/>
      <c r="Y18" s="183" t="n"/>
      <c r="Z18" s="183" t="n"/>
      <c r="AA18" s="184" t="n"/>
    </row>
    <row r="19" ht="21.75" customHeight="1" s="123">
      <c r="A19" s="165">
        <f>人員一覧・判定!B17</f>
        <v/>
      </c>
      <c r="F19" s="212" t="inlineStr">
        <is>
          <t>Keynote記録</t>
        </is>
      </c>
      <c r="G19" s="183" t="n"/>
      <c r="H19" s="183" t="n"/>
      <c r="I19" s="183" t="n"/>
      <c r="J19" s="183" t="n"/>
      <c r="K19" s="184" t="n"/>
      <c r="O19" s="190" t="inlineStr">
        <is>
          <t>参加者誘導</t>
        </is>
      </c>
      <c r="P19" s="183" t="n"/>
      <c r="Q19" s="183" t="n"/>
      <c r="R19" s="183" t="n"/>
      <c r="S19" s="183" t="n"/>
      <c r="T19" s="184" t="n"/>
      <c r="V19" s="190" t="inlineStr">
        <is>
          <t>帰国準備→空港へ（30日夜便、便未定）</t>
        </is>
      </c>
      <c r="W19" s="183" t="n"/>
      <c r="X19" s="183" t="n"/>
      <c r="Y19" s="183" t="n"/>
      <c r="Z19" s="183" t="n"/>
      <c r="AA19" s="184" t="n"/>
    </row>
    <row r="20" ht="14.25" customHeight="1" s="123">
      <c r="A20" s="134" t="inlineStr">
        <is>
          <t>稼働人数(自動)</t>
        </is>
      </c>
      <c r="B20" s="197">
        <f>COUNTA(B5:B19)</f>
        <v/>
      </c>
      <c r="C20" s="197">
        <f>COUNTA(C5:C19)</f>
        <v/>
      </c>
      <c r="D20" s="197">
        <f>COUNTA(D5:D19)</f>
        <v/>
      </c>
      <c r="E20" s="197">
        <f>COUNTA(E5:E19)</f>
        <v/>
      </c>
      <c r="F20" s="197">
        <f>COUNTA(F5:F19)</f>
        <v/>
      </c>
      <c r="G20" s="197">
        <f>COUNTA(G5:G19)</f>
        <v/>
      </c>
      <c r="H20" s="197">
        <f>COUNTA(H5:H19)</f>
        <v/>
      </c>
      <c r="I20" s="197">
        <f>COUNTA(I5:I19)</f>
        <v/>
      </c>
      <c r="J20" s="197">
        <f>COUNTA(J5:J19)</f>
        <v/>
      </c>
      <c r="K20" s="197">
        <f>COUNTA(K5:K19)</f>
        <v/>
      </c>
      <c r="L20" s="197">
        <f>COUNTA(L5:L19)</f>
        <v/>
      </c>
      <c r="M20" s="197">
        <f>COUNTA(M5:M19)</f>
        <v/>
      </c>
      <c r="N20" s="197">
        <f>COUNTA(N5:N19)</f>
        <v/>
      </c>
      <c r="O20" s="197">
        <f>COUNTA(O5:O19)</f>
        <v/>
      </c>
      <c r="P20" s="197">
        <f>COUNTA(P5:P19)</f>
        <v/>
      </c>
      <c r="Q20" s="197">
        <f>COUNTA(Q5:Q19)</f>
        <v/>
      </c>
      <c r="R20" s="197">
        <f>COUNTA(R5:R19)</f>
        <v/>
      </c>
      <c r="S20" s="197">
        <f>COUNTA(S5:S19)</f>
        <v/>
      </c>
      <c r="T20" s="197">
        <f>COUNTA(T5:T19)</f>
        <v/>
      </c>
      <c r="U20" s="197">
        <f>COUNTA(U5:U19)</f>
        <v/>
      </c>
      <c r="V20" s="197">
        <f>COUNTA(V5:V19)</f>
        <v/>
      </c>
      <c r="W20" s="197">
        <f>COUNTA(W5:W19)</f>
        <v/>
      </c>
      <c r="X20" s="197">
        <f>COUNTA(X5:X19)</f>
        <v/>
      </c>
      <c r="Y20" s="197">
        <f>COUNTA(Y5:Y19)</f>
        <v/>
      </c>
      <c r="Z20" s="197">
        <f>COUNTA(Z5:Z19)</f>
        <v/>
      </c>
      <c r="AA20" s="197">
        <f>COUNTA(AA5:AA19)</f>
        <v/>
      </c>
      <c r="AB20" s="197">
        <f>COUNTA(AB5:AB19)</f>
        <v/>
      </c>
      <c r="AC20" s="197">
        <f>COUNTA(AC5:AC19)</f>
        <v/>
      </c>
      <c r="AD20" s="197">
        <f>COUNTA(AD5:AD19)</f>
        <v/>
      </c>
      <c r="AE20" s="197">
        <f>COUNTA(AE5:AE19)</f>
        <v/>
      </c>
      <c r="AF20" s="197">
        <f>COUNTA(AF5:AF19)</f>
        <v/>
      </c>
      <c r="AG20" s="197">
        <f>COUNTA(AG5:AG19)</f>
        <v/>
      </c>
    </row>
    <row r="21" ht="14.25" customHeight="1" s="123">
      <c r="A21" s="198" t="inlineStr">
        <is>
          <t>※稼働人数は各30分列で「文字が入っている先頭セル」のみを数えるため、結合セルの2列目以降は0扱い。人数の目安として『同時刻に業務が始まる人数』を示す（正確な在場人数は動態表(日別)を参照）。</t>
        </is>
      </c>
    </row>
    <row r="22" ht="60" customHeight="1" s="123">
      <c r="A22" s="199" t="inlineStr">
        <is>
          <t>ギャップ: (1) 10/30夜〜10/31午前に出発が集中（メンバー国15組以上、役員3名）し、荒木田・吉田・北本・三浦・藤本・塩見が当夜に、池田・Gerryが深夜（01:30発）に、宮木・児玉が10/31早朝（06:35発）に離脱する。10/31朝の見送り・ホテル清算は藤中・田中の2名のみになる（荒木田 9/7: 許容。COSEMシャトルが空港送迎を担うため、ADRC側はホテルでの見送りと清算立会いに絞る）。(2) Exhibition Tour(13:50-14:50)でメンバー国参加者をJapan Pavilionへ誘導する担当が池田1名。</t>
        </is>
      </c>
    </row>
    <row r="23" ht="14.25" customHeight="1" s="123"/>
    <row r="24" ht="14.25" customHeight="1" s="123">
      <c r="A24" s="200" t="inlineStr">
        <is>
          <t>日本側サポート（神戸）※列はシンガポール時間、JSTは+1時間</t>
        </is>
      </c>
    </row>
    <row r="25" ht="21.75" customHeight="1" s="123">
      <c r="A25" s="176">
        <f>人員一覧・判定!B19</f>
        <v/>
      </c>
      <c r="F25" s="193" t="inlineStr">
        <is>
          <t>（SIDEX配信はSCDF側）Webinar/Zoom終了処理・AI通訳ログ整理</t>
        </is>
      </c>
      <c r="G25" s="183" t="n"/>
      <c r="H25" s="183" t="n"/>
      <c r="I25" s="183" t="n"/>
      <c r="J25" s="183" t="n"/>
      <c r="K25" s="184" t="n"/>
    </row>
    <row r="26" ht="21.75" customHeight="1" s="123">
      <c r="A26" s="176">
        <f>人員一覧・判定!B20</f>
        <v/>
      </c>
      <c r="F26" s="193" t="inlineStr">
        <is>
          <t>録画データ整理・保存（報告書・Highlights用）</t>
        </is>
      </c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4" t="n"/>
    </row>
    <row r="27" ht="14.25" customHeight="1" s="123">
      <c r="A27" s="198" t="inlineStr">
        <is>
          <t>※寺坂・伊達はACDR2025の実績（録画日英2台・Webinarホスト確認）に基づく仮置き。WebinarとZoomはクラウド録画をバックアップとし、ローカルにも保存（2025年運用）。</t>
        </is>
      </c>
    </row>
  </sheetData>
  <mergeCells count="56">
    <mergeCell ref="V12:AC12"/>
    <mergeCell ref="V19:AA19"/>
    <mergeCell ref="AD6:AF6"/>
    <mergeCell ref="F18:K18"/>
    <mergeCell ref="V9:AA9"/>
    <mergeCell ref="F17:K17"/>
    <mergeCell ref="F8:K8"/>
    <mergeCell ref="L4:N4"/>
    <mergeCell ref="O16:T16"/>
    <mergeCell ref="V13:AC13"/>
    <mergeCell ref="V4:AF4"/>
    <mergeCell ref="D11:E11"/>
    <mergeCell ref="D13:E13"/>
    <mergeCell ref="F13:K13"/>
    <mergeCell ref="AC7:AF7"/>
    <mergeCell ref="V17:Y17"/>
    <mergeCell ref="F9:K9"/>
    <mergeCell ref="O12:T12"/>
    <mergeCell ref="AE14:AF14"/>
    <mergeCell ref="O17:T17"/>
    <mergeCell ref="O4:P4"/>
    <mergeCell ref="O8:T8"/>
    <mergeCell ref="O11:T11"/>
    <mergeCell ref="V14:Y14"/>
    <mergeCell ref="F26:S26"/>
    <mergeCell ref="V8:Y8"/>
    <mergeCell ref="F14:K14"/>
    <mergeCell ref="AB11:AF11"/>
    <mergeCell ref="R14:T14"/>
    <mergeCell ref="V18:AA18"/>
    <mergeCell ref="V10:Y10"/>
    <mergeCell ref="O13:T13"/>
    <mergeCell ref="O7:T7"/>
    <mergeCell ref="F4:K4"/>
    <mergeCell ref="O19:T19"/>
    <mergeCell ref="F11:K11"/>
    <mergeCell ref="A24:L24"/>
    <mergeCell ref="O10:T10"/>
    <mergeCell ref="F19:K19"/>
    <mergeCell ref="O6:T6"/>
    <mergeCell ref="F25:K25"/>
    <mergeCell ref="F10:K10"/>
    <mergeCell ref="F16:K16"/>
    <mergeCell ref="O15:T15"/>
    <mergeCell ref="F6:K6"/>
    <mergeCell ref="AE15:AF15"/>
    <mergeCell ref="AA10:AF10"/>
    <mergeCell ref="O9:T9"/>
    <mergeCell ref="O18:T18"/>
    <mergeCell ref="R4:T4"/>
    <mergeCell ref="A22:T22"/>
    <mergeCell ref="O14:P14"/>
    <mergeCell ref="F7:K7"/>
    <mergeCell ref="V11:Y11"/>
    <mergeCell ref="F12:K12"/>
    <mergeCell ref="F15:K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3" activeCellId="0" sqref="G13"/>
    </sheetView>
  </sheetViews>
  <sheetFormatPr baseColWidth="8" defaultColWidth="8.55859375" defaultRowHeight="14.25" zeroHeight="0" outlineLevelRow="0"/>
  <cols>
    <col width="22" customWidth="1" style="122" min="1" max="2"/>
    <col width="10" customWidth="1" style="122" min="3" max="3"/>
    <col width="30" customWidth="1" style="122" min="4" max="4"/>
    <col width="8" customWidth="1" style="122" min="5" max="5"/>
    <col width="44" customWidth="1" style="122" min="6" max="7"/>
  </cols>
  <sheetData>
    <row r="1" ht="15" customHeight="1" s="123">
      <c r="A1" s="222" t="inlineStr">
        <is>
          <t>機能別 必要人数と充足状況（現時点の確定・見込メンバーでの判定）</t>
        </is>
      </c>
    </row>
    <row r="2" ht="31.5" customHeight="1" s="123">
      <c r="A2" s="125" t="inlineStr">
        <is>
          <t>判定の前提: 役員3名（三浦・北本・宮木）はVIP／代表として扱い運営要員に数えない。MizanはCo-Chair前提で「見込」。SCDF/COSEMがMC・モデレーター・会場・バス・名札印刷・登録システムを担う（5月合同会議・8/6デマケ）。日本側（神戸）サポートは現地要員に数えない。</t>
        </is>
      </c>
    </row>
    <row r="4" ht="26.25" customHeight="1" s="123">
      <c r="A4" s="127" t="inlineStr">
        <is>
          <t>機能</t>
        </is>
      </c>
      <c r="B4" s="127" t="inlineStr">
        <is>
          <t>ピーク時間帯</t>
        </is>
      </c>
      <c r="C4" s="127" t="inlineStr">
        <is>
          <t>必要人数(目安)</t>
        </is>
      </c>
      <c r="D4" s="127" t="inlineStr">
        <is>
          <t>現在の担当（確定・見込）</t>
        </is>
      </c>
      <c r="E4" s="127" t="inlineStr">
        <is>
          <t>充足</t>
        </is>
      </c>
      <c r="F4" s="127" t="inlineStr">
        <is>
          <t>ギャップ・リスク</t>
        </is>
      </c>
      <c r="G4" s="127" t="inlineStr">
        <is>
          <t>対応案（追加要員の配置）</t>
        </is>
      </c>
    </row>
    <row r="5" ht="90" customHeight="1" s="123">
      <c r="A5" s="129" t="inlineStr">
        <is>
          <t>受付・参加者デスク（会場／公邸／ホテル）</t>
        </is>
      </c>
      <c r="B5" s="128" t="inlineStr">
        <is>
          <t>10/26夕〜10/27（到着・名札配布）、10/28-29終日</t>
        </is>
      </c>
      <c r="C5" s="128" t="inlineStr">
        <is>
          <t>3</t>
        </is>
      </c>
      <c r="D5" s="129" t="inlineStr">
        <is>
          <t>藤中、田中（＋吉田は10/27夜・10/28午前のみ）</t>
        </is>
      </c>
      <c r="E5" s="223" t="inlineStr">
        <is>
          <t>△</t>
        </is>
      </c>
      <c r="F5" s="128" t="inlineStr">
        <is>
          <t>ACDR2023は3名体制（堀池・藤中・田中）。今回は名札セットのQR配布(100-120名)と宿泊37室/泊の対応が加わる。急病・遅延・ビザ問題が出ると即座に詰まる。</t>
        </is>
      </c>
      <c r="G5" s="129" t="inlineStr">
        <is>
          <t>藤本を3人目として配置（本人8/7『アドミサポート・会議補助なら可』）。または寺坂（デマケ上のリスト出力担当）。</t>
        </is>
      </c>
    </row>
    <row r="6" ht="90" customHeight="1" s="123">
      <c r="A6" s="128" t="inlineStr">
        <is>
          <t>AV・PC・Zoom・AI翻訳オペレーション（現地側）</t>
        </is>
      </c>
      <c r="B6" s="128" t="inlineStr">
        <is>
          <t>10/28 07:30-16:45、10/29 08:00-12:00</t>
        </is>
      </c>
      <c r="C6" s="128" t="inlineStr">
        <is>
          <t>2（うち1名は現地専任）</t>
        </is>
      </c>
      <c r="D6" s="129" t="inlineStr">
        <is>
          <t>現地: 荒木田、池田／日本側: 中村（Zoom・AI通訳設定・Q&amp;A確認）、山口（録画・オンライン質疑）</t>
        </is>
      </c>
      <c r="E6" s="223" t="inlineStr">
        <is>
          <t>△</t>
        </is>
      </c>
      <c r="F6" s="129" t="inlineStr">
        <is>
          <t>Zoomホスト・AI通訳監視・Q&amp;A・録画は2025年同様に神戸側（中村・山口）で持てるため、現地の負荷は『会場AVとAI通訳端末の物理接続・トラブル一次対応』に絞られる。それでも荒木田はOpening/Closing進行・VIP同行、池田はTech Session PICで、セッション中に現地の一次対応者が不在になる時間帯が残る。 9/4打合せ: Webinar進行・機材・スクリーンをホスト国（SCDF/COSEM）側が担えるか確認中。会場は横長レイアウトへ変更交渉中、レイアウト表を次回までに作成</t>
        </is>
      </c>
      <c r="G6" s="129" t="inlineStr">
        <is>
          <t>現地の一次対応は藤本を推奨。会場AVはSCDF側スタッフに操作依頼できるか9月合同会議で確認。日本側と現地の連絡手段（WhatsApp等）と時差1時間の運用ルールを事前に決める。</t>
        </is>
      </c>
    </row>
    <row r="7" ht="90" customHeight="1" s="123">
      <c r="A7" s="129" t="inlineStr">
        <is>
          <t>セッション運営（RT・Tech Session）</t>
        </is>
      </c>
      <c r="B7" s="128" t="inlineStr">
        <is>
          <t>10/28 13:00-15:30、10/29 09:30-12:00</t>
        </is>
      </c>
      <c r="C7" s="128" t="inlineStr">
        <is>
          <t>3（PIC・Co-Chair・フロア）</t>
        </is>
      </c>
      <c r="D7" s="128" t="inlineStr">
        <is>
          <t>RT: 吉田・Gerry／TS: Mizan(Co-Chair)・池田</t>
        </is>
      </c>
      <c r="E7" s="223" t="inlineStr">
        <is>
          <t>△</t>
        </is>
      </c>
      <c r="F7" s="128" t="inlineStr">
        <is>
          <t>TSはMizanが登壇側に回ると、登壇者6名の誘導・時間管理・Q&amp;A取次を行うフロア担当が池田1名。Said Faisal辞退後のSCDF側モデレーターも未確定。</t>
        </is>
      </c>
      <c r="G7" s="131" t="inlineStr">
        <is>
          <t>塩見（承諾済み）をRT/TSの記録・フロア補助に配置。SCDF側モデレーター確定をSylviaへ再確認。</t>
        </is>
      </c>
    </row>
    <row r="8" ht="90" customHeight="1" s="123">
      <c r="A8" s="129" t="inlineStr">
        <is>
          <t>記録・Draft Summary・Closing要約</t>
        </is>
      </c>
      <c r="B8" s="128" t="inlineStr">
        <is>
          <t>10/28夜〜10/29 11:45</t>
        </is>
      </c>
      <c r="C8" s="128" t="inlineStr">
        <is>
          <t>2</t>
        </is>
      </c>
      <c r="D8" s="128" t="inlineStr">
        <is>
          <t>Gerry、Mizan（デマケ: Draft Summary）</t>
        </is>
      </c>
      <c r="E8" s="224" t="inlineStr">
        <is>
          <t>×</t>
        </is>
      </c>
      <c r="F8" s="128" t="inlineStr">
        <is>
          <t>MizanがCo-Chairなら実質Gerry1名。RT(2.5h)＋TS(2h)の要約を当日昼までに出すことが難しい。</t>
        </is>
      </c>
      <c r="G8" s="129" t="inlineStr">
        <is>
          <t>塩見（承諾済み）を記録・サマリー補助に。</t>
        </is>
      </c>
    </row>
    <row r="9" ht="90" customHeight="1" s="123">
      <c r="A9" s="128" t="inlineStr">
        <is>
          <t>VIP・内閣府随行（林統括官＋随行2名）</t>
        </is>
      </c>
      <c r="B9" s="128" t="inlineStr">
        <is>
          <t>10/27夕〜10/30終日</t>
        </is>
      </c>
      <c r="C9" s="128" t="inlineStr">
        <is>
          <t>1.5（常時1名＋バイ会談時+1）</t>
        </is>
      </c>
      <c r="D9" s="129" t="inlineStr">
        <is>
          <t>宮木、児玉（内閣府に張り付かず、COSEM・内閣府との調整に臨機応変。空港出迎え不要＝公用車）</t>
        </is>
      </c>
      <c r="E9" s="225" t="inlineStr">
        <is>
          <t>○</t>
        </is>
      </c>
      <c r="F9" s="131" t="inlineStr">
        <is>
          <t>9/4打合せ: 林統括官の英語対応はADRCに求められた前例がなく大使館側で対応。宮木・児玉は必要時のみ同行。内閣府のホテルは未定（問合せ中）</t>
        </is>
      </c>
      <c r="G9" s="131" t="inlineStr">
        <is>
          <t>Opening/VIP Tour/表敬は同行程度に留め、宮木・児玉はCOSEM調整・レセプション・撤収に回す。内閣府ホテルの回答期限を確認</t>
        </is>
      </c>
    </row>
    <row r="10" ht="90" customHeight="1" s="123">
      <c r="A10" s="129" t="inlineStr">
        <is>
          <t>写真・動画記録（Highlight Movie含む）</t>
        </is>
      </c>
      <c r="B10" s="129" t="inlineStr">
        <is>
          <t>会期中全日</t>
        </is>
      </c>
      <c r="C10" s="128" t="inlineStr">
        <is>
          <t>1</t>
        </is>
      </c>
      <c r="D10" s="129" t="inlineStr">
        <is>
          <t>藤本（撮影を主担当、児玉 9/4）</t>
        </is>
      </c>
      <c r="E10" s="225" t="inlineStr">
        <is>
          <t>○</t>
        </is>
      </c>
      <c r="F10" s="129" t="inlineStr">
        <is>
          <t>藤本が撮影主担当で本人承諾済み（9/4）。COSEM側の公式カメラマンの有無と集合写真の場所・時刻はCOSEM協議事項</t>
        </is>
      </c>
      <c r="G10" s="129" t="inlineStr">
        <is>
          <t>撮影計画（Opening集合写真、RT、TS、公邸、パレード）を作成。ハイライト動画の編集場所と素材受渡しをCOSEMと確認</t>
        </is>
      </c>
    </row>
    <row r="11" ht="90" customHeight="1" s="123">
      <c r="A11" s="128" t="inlineStr">
        <is>
          <t>SIDEX展示・Japan Pavilion連携／参加者誘導（Hall3⇔Peridot）</t>
        </is>
      </c>
      <c r="B11" s="128" t="inlineStr">
        <is>
          <t>10/28 10:30-12:45、10/29午後、10/30 13:50-14:50</t>
        </is>
      </c>
      <c r="C11" s="128" t="inlineStr">
        <is>
          <t>2</t>
        </is>
      </c>
      <c r="D11" s="129" t="inlineStr">
        <is>
          <t>池田、Mizan（デマケ: SIDEX Exhibition）</t>
        </is>
      </c>
      <c r="E11" s="223" t="inlineStr">
        <is>
          <t>△</t>
        </is>
      </c>
      <c r="F11" s="129" t="inlineStr">
        <is>
          <t>荒木田8/6『もう一人か二人必要』と認識済み。Mizanは10/29午前Co-Chair、池田はTS PICで同時間帯に動けない。</t>
        </is>
      </c>
      <c r="G11" s="129" t="inlineStr">
        <is>
          <t>藤本または塩見（承諾済み）を誘導担当に。SCDFのリエゾン配置も要請。</t>
        </is>
      </c>
    </row>
    <row r="12" ht="90" customHeight="1" s="123">
      <c r="A12" s="128" t="inlineStr">
        <is>
          <t>Field Trip引率（CDA、バス点呼）</t>
        </is>
      </c>
      <c r="B12" s="128" t="inlineStr">
        <is>
          <t>10/29 13:00-17:15</t>
        </is>
      </c>
      <c r="C12" s="128" t="inlineStr">
        <is>
          <t>2-3</t>
        </is>
      </c>
      <c r="D12" s="129" t="inlineStr">
        <is>
          <t>荒木田、吉田（デマケ）、田中（名簿）</t>
        </is>
      </c>
      <c r="E12" s="225" t="inlineStr">
        <is>
          <t>○</t>
        </is>
      </c>
      <c r="F12" s="129" t="inlineStr">
        <is>
          <t>引率自体は足りるが、同時刻に会場撤収・Day3準備・バイ会談が残る（児玉・藤中・池田）。</t>
        </is>
      </c>
      <c r="G12" s="131" t="inlineStr">
        <is>
          <t>現状維持。塩見参加で引率を1名追加可能。</t>
        </is>
      </c>
    </row>
    <row r="13" ht="90" customHeight="1" s="123">
      <c r="A13" s="129" t="inlineStr">
        <is>
          <t>到着・出発対応（空港・ホテル）</t>
        </is>
      </c>
      <c r="B13" s="128" t="inlineStr">
        <is>
          <t>10/26 15:00-24:00、10/27午前、10/30夜〜10/31午前</t>
        </is>
      </c>
      <c r="C13" s="128" t="inlineStr">
        <is>
          <t>2</t>
        </is>
      </c>
      <c r="D13" s="129" t="inlineStr">
        <is>
          <t>藤中、田中（COSEMが空港送迎）</t>
        </is>
      </c>
      <c r="E13" s="223" t="inlineStr">
        <is>
          <t>△</t>
        </is>
      </c>
      <c r="F13" s="128" t="inlineStr">
        <is>
          <t>10/26は宮木・児玉が前日（10/25夜）入りしているためDorsett到着対応を分担できる。一方10/31朝は宮木・児玉（06:35発）、池田・Gerry（深夜発）も帰国し、見送り・清算は藤中・田中の2名のみ。</t>
        </is>
      </c>
      <c r="G13" s="128" t="inlineStr">
        <is>
          <t>10/26夕方は宮木・児玉・藤中・田中でDorsett対応（藤本・塩見は26日夜着のため入らない）。10/31朝は藤中・田中の2名で見送り・清算（荒木田 9/7: 許容。藤本・塩見は30日夜out）。COSEM送迎に空港移動を委ね、ADRCはホテルでの見送りと清算立会いに絞る。</t>
        </is>
      </c>
    </row>
    <row r="14" ht="90" customHeight="1" s="123">
      <c r="A14" s="129" t="inlineStr">
        <is>
          <t>オンライン配信・録画・Q&amp;A（日本側）</t>
        </is>
      </c>
      <c r="B14" s="128" t="inlineStr">
        <is>
          <t>10/28 12:30-16:45、10/29 08:00-12:00（SGT）</t>
        </is>
      </c>
      <c r="C14" s="128" t="inlineStr">
        <is>
          <t>2＋バックアップ</t>
        </is>
      </c>
      <c r="D14" s="129" t="inlineStr">
        <is>
          <t>中村（Zoom Webinar/Meeting設定・ホスト、AI通訳設定・監視、Q&amp;A確認）、山口（録画クラウド＋ローカル、オンライン質疑）／バックアップ仮置き: 寺坂（録画日英）、伊達（ホスト確認）</t>
        </is>
      </c>
      <c r="E14" s="225" t="inlineStr">
        <is>
          <t>○</t>
        </is>
      </c>
      <c r="F14" s="128" t="inlineStr">
        <is>
          <t>2025年はSC・ACDRとも神戸側でWebinar設定・録画・Q&amp;A確認を行い問題なし。今回はAI通訳が加わるため、事前リハーサル（10/26-27）で現地端末との接続確認が必要。神戸は10/28-29が平日のためJST 9:30-17:45の勤務時間内に収まる。</t>
        </is>
      </c>
      <c r="G14" s="128" t="inlineStr">
        <is>
          <t>10/26-27に中村・山口が現地（荒木田・池田）と接続テスト。寺坂・伊達のバックアップ要否を本人に確認。</t>
        </is>
      </c>
    </row>
    <row r="15" ht="90" customHeight="1" s="123">
      <c r="A15" s="129" t="inlineStr">
        <is>
          <t>参加者誘導（Dorsett⇔EXPO、パレード前）</t>
        </is>
      </c>
      <c r="B15" s="128" t="inlineStr">
        <is>
          <t>10/29・30 朝 08:00-09:00、10/29 17:00-18:30</t>
        </is>
      </c>
      <c r="C15" s="128" t="inlineStr">
        <is>
          <t>2</t>
        </is>
      </c>
      <c r="D15" s="129" t="inlineStr">
        <is>
          <t>田中、吉田、塩見</t>
        </is>
      </c>
      <c r="E15" s="223" t="inlineStr">
        <is>
          <t>△</t>
        </is>
      </c>
      <c r="F15" s="128" t="inlineStr">
        <is>
          <t>9/4打合せ: SCDFの引率は28日のみ。29・30日朝と、パレード前（ホテルで着替え後にEXPOへ再移動、渋滞で遅れるリスク）の誘導はADRC側で必要。参加者リストを作って担当を割り当てる（荒木田アクション）</t>
        </is>
      </c>
      <c r="G15" s="128" t="inlineStr">
        <is>
          <t>Field Trip参加者リストを基に誘導担当を確定。バス・タクシーの手配はCOSEMと調整。ドレスコードを事前周知</t>
        </is>
      </c>
    </row>
    <row r="16" ht="14.25" customHeight="1" s="123">
      <c r="A16" s="226" t="inlineStr">
        <is>
          <t>結論（案）</t>
        </is>
      </c>
    </row>
    <row r="17" ht="43.5" customHeight="1" s="123">
      <c r="A17" s="227" t="inlineStr">
        <is>
          <t>1. 現地要員は役員3名＋運営9名（荒木田・児玉・吉田・藤中・田中・池田・Gerry・Mizan・森口）。Mizanは会期中の参加可（フライト未取得）、森口はSC担当として例年どおり現地参加見込（未手配）。</t>
        </is>
      </c>
    </row>
    <row r="18" ht="43.5" customHeight="1" s="123">
      <c r="A18" s="227" t="inlineStr">
        <is>
          <t>2. 藤本（撮影・現地一次対応）と塩見（記録・誘導）は9/4に本人承諾済み。日本側（中村・山口）と合わせ、赤字だったギャップは解消の見込み。両名は26日夜in/30日夜outで確定（9/7）。残るのは両名とMizan・森口の手配（フライト・Hotel Mi、空きなければ周辺ホテル）と、COSEMとの役割分担の合意（別シート「COSEM協議事項」）。</t>
        </is>
      </c>
    </row>
    <row r="19" ht="43.5" customHeight="1" s="123">
      <c r="A19" s="227" t="inlineStr">
        <is>
          <t>3. 追加候補は (a) 藤本：Zoom設定・広報・リスト出力担当で受付/AV/写真を兼務できる。(b) 塩見：サマリー担当、セッション補助。</t>
        </is>
      </c>
    </row>
    <row r="20" ht="43.5" customHeight="1" s="123">
      <c r="A20" s="227" t="inlineStr">
        <is>
          <t>4. 追加2名の概算増: 航空券（関空LCC）約15万円×2＋Hotel Mi 6泊約10万円×2＋日当 ≒ 55-60万円。ACDR2026予算.xlsx(8/21)の『スタッフ宿泊 1,120,000円』は70泊分で、現在の確定分（約45泊）に対し余裕あり。一方、藤中は既に総額1,695万円で2月見積(1,664万円)超過を指摘しており、メンバー国参加が20か国未満で収まるか（現状17か国程度）が財源の鍵。</t>
        </is>
      </c>
    </row>
    <row r="21" ht="43.5" customHeight="1" s="123">
      <c r="A21" s="227" t="inlineStr">
        <is>
          <t>5. 打合せ後の確認事項: ①宮木・児玉の10/25泊（25日23:40着、宿泊必要と確認 9/6）の手配。所長の宿泊先（Dorsett/任意）は未定、②池田・Gerryの復路便名（SQ622=14:25発、01:30発はSQ618）、③Mizan・森口のフライト・宿泊手配、藤本・塩見（26日夜in/30日夜out確定）のフライトとHotel Mi（空きなければ周辺ホテル）手配、④内閣府のホテル、⑤COSEM/SCDFとの役割分担とドレスコード → シート「COSEM協議事項」で管理（第5回合同会議（9/15オンライン）＋メール＋Zoomで合意、Final Announcement 10/13前にGIへ反映）。</t>
        </is>
      </c>
    </row>
    <row r="23" ht="14.25" customHeight="1" s="123">
      <c r="A23" s="226" t="inlineStr">
        <is>
          <t>今後のスケジュール（9/4打合せ）</t>
        </is>
      </c>
    </row>
    <row r="24" ht="30" customHeight="1" s="123">
      <c r="A24" s="228" t="inlineStr">
        <is>
          <t>・9/12: Google登壇者の回答期限。TS登壇者（JAXA確定、内閣府枠でJapan Pavilion出展企業2社程度、モデレーター代替候補、Mizan=Co-Chair案）を荒木田が池田と確認しインビテーション発出</t>
        </is>
      </c>
    </row>
    <row r="25" ht="30" customHeight="1" s="123">
      <c r="A25" s="228" t="inlineStr">
        <is>
          <t>・9月下旬: 次回所内打合せ（会場レイアウト表、COSEMとの役割分担案、動態表更新版を提示）</t>
        </is>
      </c>
    </row>
    <row r="26" ht="30" customHeight="1" s="123">
      <c r="A26" s="228" t="inlineStr">
        <is>
          <t>・10/9(金) 理想、遅くとも10/13-16: ロジ最終版・アジェンダ最終ドラフト・SC書類を完成、メンバー国・参加者へ送付（藤中）</t>
        </is>
      </c>
    </row>
    <row r="27" ht="30" customHeight="1" s="123">
      <c r="A27" s="228" t="inlineStr">
        <is>
          <t>・10/13: Final Announcement（開催2週間前）</t>
        </is>
      </c>
    </row>
    <row r="28" ht="30" customHeight="1" s="123">
      <c r="A28" s="228" t="inlineStr">
        <is>
          <t>・10/26-27: 現地入り、日本側との接続・運用テスト、27日午前に全員で会場下見</t>
        </is>
      </c>
    </row>
    <row r="29" ht="30" customHeight="1" s="123">
      <c r="A29" s="228" t="inlineStr">
        <is>
          <t>・広報: 内閣府・県庁記者クラブへのプレスリリース（管理部と宮木）、神戸新聞記者（7月来訪、ネパール取材）へ案内（荒木田）</t>
        </is>
      </c>
    </row>
  </sheetData>
  <mergeCells count="12">
    <mergeCell ref="A17:G17"/>
    <mergeCell ref="A18:G18"/>
    <mergeCell ref="A27:G27"/>
    <mergeCell ref="A21:G21"/>
    <mergeCell ref="A20:G20"/>
    <mergeCell ref="A24:G24"/>
    <mergeCell ref="A2:G2"/>
    <mergeCell ref="A26:G26"/>
    <mergeCell ref="A29:G29"/>
    <mergeCell ref="A25:G25"/>
    <mergeCell ref="A19:G19"/>
    <mergeCell ref="A28:G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5" customWidth="1" style="122" min="1" max="1"/>
    <col width="12" customWidth="1" style="122" min="2" max="2"/>
    <col width="26" customWidth="1" style="122" min="3" max="3"/>
    <col width="44" customWidth="1" style="122" min="4" max="4"/>
    <col width="48" customWidth="1" style="122" min="5" max="5"/>
    <col width="30" customWidth="1" style="122" min="6" max="6"/>
    <col width="14" customWidth="1" style="122" min="7" max="8"/>
    <col width="9" customWidth="1" style="122" min="9" max="9"/>
  </cols>
  <sheetData>
    <row r="1" ht="16.5" customHeight="1" s="123">
      <c r="A1" s="229" t="inlineStr">
        <is>
          <t>COSEM/SCDFとの協議事項（役割分担・ドレスコード・会場・導線・記録・事務・プログラム）　as of 2026/9/24 v2_7</t>
        </is>
      </c>
    </row>
    <row r="2" ht="39.75" customHeight="1" s="123">
      <c r="A2" s="125" t="inlineStr">
        <is>
          <t>協議の場: 第5回合同会議（9/15、オンライン。Sylvia 6/18・内閣府8/31資料で確認）＋メール＋Zoom（9/4 荒木田）。5月の事前協議チェックリストで「未対応」のまま残る項目を再掲し、9/4所内打合せで出た論点を加えた。合意内容はGI改訂（Final Announcement 10/13前）と運営マニュアルに反映する。状態: 未協議／協議中／合意。</t>
        </is>
      </c>
    </row>
    <row r="3"/>
    <row r="4" ht="15" customHeight="1" s="123">
      <c r="A4" s="230" t="inlineStr">
        <is>
          <t>No.</t>
        </is>
      </c>
      <c r="B4" s="127" t="inlineStr">
        <is>
          <t>区分</t>
        </is>
      </c>
      <c r="C4" s="127" t="inlineStr">
        <is>
          <t>項目</t>
        </is>
      </c>
      <c r="D4" s="230" t="inlineStr">
        <is>
          <t>ADRC側の現状認識・案</t>
        </is>
      </c>
      <c r="E4" s="230" t="inlineStr">
        <is>
          <t>COSEM/SCDFに確認・合意したいこと</t>
        </is>
      </c>
      <c r="F4" s="127" t="inlineStr">
        <is>
          <t>根拠</t>
        </is>
      </c>
      <c r="G4" s="127" t="inlineStr">
        <is>
          <t>希望期限</t>
        </is>
      </c>
      <c r="H4" s="230" t="inlineStr">
        <is>
          <t>ADRC担当</t>
        </is>
      </c>
      <c r="I4" s="127" t="inlineStr">
        <is>
          <t>状態</t>
        </is>
      </c>
    </row>
    <row r="5" ht="78" customHeight="1" s="123">
      <c r="A5" s="231" t="inlineStr">
        <is>
          <t>A1</t>
        </is>
      </c>
      <c r="B5" s="232" t="inlineStr">
        <is>
          <t>役割分担</t>
        </is>
      </c>
      <c r="C5" s="231" t="inlineStr">
        <is>
          <t>28日朝の会場・NW最終テスト</t>
        </is>
      </c>
      <c r="D5" s="232" t="inlineStr">
        <is>
          <t>荒木田・池田が07:30から実施し、日本側（中村・山口）と接続確認。9/24メールで07:30入室の可否をSylvia氏に照会中。</t>
        </is>
      </c>
      <c r="E5" s="232" t="inlineStr">
        <is>
          <t>開始時刻（7:30か8:00）、COSEM/SCDF側の立会い者とAV操作者、演台・客席・事務局部屋での実測、衛星データ/ARデモの再生確認</t>
        </is>
      </c>
      <c r="F5" s="231" t="inlineStr">
        <is>
          <t>5月CL 1-IT（要確定）、9/4打合せ</t>
        </is>
      </c>
      <c r="G5" s="232" t="inlineStr">
        <is>
          <t>第5回合同会議（9/15）</t>
        </is>
      </c>
      <c r="H5" s="232" t="inlineStr">
        <is>
          <t>荒木田・池田</t>
        </is>
      </c>
      <c r="I5" s="233" t="inlineStr">
        <is>
          <t>協議中</t>
        </is>
      </c>
    </row>
    <row r="6" ht="78" customHeight="1" s="123">
      <c r="A6" s="234" t="inlineStr">
        <is>
          <t>A2</t>
        </is>
      </c>
      <c r="B6" s="235" t="inlineStr">
        <is>
          <t>役割分担</t>
        </is>
      </c>
      <c r="C6" s="234" t="inlineStr">
        <is>
          <t>Webinar／Zoom／AI通訳ツールの運用</t>
        </is>
      </c>
      <c r="D6" s="235" t="inlineStr">
        <is>
          <t>日本側: 中村（Zoomホスト・AI通訳設定・Q&amp;A確認）、山口（録画・オンライン質疑）。現地一次対応: 藤本。ホスト国側で進行・機材を担えるなら望ましい（9/4 荒木田）</t>
        </is>
      </c>
      <c r="E6" s="235" t="inlineStr">
        <is>
          <t>会場PCへの接続方法、スクリーン切替の担当、翻訳ツール（ポケトーク等）のURL/QRの掲示方法、WhatsApp参加者グループの共有、ハイブリッド配信の範囲（RT・TS・SC）</t>
        </is>
      </c>
      <c r="F6" s="234" t="inlineStr">
        <is>
          <t>5月CL 2「記録・メディア 未対応」「使用言語 未対応」、GI（AI翻訳ツール試行）、9/4打合せ</t>
        </is>
      </c>
      <c r="G6" s="235" t="inlineStr">
        <is>
          <t>第5回合同会議（9/15）</t>
        </is>
      </c>
      <c r="H6" s="235" t="inlineStr">
        <is>
          <t>荒木田・中村</t>
        </is>
      </c>
      <c r="I6" s="236" t="inlineStr">
        <is>
          <t>未協議</t>
        </is>
      </c>
    </row>
    <row r="7" ht="78" customHeight="1" s="123">
      <c r="A7" s="234" t="inlineStr">
        <is>
          <t>A3</t>
        </is>
      </c>
      <c r="B7" s="235" t="inlineStr">
        <is>
          <t>役割分担</t>
        </is>
      </c>
      <c r="C7" s="235" t="inlineStr">
        <is>
          <t>モデレーター体制</t>
        </is>
      </c>
      <c r="D7" s="234" t="inlineStr">
        <is>
          <t>TSモデレーター: LTC Chen Yong Kai, Deputy Commander, 3rd SCDF Division（Sylvia 9/17）。ADRC側Co-Chair（所内版=Mizan）。予備のLTC Adrianはプログラム・レセプションに含めない。</t>
        </is>
      </c>
      <c r="E7" s="234" t="inlineStr">
        <is>
          <t>9/29（代替9/30、10/8、10/9）のオンライン事前ブリーフィング日程（MizanがSylvia氏と設定）。RTのSCDFモデレーターは別途。</t>
        </is>
      </c>
      <c r="F7" s="234" t="inlineStr">
        <is>
          <t>Sylvia 9/17 WhatsApp、9/18週次</t>
        </is>
      </c>
      <c r="G7" s="234" t="inlineStr">
        <is>
          <t>9/19（登壇者確定）</t>
        </is>
      </c>
      <c r="H7" s="235" t="inlineStr">
        <is>
          <t>荒木田・Mizan・池田</t>
        </is>
      </c>
      <c r="I7" s="233" t="inlineStr">
        <is>
          <t>合意</t>
        </is>
      </c>
    </row>
    <row r="8" ht="78" customHeight="1" s="123">
      <c r="A8" s="234" t="inlineStr">
        <is>
          <t>A4</t>
        </is>
      </c>
      <c r="B8" s="235" t="inlineStr">
        <is>
          <t>役割分担</t>
        </is>
      </c>
      <c r="C8" s="235" t="inlineStr">
        <is>
          <t>受付・名札（QRセット）</t>
        </is>
      </c>
      <c r="D8" s="234" t="inlineStr">
        <is>
          <t>QR付き名札セットは27日の公邸レセプションで手渡し。会場受付は藤中・田中（＋藤本）。当日参加者への対応方針は未定。事前に詳細を渡せばCOSEMがADRC招待者のSIDEX登録を裏で行いパスを印刷（Sylvia 8/17 WhatsApp）</t>
        </is>
      </c>
      <c r="E8" s="235" t="inlineStr">
        <is>
          <t>会場受付のSCDF/ADRCスタッフ配置、QR読取機の台数・場所、公邸で受け取れなかった人への当日発行、当日飛び込み参加の扱い、会議セット（バッグ等）の配布場所</t>
        </is>
      </c>
      <c r="F8" s="234" t="inlineStr">
        <is>
          <t>5月CL 2「事前登録」「受付対応 未対応」「参加者サポート 未対応」</t>
        </is>
      </c>
      <c r="G8" s="235" t="inlineStr">
        <is>
          <t>第5回合同会議（9/15）</t>
        </is>
      </c>
      <c r="H8" s="235" t="inlineStr">
        <is>
          <t>田中・藤中</t>
        </is>
      </c>
      <c r="I8" s="236" t="inlineStr">
        <is>
          <t>未協議</t>
        </is>
      </c>
    </row>
    <row r="9" ht="78" customHeight="1" s="123">
      <c r="A9" s="234" t="inlineStr">
        <is>
          <t>A5</t>
        </is>
      </c>
      <c r="B9" s="235" t="inlineStr">
        <is>
          <t>役割分担</t>
        </is>
      </c>
      <c r="C9" s="235" t="inlineStr">
        <is>
          <t>事務局部屋（28-29日）</t>
        </is>
      </c>
      <c r="D9" s="234" t="inlineStr">
        <is>
          <t>28日朝にGerry・Mizan・塩見・森口が設営。29日終了後に児玉・藤中が撤収（27日と30日は部屋なし）。Tourmaline 207・Peridot 202-205はCOSEM負担で無償（Sylvia 8/25 WhatsApp）</t>
        </is>
      </c>
      <c r="E9" s="235" t="inlineStr">
        <is>
          <t>広さ・施錠・複合機・延長コード・水、28日朝の入室可能時刻、30日の荷物置き場</t>
        </is>
      </c>
      <c r="F9" s="234" t="inlineStr">
        <is>
          <t>5月CL 1「事務局部屋 詳細未対応」、9/4打合せ</t>
        </is>
      </c>
      <c r="G9" s="235" t="inlineStr">
        <is>
          <t>第5回合同会議（9/15）</t>
        </is>
      </c>
      <c r="H9" s="235" t="inlineStr">
        <is>
          <t>藤中</t>
        </is>
      </c>
      <c r="I9" s="236" t="inlineStr">
        <is>
          <t>未協議</t>
        </is>
      </c>
    </row>
    <row r="10" ht="78" customHeight="1" s="123">
      <c r="A10" s="234" t="inlineStr">
        <is>
          <t>A6</t>
        </is>
      </c>
      <c r="B10" s="235" t="inlineStr">
        <is>
          <t>役割分担</t>
        </is>
      </c>
      <c r="C10" s="235" t="inlineStr">
        <is>
          <t>参加者の引率（ホテル⇔EXPO）</t>
        </is>
      </c>
      <c r="D10" s="234" t="inlineStr">
        <is>
          <t>28日はSCDFが Dorsett→会場を引率。29・30日は引率なし（9/4 藤中）→ADRC側で誘導（田中・吉田・塩見）。パレード前はホテルで着替えてEXPOへ再移動。Field Trip後のEXPO帰着は17:00、パレードは18:00着席・GOH 18:30到着（Sylvia 8/26）→ホテルで着替える時間は約1時間</t>
        </is>
      </c>
      <c r="E10" s="234" t="inlineStr">
        <is>
          <t>29・30日朝のシャトル時刻とバス台数、Hotel Mi→EXPO朝バス、パレード前のホテル→EXPO便と出発時刻、Gala出発（17:30 Dorsett）の集合方法</t>
        </is>
      </c>
      <c r="F10" s="234" t="inlineStr">
        <is>
          <t>5月CL 3「導線」、9/4打合せ、Agenda 0805r</t>
        </is>
      </c>
      <c r="G10" s="235" t="inlineStr">
        <is>
          <t>第5回合同会議（9/15）</t>
        </is>
      </c>
      <c r="H10" s="235" t="inlineStr">
        <is>
          <t>田中</t>
        </is>
      </c>
      <c r="I10" s="233" t="inlineStr">
        <is>
          <t>協議中</t>
        </is>
      </c>
    </row>
    <row r="11" ht="78" customHeight="1" s="123">
      <c r="A11" s="234" t="inlineStr">
        <is>
          <t>A7</t>
        </is>
      </c>
      <c r="B11" s="235" t="inlineStr">
        <is>
          <t>役割分担</t>
        </is>
      </c>
      <c r="C11" s="234" t="inlineStr">
        <is>
          <t>Field Trip（CDA）の運行</t>
        </is>
      </c>
      <c r="D11" s="235" t="inlineStr">
        <is>
          <t>荒木田・吉田が引率、田中が名簿・点呼。最新版は13:00 EXPO発・16:15帰着（9/18 WhatsApp配布）。ADRC Web用アジェンダv2は13:00-16:15で整合。</t>
        </is>
      </c>
      <c r="E11" s="235" t="inlineStr">
        <is>
          <t>ヘルメット・ベスト貸出、服装要件（9/6〜未回答）、休憩・水分、渋滞時の対応、登壇者の同行可否（空きがあれば可・main guest list優先）</t>
        </is>
      </c>
      <c r="F11" s="234" t="inlineStr">
        <is>
          <t>WhatsApp 9/18、Sylvia 9/18</t>
        </is>
      </c>
      <c r="G11" s="235" t="inlineStr">
        <is>
          <t>第5回合同会議（9/15）</t>
        </is>
      </c>
      <c r="H11" s="235" t="inlineStr">
        <is>
          <t>荒木田・吉田</t>
        </is>
      </c>
      <c r="I11" s="236" t="inlineStr">
        <is>
          <t>協議中</t>
        </is>
      </c>
    </row>
    <row r="12" ht="78" customHeight="1" s="123">
      <c r="A12" s="234" t="inlineStr">
        <is>
          <t>A8</t>
        </is>
      </c>
      <c r="B12" s="235" t="inlineStr">
        <is>
          <t>役割分担</t>
        </is>
      </c>
      <c r="C12" s="235" t="inlineStr">
        <is>
          <t>写真・ビデオ・集合写真</t>
        </is>
      </c>
      <c r="D12" s="235" t="inlineStr">
        <is>
          <t>藤本が撮影主担当（承諾済み）。ハイライト動画は閉会時上映の想定。撮影ポイントは27日公邸レセプションとCDA視察（ひな壇型）で合意（WhatsApp 8/14）</t>
        </is>
      </c>
      <c r="E12" s="234" t="inlineStr">
        <is>
          <t>COSEM公式カメラマンの有無、集合写真の場所（Hall 3入口等）と時刻（Day1 Opening後）、素材の受渡しフロー、動画編集の場所</t>
        </is>
      </c>
      <c r="F12" s="234" t="inlineStr">
        <is>
          <t>5月CL 2「写真・ビデオ 未対応」「集合写真 未対応」</t>
        </is>
      </c>
      <c r="G12" s="235" t="inlineStr">
        <is>
          <t>第5回合同会議（9/15）</t>
        </is>
      </c>
      <c r="H12" s="235" t="inlineStr">
        <is>
          <t>藤本・Gerry</t>
        </is>
      </c>
      <c r="I12" s="236" t="inlineStr">
        <is>
          <t>未協議</t>
        </is>
      </c>
    </row>
    <row r="13" ht="78" customHeight="1" s="123">
      <c r="A13" s="234" t="inlineStr">
        <is>
          <t>A9</t>
        </is>
      </c>
      <c r="B13" s="235" t="inlineStr">
        <is>
          <t>役割分担</t>
        </is>
      </c>
      <c r="C13" s="235" t="inlineStr">
        <is>
          <t>バナー・バックドロップ・サイン</t>
        </is>
      </c>
      <c r="D13" s="235" t="inlineStr">
        <is>
          <t>物理バナーで確定（スクリーンはビデオ会議で使用）。COSEM/SCDFのデザイン案を9/24に受領し、ADRCは同案で可と回答。修正依頼2点: 上段ロゴ・国旗の上下中心線を揃え両国旗を同サイズに、正式名称「Asian Conference on Disaster Reduction 2026」を大きく。</t>
        </is>
      </c>
      <c r="E13" s="235" t="inlineStr">
        <is>
          <t>寸法（EXPO照会中）、修正版デザイン、高解像度ロゴ・国旗データの要否、設置位置（ステージ床かバックドロップか）</t>
        </is>
      </c>
      <c r="F13" s="234" t="inlineStr">
        <is>
          <t>WhatsApp 9/18〜9/24、荒木田→藤本 9/18</t>
        </is>
      </c>
      <c r="G13" s="234" t="inlineStr">
        <is>
          <t>9月末</t>
        </is>
      </c>
      <c r="H13" s="235" t="inlineStr">
        <is>
          <t>荒木田・藤本</t>
        </is>
      </c>
      <c r="I13" s="233" t="inlineStr">
        <is>
          <t>協議中</t>
        </is>
      </c>
    </row>
    <row r="14" ht="78" customHeight="1" s="123">
      <c r="A14" s="234" t="inlineStr">
        <is>
          <t>A10</t>
        </is>
      </c>
      <c r="B14" s="235" t="inlineStr">
        <is>
          <t>役割分担</t>
        </is>
      </c>
      <c r="C14" s="235" t="inlineStr">
        <is>
          <t>会場レイアウト（Peridot）</t>
        </is>
      </c>
      <c r="D14" s="235" t="inlineStr">
        <is>
          <t>Peridot 201-203で確定（28日終日＋29日午前）。EXPO縮尺図（動線2.60m/1.50m/1.30m）を9/22受領。ADRCは9/24メールで「U字28席（12+4+12、ホスト6＋メンバー国22）＋両サイド12席×2列＋教室型8席×4列＋シアター席」を提案し、EXPOの作図を依頼。</t>
        </is>
      </c>
      <c r="E14" s="234" t="inlineStr">
        <is>
          <t>EXPOによる再作図、スクリーン位置の図示、前方エリアのセッション別バリエーション（開会・RT・SC・TS・閉会）はADRCが作成</t>
        </is>
      </c>
      <c r="F14" s="234" t="inlineStr">
        <is>
          <t>Sylvia 9/18 WhatsApp・9/22メール、荒木田 9/24メール</t>
        </is>
      </c>
      <c r="G14" s="234" t="inlineStr">
        <is>
          <t>10/1 第6回合同会議</t>
        </is>
      </c>
      <c r="H14" s="235" t="inlineStr">
        <is>
          <t>荒木田・池田</t>
        </is>
      </c>
      <c r="I14" s="233" t="inlineStr">
        <is>
          <t>協議中</t>
        </is>
      </c>
    </row>
    <row r="15" ht="78" customHeight="1" s="123">
      <c r="A15" s="234" t="inlineStr">
        <is>
          <t>A11</t>
        </is>
      </c>
      <c r="B15" s="235" t="inlineStr">
        <is>
          <t>役割分担</t>
        </is>
      </c>
      <c r="C15" s="235" t="inlineStr">
        <is>
          <t>バイ会談スペース・VIP控室</t>
        </is>
      </c>
      <c r="D15" s="235" t="inlineStr">
        <is>
          <t>宮木・児玉が内閣府・COSEMとの調整を担当（張り付きはしない）</t>
        </is>
      </c>
      <c r="E15" s="235" t="inlineStr">
        <is>
          <t>小部屋・ブースの予約ルール、内閣府随行の控室、水の配置</t>
        </is>
      </c>
      <c r="F15" s="234" t="inlineStr">
        <is>
          <t>5月CL 1「バイ会談 未対応」「VIP控室 未対応」</t>
        </is>
      </c>
      <c r="G15" s="235" t="inlineStr">
        <is>
          <t>第5回合同会議（9/15）</t>
        </is>
      </c>
      <c r="H15" s="235" t="inlineStr">
        <is>
          <t>宮木・児玉</t>
        </is>
      </c>
      <c r="I15" s="236" t="inlineStr">
        <is>
          <t>未協議</t>
        </is>
      </c>
    </row>
    <row r="16" ht="78" customHeight="1" s="123">
      <c r="A16" s="234" t="inlineStr">
        <is>
          <t>A12</t>
        </is>
      </c>
      <c r="B16" s="235" t="inlineStr">
        <is>
          <t>役割分担</t>
        </is>
      </c>
      <c r="C16" s="235" t="inlineStr">
        <is>
          <t>アンケート</t>
        </is>
      </c>
      <c r="D16" s="234" t="inlineStr">
        <is>
          <t>Googleフォーム（QR）で実施。回答率向上のため閉会前に5分の回答時間を確保したい（9/4）</t>
        </is>
      </c>
      <c r="E16" s="234" t="inlineStr">
        <is>
          <t>ACDR Closing前のプログラムに回答時間を入れることの了承、QR掲示</t>
        </is>
      </c>
      <c r="F16" s="234" t="inlineStr">
        <is>
          <t>9/4 荒木田・藤本</t>
        </is>
      </c>
      <c r="G16" s="235" t="inlineStr">
        <is>
          <t>アジェンダ確定時</t>
        </is>
      </c>
      <c r="H16" s="235" t="inlineStr">
        <is>
          <t>藤本・荒木田</t>
        </is>
      </c>
      <c r="I16" s="236" t="inlineStr">
        <is>
          <t>未協議</t>
        </is>
      </c>
    </row>
    <row r="17" ht="78" customHeight="1" s="123">
      <c r="A17" s="231" t="inlineStr">
        <is>
          <t>B13</t>
        </is>
      </c>
      <c r="B17" s="232" t="inlineStr">
        <is>
          <t>ドレスコード</t>
        </is>
      </c>
      <c r="C17" s="231" t="inlineStr">
        <is>
          <t>SIDEX Gala Dinner（10/28 Orchard Hotel）</t>
        </is>
      </c>
      <c r="D17" s="232" t="inlineStr">
        <is>
          <t>前回シンガポール開催時はネクタイなしの指定があった（宮木）。通常ADRC会議では指定なし</t>
        </is>
      </c>
      <c r="E17" s="232" t="inlineStr">
        <is>
          <t>主催側のドレスコード（スマートカジュアル等）の明示。参加者への周知文をGI/リマインダーに入れる</t>
        </is>
      </c>
      <c r="F17" s="231" t="inlineStr">
        <is>
          <t>9/4打合せ（宮木・藤中）</t>
        </is>
      </c>
      <c r="G17" s="231" t="inlineStr">
        <is>
          <t>GI改訂（9月末）</t>
        </is>
      </c>
      <c r="H17" s="232" t="inlineStr">
        <is>
          <t>藤中</t>
        </is>
      </c>
      <c r="I17" s="236" t="inlineStr">
        <is>
          <t>未協議</t>
        </is>
      </c>
    </row>
    <row r="18" ht="78" customHeight="1" s="123">
      <c r="A18" s="234" t="inlineStr">
        <is>
          <t>B14</t>
        </is>
      </c>
      <c r="B18" s="235" t="inlineStr">
        <is>
          <t>ドレスコード</t>
        </is>
      </c>
      <c r="C18" s="234" t="inlineStr">
        <is>
          <t>SCDF Parade &amp; Dinner Reception（10/29）</t>
        </is>
      </c>
      <c r="D18" s="235" t="inlineStr">
        <is>
          <t>服装指定の言及あり（長袖等、詳細不明）。Field Trip後にホテルで着替える前提。Field Trip帰着17:00→18:00着席（Sylvia 8/26）のため着替え時間は約1時間</t>
        </is>
      </c>
      <c r="E18" s="235" t="inlineStr">
        <is>
          <t>正式なドレスコード、大臣到着前の着席要件、着替え時間を見込んだ移動計画</t>
        </is>
      </c>
      <c r="F18" s="234" t="inlineStr">
        <is>
          <t>9/4打合せ（児玉・藤中）</t>
        </is>
      </c>
      <c r="G18" s="234" t="inlineStr">
        <is>
          <t>GI改訂（9月末）</t>
        </is>
      </c>
      <c r="H18" s="235" t="inlineStr">
        <is>
          <t>藤中</t>
        </is>
      </c>
      <c r="I18" s="236" t="inlineStr">
        <is>
          <t>未協議</t>
        </is>
      </c>
    </row>
    <row r="19" ht="78" customHeight="1" s="123">
      <c r="A19" s="234" t="inlineStr">
        <is>
          <t>B15</t>
        </is>
      </c>
      <c r="B19" s="235" t="inlineStr">
        <is>
          <t>ドレスコード</t>
        </is>
      </c>
      <c r="C19" s="235" t="inlineStr">
        <is>
          <t>大使公邸レセプション（10/27）</t>
        </is>
      </c>
      <c r="D19" s="235" t="inlineStr">
        <is>
          <t>大使館側に確認（宮木依頼）。SJ60記念レセプション</t>
        </is>
      </c>
      <c r="E19" s="235" t="inlineStr">
        <is>
          <t>大使館としての服装指定の有無（ビジネス／スマートカジュアル）、招待状への記載</t>
        </is>
      </c>
      <c r="F19" s="234" t="inlineStr">
        <is>
          <t>9/4打合せ（宮木）</t>
        </is>
      </c>
      <c r="G19" s="235" t="inlineStr">
        <is>
          <t>招待状発送（10/13）前</t>
        </is>
      </c>
      <c r="H19" s="235" t="inlineStr">
        <is>
          <t>児玉</t>
        </is>
      </c>
      <c r="I19" s="236" t="inlineStr">
        <is>
          <t>未協議</t>
        </is>
      </c>
    </row>
    <row r="20" ht="78" customHeight="1" s="123">
      <c r="A20" s="234" t="inlineStr">
        <is>
          <t>B16</t>
        </is>
      </c>
      <c r="B20" s="235" t="inlineStr">
        <is>
          <t>ドレスコード</t>
        </is>
      </c>
      <c r="C20" s="234" t="inlineStr">
        <is>
          <t>Field Trip（10/29）</t>
        </is>
      </c>
      <c r="D20" s="235" t="inlineStr">
        <is>
          <t>歩きやすい靴で、と毎回GIに記載。汚れる行程はない</t>
        </is>
      </c>
      <c r="E20" s="234" t="inlineStr">
        <is>
          <t>CDA側の安全上の要件（長ズボン等）があれば明示</t>
        </is>
      </c>
      <c r="F20" s="234" t="inlineStr">
        <is>
          <t>5月CL 4、9/4</t>
        </is>
      </c>
      <c r="G20" s="234" t="inlineStr">
        <is>
          <t>GI改訂</t>
        </is>
      </c>
      <c r="H20" s="235" t="inlineStr">
        <is>
          <t>藤中</t>
        </is>
      </c>
      <c r="I20" s="236" t="inlineStr">
        <is>
          <t>未協議</t>
        </is>
      </c>
    </row>
    <row r="21" ht="78" customHeight="1" s="123">
      <c r="A21" s="234" t="inlineStr">
        <is>
          <t>B17</t>
        </is>
      </c>
      <c r="B21" s="235" t="inlineStr">
        <is>
          <t>ドレスコード</t>
        </is>
      </c>
      <c r="C21" s="235" t="inlineStr">
        <is>
          <t>会議（Opening／RT／TS／SIDEX）</t>
        </is>
      </c>
      <c r="D21" s="235" t="inlineStr">
        <is>
          <t>通常はスーツまたは民族衣装で、特段の指定はしていない。SIDEX展示入場はつま先の隠れる靴が必須（Sylvia 8/17 WhatsApp）→GIに明記</t>
        </is>
      </c>
      <c r="E21" s="234" t="inlineStr">
        <is>
          <t>SIDEX Opening（Senior Minister出席）に合わせた指定の要否</t>
        </is>
      </c>
      <c r="F21" s="234" t="inlineStr">
        <is>
          <t>9/4（藤中）</t>
        </is>
      </c>
      <c r="G21" s="234" t="inlineStr">
        <is>
          <t>GI改訂</t>
        </is>
      </c>
      <c r="H21" s="235" t="inlineStr">
        <is>
          <t>藤中</t>
        </is>
      </c>
      <c r="I21" s="236" t="inlineStr">
        <is>
          <t>未協議</t>
        </is>
      </c>
    </row>
    <row r="22" ht="78" customHeight="1" s="123">
      <c r="A22" s="231" t="inlineStr">
        <is>
          <t>C18</t>
        </is>
      </c>
      <c r="B22" s="232" t="inlineStr">
        <is>
          <t>会場・機材</t>
        </is>
      </c>
      <c r="C22" s="232" t="inlineStr">
        <is>
          <t>投影・接続・データ受渡し</t>
        </is>
      </c>
      <c r="D22" s="232" t="inlineStr">
        <is>
          <t>Peridot 203: 21,000lm 3-chip 2560×1600。201-202: 8,000lm 1920×1200。HDMI 1本で全面ミラー。切替はAVオペレータ。クリッカー1本無償。タイマーなし。</t>
        </is>
      </c>
      <c r="E22" s="232" t="inlineStr">
        <is>
          <t>スクリーン位置の図示のみ残る</t>
        </is>
      </c>
      <c r="F22" s="231" t="inlineStr">
        <is>
          <t>Sylvia 9/22メール</t>
        </is>
      </c>
      <c r="G22" s="232" t="inlineStr">
        <is>
          <t>第5回合同会議（9/15）</t>
        </is>
      </c>
      <c r="H22" s="232" t="inlineStr">
        <is>
          <t>池田・荒木田</t>
        </is>
      </c>
      <c r="I22" s="236" t="inlineStr">
        <is>
          <t>合意</t>
        </is>
      </c>
    </row>
    <row r="23" ht="78" customHeight="1" s="123">
      <c r="A23" s="234" t="inlineStr">
        <is>
          <t>C19</t>
        </is>
      </c>
      <c r="B23" s="235" t="inlineStr">
        <is>
          <t>会場・機材</t>
        </is>
      </c>
      <c r="C23" s="235" t="inlineStr">
        <is>
          <t>音響・マイク・電源・照明</t>
        </is>
      </c>
      <c r="D23" s="234" t="inlineStr">
        <is>
          <t>9/24メールで機材リストを提示: U字の卓上マイク2席に1本（14）＋前方最大8、スタンドマイク4、ハンドマイク2、演壇マイク（EXPO演壇はマイクなし）、外部カメラ、双方向音声、録画。会議用マイクで可。2列目テーブルにマイクなし。</t>
        </is>
      </c>
      <c r="E23" s="235" t="inlineStr">
        <is>
          <t>AV業者の見積、費用負担の区分（見積後に協議）、照明は室内パネル</t>
        </is>
      </c>
      <c r="F23" s="234" t="inlineStr">
        <is>
          <t>Sylvia 9/22、荒木田 9/24メール・WhatsApp</t>
        </is>
      </c>
      <c r="G23" s="235" t="inlineStr">
        <is>
          <t>10/1</t>
        </is>
      </c>
      <c r="H23" s="235" t="inlineStr">
        <is>
          <t>池田</t>
        </is>
      </c>
      <c r="I23" s="236" t="inlineStr">
        <is>
          <t>協議中</t>
        </is>
      </c>
    </row>
    <row r="24" ht="78" customHeight="1" s="123">
      <c r="A24" s="234" t="inlineStr">
        <is>
          <t>C20</t>
        </is>
      </c>
      <c r="B24" s="235" t="inlineStr">
        <is>
          <t>会場・機材</t>
        </is>
      </c>
      <c r="C24" s="235" t="inlineStr">
        <is>
          <t>通信</t>
        </is>
      </c>
      <c r="D24" s="234" t="inlineStr">
        <is>
          <t>無料Wi-Fiは最大10Mbps・ランディングページ付き。有線LANはEXPO価格S$1,000＋GST/回線。COSEMが他業者を探す。ADRCは有線1回線を希望（Zoom用）。</t>
        </is>
      </c>
      <c r="E24" s="234" t="inlineStr">
        <is>
          <t>安価なLAN回線の有無、Zoom用帯域が確保できない場合の通信会社への増速依頼</t>
        </is>
      </c>
      <c r="F24" s="234" t="inlineStr">
        <is>
          <t>Sylvia 9/22、荒木田 9/24</t>
        </is>
      </c>
      <c r="G24" s="235" t="inlineStr">
        <is>
          <t>第5回合同会議（9/15）</t>
        </is>
      </c>
      <c r="H24" s="235" t="inlineStr">
        <is>
          <t>荒木田</t>
        </is>
      </c>
      <c r="I24" s="236" t="inlineStr">
        <is>
          <t>協議中</t>
        </is>
      </c>
    </row>
    <row r="25" ht="78" customHeight="1" s="123">
      <c r="A25" s="234" t="inlineStr">
        <is>
          <t>C21</t>
        </is>
      </c>
      <c r="B25" s="235" t="inlineStr">
        <is>
          <t>会場・機材</t>
        </is>
      </c>
      <c r="C25" s="235" t="inlineStr">
        <is>
          <t>空調・給水</t>
        </is>
      </c>
      <c r="D25" s="235" t="inlineStr">
        <is>
          <t>未確認</t>
        </is>
      </c>
      <c r="E25" s="235" t="inlineStr">
        <is>
          <t>温度設定の柔軟性、ブランケット、会議中の水・コーヒー補充頻度、飲食可能エリア</t>
        </is>
      </c>
      <c r="F25" s="234" t="inlineStr">
        <is>
          <t>5月CL 1・3</t>
        </is>
      </c>
      <c r="G25" s="235" t="inlineStr">
        <is>
          <t>第5回合同会議（9/15）</t>
        </is>
      </c>
      <c r="H25" s="235" t="inlineStr">
        <is>
          <t>藤中</t>
        </is>
      </c>
      <c r="I25" s="236" t="inlineStr">
        <is>
          <t>未協議</t>
        </is>
      </c>
    </row>
    <row r="26" ht="78" customHeight="1" s="123">
      <c r="A26" s="231" t="inlineStr">
        <is>
          <t>D22</t>
        </is>
      </c>
      <c r="B26" s="232" t="inlineStr">
        <is>
          <t>導線</t>
        </is>
      </c>
      <c r="C26" s="232" t="inlineStr">
        <is>
          <t>空港送迎</t>
        </is>
      </c>
      <c r="D26" s="232" t="inlineStr">
        <is>
          <t>到着日1回の送迎バス（COSEM）。26日夕〜27日午前に到着集中、14時台着（バングラデシュ等）はタクシー送迎の想定</t>
        </is>
      </c>
      <c r="E26" s="232" t="inlineStr">
        <is>
          <t>待ち受け場所と情報デスク、送迎対象と回数、遅延時の連絡経路（WhatsApp）</t>
        </is>
      </c>
      <c r="F26" s="231" t="inlineStr">
        <is>
          <t>5月CL 3「導線」、9/4（藤中）</t>
        </is>
      </c>
      <c r="G26" s="232" t="inlineStr">
        <is>
          <t>フライト確定後（9月末）</t>
        </is>
      </c>
      <c r="H26" s="232" t="inlineStr">
        <is>
          <t>田中</t>
        </is>
      </c>
      <c r="I26" s="233" t="inlineStr">
        <is>
          <t>協議中</t>
        </is>
      </c>
    </row>
    <row r="27" ht="78" customHeight="1" s="123">
      <c r="A27" s="234" t="inlineStr">
        <is>
          <t>D23</t>
        </is>
      </c>
      <c r="B27" s="235" t="inlineStr">
        <is>
          <t>導線</t>
        </is>
      </c>
      <c r="C27" s="235" t="inlineStr">
        <is>
          <t>公邸レセプションの送迎（10/27）</t>
        </is>
      </c>
      <c r="D27" s="234" t="inlineStr">
        <is>
          <t>Dorsett→公邸の送迎バス（COSEM手配、5月）。従来は17:30〜18:30頃出発の想定だったが、8/26版アジェンダでレセプションが19:00-21:00となったため再確認が必要</t>
        </is>
      </c>
      <c r="E27" s="235" t="inlineStr">
        <is>
          <t>出発時刻・台数、Hotel Mi宿泊スタッフの移動、21:00終了後の撤収と帰路</t>
        </is>
      </c>
      <c r="F27" s="234" t="inlineStr">
        <is>
          <t>5月CL 3、月次ToDo 10月</t>
        </is>
      </c>
      <c r="G27" s="234" t="inlineStr">
        <is>
          <t>9月末</t>
        </is>
      </c>
      <c r="H27" s="235" t="inlineStr">
        <is>
          <t>児玉・田中</t>
        </is>
      </c>
      <c r="I27" s="233" t="inlineStr">
        <is>
          <t>協議中</t>
        </is>
      </c>
    </row>
    <row r="28" ht="78" customHeight="1" s="123">
      <c r="A28" s="234" t="inlineStr">
        <is>
          <t>D24</t>
        </is>
      </c>
      <c r="B28" s="235" t="inlineStr">
        <is>
          <t>導線</t>
        </is>
      </c>
      <c r="C28" s="235" t="inlineStr">
        <is>
          <t>バス乗降場・雨天対応</t>
        </is>
      </c>
      <c r="D28" s="235" t="inlineStr">
        <is>
          <t>大型バスは入口で乗降、待機スペースあり（5月）</t>
        </is>
      </c>
      <c r="E28" s="234" t="inlineStr">
        <is>
          <t>EXPO・CDAの正確な停車位置、雨天時の屋根</t>
        </is>
      </c>
      <c r="F28" s="234" t="inlineStr">
        <is>
          <t>5月CL 3「バス乗降場」</t>
        </is>
      </c>
      <c r="G28" s="235" t="inlineStr">
        <is>
          <t>第5回合同会議（9/15）</t>
        </is>
      </c>
      <c r="H28" s="235" t="inlineStr">
        <is>
          <t>田中</t>
        </is>
      </c>
      <c r="I28" s="236" t="inlineStr">
        <is>
          <t>未協議</t>
        </is>
      </c>
    </row>
    <row r="29" ht="78" customHeight="1" s="123">
      <c r="A29" s="234" t="inlineStr">
        <is>
          <t>D25</t>
        </is>
      </c>
      <c r="B29" s="235" t="inlineStr">
        <is>
          <t>ホスピタリティ</t>
        </is>
      </c>
      <c r="C29" s="235" t="inlineStr">
        <is>
          <t>ハラル・アレルギー・祈祷室</t>
        </is>
      </c>
      <c r="D29" s="235" t="inlineStr">
        <is>
          <t>参加者の食事希望は登録で収集（Halal多数）</t>
        </is>
      </c>
      <c r="E29" s="235" t="inlineStr">
        <is>
          <t>全メニューのハラル認証、アレルギー表示、Prayer Roomの場所・男女別・Wudu</t>
        </is>
      </c>
      <c r="F29" s="234" t="inlineStr">
        <is>
          <t>5月CL 3</t>
        </is>
      </c>
      <c r="G29" s="235" t="inlineStr">
        <is>
          <t>第5回合同会議（9/15）</t>
        </is>
      </c>
      <c r="H29" s="235" t="inlineStr">
        <is>
          <t>田中・藤中</t>
        </is>
      </c>
      <c r="I29" s="236" t="inlineStr">
        <is>
          <t>未協議</t>
        </is>
      </c>
    </row>
    <row r="30" ht="78" customHeight="1" s="123">
      <c r="A30" s="234" t="inlineStr">
        <is>
          <t>D26</t>
        </is>
      </c>
      <c r="B30" s="235" t="inlineStr">
        <is>
          <t>ホスピタリティ</t>
        </is>
      </c>
      <c r="C30" s="235" t="inlineStr">
        <is>
          <t>ホテル朝食・Dorsett客室</t>
        </is>
      </c>
      <c r="D30" s="234" t="inlineStr">
        <is>
          <t>Dorsett 180室夜を確保、9/28に10%リリース可。宮木・児玉は10/25 23:40着のため25日泊が必要（9/6確認）。所長の宿泊先（Dorsett/任意）は未定、児玉はHotel Mi追加</t>
        </is>
      </c>
      <c r="E30" s="235" t="inlineStr">
        <is>
          <t>朝食開始時刻・メニュー、早期チェックイン/レイトチェックアウトの扱い、追加客室の余地、リリース日程の確認（25日泊の宿泊先はADRC内部で決定し、部屋チャートで通知）</t>
        </is>
      </c>
      <c r="F30" s="235" t="inlineStr">
        <is>
          <t>藤中→Sylvia 8/28・9/1、9/4</t>
        </is>
      </c>
      <c r="G30" s="234" t="inlineStr">
        <is>
          <t>9/28（リリース期限）</t>
        </is>
      </c>
      <c r="H30" s="235" t="inlineStr">
        <is>
          <t>藤中</t>
        </is>
      </c>
      <c r="I30" s="233" t="inlineStr">
        <is>
          <t>協議中</t>
        </is>
      </c>
    </row>
    <row r="31" ht="78" customHeight="1" s="123">
      <c r="A31" s="231" t="inlineStr">
        <is>
          <t>E27</t>
        </is>
      </c>
      <c r="B31" s="232" t="inlineStr">
        <is>
          <t>記録・広報</t>
        </is>
      </c>
      <c r="C31" s="232" t="inlineStr">
        <is>
          <t>議事録・サマリー・ハイライト動画</t>
        </is>
      </c>
      <c r="D31" s="231" t="inlineStr">
        <is>
          <t>Draft SummaryはGerry・Mizan、記録補助は塩見。日本側で録画</t>
        </is>
      </c>
      <c r="E31" s="231" t="inlineStr">
        <is>
          <t>SCDF側の記録担当、閉会時のハイライト動画上映の可否と編集場所、報告書用素材の共有</t>
        </is>
      </c>
      <c r="F31" s="231" t="inlineStr">
        <is>
          <t>5月CL 2「記録・メディア 未対応」</t>
        </is>
      </c>
      <c r="G31" s="232" t="inlineStr">
        <is>
          <t>第5回合同会議（9/15）</t>
        </is>
      </c>
      <c r="H31" s="231" t="inlineStr">
        <is>
          <t>Gerry・荒木田</t>
        </is>
      </c>
      <c r="I31" s="236" t="inlineStr">
        <is>
          <t>未協議</t>
        </is>
      </c>
    </row>
    <row r="32" ht="78" customHeight="1" s="123">
      <c r="A32" s="234" t="inlineStr">
        <is>
          <t>E28</t>
        </is>
      </c>
      <c r="B32" s="235" t="inlineStr">
        <is>
          <t>記録・広報</t>
        </is>
      </c>
      <c r="C32" s="235" t="inlineStr">
        <is>
          <t>プレスリリース</t>
        </is>
      </c>
      <c r="D32" s="235" t="inlineStr">
        <is>
          <t>内閣府・県庁記者クラブへ管理部と宮木が投げ込み、神戸新聞記者へ荒木田が案内（9/4）</t>
        </is>
      </c>
      <c r="E32" s="234" t="inlineStr">
        <is>
          <t>SCDF/COSEM側の広報（共同通信・時事通信の検討あり）との整合、写真・ロゴの使用ルール</t>
        </is>
      </c>
      <c r="F32" s="234" t="inlineStr">
        <is>
          <t>5月CL 3「大使館ディナー 広報」、9/4</t>
        </is>
      </c>
      <c r="G32" s="234" t="inlineStr">
        <is>
          <t>10月上旬</t>
        </is>
      </c>
      <c r="H32" s="235" t="inlineStr">
        <is>
          <t>宮木・森口</t>
        </is>
      </c>
      <c r="I32" s="236" t="inlineStr">
        <is>
          <t>未協議</t>
        </is>
      </c>
    </row>
    <row r="33" ht="78" customHeight="1" s="123">
      <c r="A33" s="231" t="inlineStr">
        <is>
          <t>F29</t>
        </is>
      </c>
      <c r="B33" s="232" t="inlineStr">
        <is>
          <t>事務・契約</t>
        </is>
      </c>
      <c r="C33" s="232" t="inlineStr">
        <is>
          <t>支払方法・支払同意書</t>
        </is>
      </c>
      <c r="D33" s="232" t="inlineStr">
        <is>
          <t>事後銀行振込の可否、事前送金割合・通貨・時期、COSEMの同意書発行が未確認</t>
        </is>
      </c>
      <c r="E33" s="232" t="inlineStr">
        <is>
          <t>支払スケジュール、分割条件、キャンセルポリシーを含む同意書、ホテル・バス・ケータリングの精算方法</t>
        </is>
      </c>
      <c r="F33" s="231" t="inlineStr">
        <is>
          <t>5月CL 5（全項目未対応）</t>
        </is>
      </c>
      <c r="G33" s="231" t="inlineStr">
        <is>
          <t>9月中</t>
        </is>
      </c>
      <c r="H33" s="232" t="inlineStr">
        <is>
          <t>藤中</t>
        </is>
      </c>
      <c r="I33" s="236" t="inlineStr">
        <is>
          <t>未協議</t>
        </is>
      </c>
    </row>
    <row r="34" ht="78" customHeight="1" s="123">
      <c r="A34" s="234" t="inlineStr">
        <is>
          <t>F30</t>
        </is>
      </c>
      <c r="B34" s="235" t="inlineStr">
        <is>
          <t>事務・契約</t>
        </is>
      </c>
      <c r="C34" s="235" t="inlineStr">
        <is>
          <t>ビザ招聘状・申請案内</t>
        </is>
      </c>
      <c r="D34" s="234" t="inlineStr">
        <is>
          <t>ADRCがForm V39A（紹介状）を作成しCOSEMがCorppassで一括申請。Form 14Aは本人記入。申請は到着30日前から、発行3営業日。COSEMの手順にはLetter of undertaking（COSEM作成・本人署名）あり。対象: インド3（Officialなら不要）、パキスタン2、アゼルバイジャン同行者、アルメニア1。ウズベキスタン・タジキスタンはビザ要。</t>
        </is>
      </c>
      <c r="E34" s="234" t="inlineStr">
        <is>
          <t>Letter of undertakingの様式と提出時期、ウズベキスタン登壇者の申請時期</t>
        </is>
      </c>
      <c r="F34" s="234" t="inlineStr">
        <is>
          <t>JM3資料 p.29、田中 9/17-18、ICA</t>
        </is>
      </c>
      <c r="G34" s="234" t="inlineStr">
        <is>
          <t>9/26 申請開始</t>
        </is>
      </c>
      <c r="H34" s="235" t="inlineStr">
        <is>
          <t>田中・寺坂</t>
        </is>
      </c>
      <c r="I34" s="236" t="inlineStr">
        <is>
          <t>協議中</t>
        </is>
      </c>
    </row>
    <row r="35" ht="78" customHeight="1" s="123">
      <c r="A35" s="234" t="inlineStr">
        <is>
          <t>F31</t>
        </is>
      </c>
      <c r="B35" s="235" t="inlineStr">
        <is>
          <t>事務・契約</t>
        </is>
      </c>
      <c r="C35" s="235" t="inlineStr">
        <is>
          <t>ロジカード・緊急連絡先</t>
        </is>
      </c>
      <c r="D35" s="235" t="inlineStr">
        <is>
          <t>作成が必要（5月）</t>
        </is>
      </c>
      <c r="E35" s="235" t="inlineStr">
        <is>
          <t>病院・警察・大使館・事務局・COSEM担当者の連絡先、当日の緊急連絡網</t>
        </is>
      </c>
      <c r="F35" s="234" t="inlineStr">
        <is>
          <t>5月CL 2「緊急連絡先 未対応」</t>
        </is>
      </c>
      <c r="G35" s="234" t="inlineStr">
        <is>
          <t>10月上旬</t>
        </is>
      </c>
      <c r="H35" s="235" t="inlineStr">
        <is>
          <t>田中</t>
        </is>
      </c>
      <c r="I35" s="236" t="inlineStr">
        <is>
          <t>未協議</t>
        </is>
      </c>
    </row>
    <row r="36" ht="78" customHeight="1" s="123">
      <c r="A36" s="234" t="inlineStr">
        <is>
          <t>F32</t>
        </is>
      </c>
      <c r="B36" s="235" t="inlineStr">
        <is>
          <t>事務・契約</t>
        </is>
      </c>
      <c r="C36" s="235" t="inlineStr">
        <is>
          <t>内閣府のホテル</t>
        </is>
      </c>
      <c r="D36" s="234" t="inlineStr">
        <is>
          <t>COSEMから問い合わせ中で回答期限を確認する必要あり（9/4 児玉）。内閣府は林副大臣の出席が決定（児玉 8/28）、御手洗参事官は単独出席（9/1）</t>
        </is>
      </c>
      <c r="E36" s="235" t="inlineStr">
        <is>
          <t>内閣府（林統括官＋随行2名）の宿泊先と手配主体</t>
        </is>
      </c>
      <c r="F36" s="234" t="inlineStr">
        <is>
          <t>9/4打合せ</t>
        </is>
      </c>
      <c r="G36" s="234" t="inlineStr">
        <is>
          <t>9月中</t>
        </is>
      </c>
      <c r="H36" s="235" t="inlineStr">
        <is>
          <t>児玉</t>
        </is>
      </c>
      <c r="I36" s="233" t="inlineStr">
        <is>
          <t>協議中</t>
        </is>
      </c>
    </row>
    <row r="37" ht="78" customHeight="1" s="123">
      <c r="A37" s="234" t="inlineStr">
        <is>
          <t>F33</t>
        </is>
      </c>
      <c r="B37" s="235" t="inlineStr">
        <is>
          <t>事務・契約</t>
        </is>
      </c>
      <c r="C37" s="235" t="inlineStr">
        <is>
          <t>ADRC関係者13名分の無料会議パス</t>
        </is>
      </c>
      <c r="D37" s="234" t="inlineStr">
        <is>
          <t>ADRC WG 10名＋会長・ED・理事の13名分の無料パスはSCDF長官の承認待ち（Sylvia 7/29 WhatsApp）</t>
        </is>
      </c>
      <c r="E37" s="235" t="inlineStr">
        <is>
          <t>承認結果と、パス発行に必要な名簿の提出期限</t>
        </is>
      </c>
      <c r="F37" s="234" t="inlineStr">
        <is>
          <t>WhatsApp 7/29</t>
        </is>
      </c>
      <c r="G37" s="234" t="inlineStr">
        <is>
          <t>9月中</t>
        </is>
      </c>
      <c r="H37" s="235" t="inlineStr">
        <is>
          <t>田中・藤中</t>
        </is>
      </c>
      <c r="I37" s="233" t="inlineStr">
        <is>
          <t>協議中</t>
        </is>
      </c>
    </row>
    <row r="38" ht="78" customHeight="1" s="123">
      <c r="A38" s="234" t="inlineStr">
        <is>
          <t>G34</t>
        </is>
      </c>
      <c r="B38" s="235" t="inlineStr">
        <is>
          <t>プログラム</t>
        </is>
      </c>
      <c r="C38" s="235" t="inlineStr">
        <is>
          <t>Gala Dinner（10/28）での副大臣挨拶枠</t>
        </is>
      </c>
      <c r="D38" s="234" t="inlineStr">
        <is>
          <t>COSEM側で挨拶枠は設けられないとの回答（Leow氏 9/15）。内閣府へ9/15に児玉から通知済み。</t>
        </is>
      </c>
      <c r="E38" s="235" t="inlineStr">
        <is>
          <t>—</t>
        </is>
      </c>
      <c r="F38" s="234" t="inlineStr">
        <is>
          <t>Leow 9/15、児玉 9/15</t>
        </is>
      </c>
      <c r="G38" s="234" t="inlineStr">
        <is>
          <t>9/15前</t>
        </is>
      </c>
      <c r="H38" s="235" t="inlineStr">
        <is>
          <t>児玉</t>
        </is>
      </c>
      <c r="I38" s="233" t="inlineStr">
        <is>
          <t>合意</t>
        </is>
      </c>
    </row>
    <row r="39" ht="78" customHeight="1" s="123">
      <c r="A39" s="234" t="inlineStr">
        <is>
          <t>G35</t>
        </is>
      </c>
      <c r="B39" s="235" t="inlineStr">
        <is>
          <t>プログラム</t>
        </is>
      </c>
      <c r="C39" s="235" t="inlineStr">
        <is>
          <t>SJ60記念レセプション（10/27）のSCDF共催</t>
        </is>
      </c>
      <c r="D39" s="235" t="inlineStr">
        <is>
          <t>招待状は大使館から全参加者へ発出（個別formal invite不要）。シンガポール側はComr＋Alan Chow＋LTC Chen、COSEMはLeow氏・Sylvia氏ほか。名簿は1か月前（9/27頃）に提出。</t>
        </is>
      </c>
      <c r="E39" s="235" t="inlineStr">
        <is>
          <t>SIDEXスピーカーディナーとの重複者（Nishikawa氏、NZ Gawn氏、AUS NEMA、Comr）の扱い</t>
        </is>
      </c>
      <c r="F39" s="235" t="inlineStr">
        <is>
          <t>WhatsApp 9/17 児玉・田中</t>
        </is>
      </c>
      <c r="G39" s="234" t="inlineStr">
        <is>
          <t>9/27 名簿</t>
        </is>
      </c>
      <c r="H39" s="235" t="inlineStr">
        <is>
          <t>児玉</t>
        </is>
      </c>
      <c r="I39" s="233" t="inlineStr">
        <is>
          <t>協議中</t>
        </is>
      </c>
    </row>
    <row r="40" ht="78" customHeight="1" s="123">
      <c r="A40" s="234" t="inlineStr">
        <is>
          <t>G36</t>
        </is>
      </c>
      <c r="B40" s="235" t="inlineStr">
        <is>
          <t>プログラム</t>
        </is>
      </c>
      <c r="C40" s="235" t="inlineStr">
        <is>
          <t>MOU署名（内閣府⇔内務省）の日時・場所</t>
        </is>
      </c>
      <c r="D40" s="234" t="inlineStr">
        <is>
          <t>COSEM/SCDFはJoint Opening直後に本会場での実施を希望。内閣府の回答待ち（8/24・8/26時点）</t>
        </is>
      </c>
      <c r="E40" s="235" t="inlineStr">
        <is>
          <t>内閣府回答後の日時・場所の確定、表敬の重複回避</t>
        </is>
      </c>
      <c r="F40" s="234" t="inlineStr">
        <is>
          <t>WhatsApp 8/24・8/26</t>
        </is>
      </c>
      <c r="G40" s="234" t="inlineStr">
        <is>
          <t>9月中</t>
        </is>
      </c>
      <c r="H40" s="235" t="inlineStr">
        <is>
          <t>児玉</t>
        </is>
      </c>
      <c r="I40" s="233" t="inlineStr">
        <is>
          <t>協議中</t>
        </is>
      </c>
    </row>
    <row r="41" ht="78" customHeight="1" s="123">
      <c r="A41" s="234" t="inlineStr">
        <is>
          <t>G37</t>
        </is>
      </c>
      <c r="B41" s="235" t="inlineStr">
        <is>
          <t>プログラム</t>
        </is>
      </c>
      <c r="C41" s="235" t="inlineStr">
        <is>
          <t>日本パビリオン開会式の時間（GOHツアー内）</t>
        </is>
      </c>
      <c r="D41" s="234" t="inlineStr">
        <is>
          <t>GOHツアーは53分固定で日本ブースは5分のみ。延長は困難（Sylvia 8/24）。内閣府は2番目なら5分で可（8/31資料）</t>
        </is>
      </c>
      <c r="E41" s="235" t="inlineStr">
        <is>
          <t>内閣府の希望を踏まえた最終調整</t>
        </is>
      </c>
      <c r="F41" s="234" t="inlineStr">
        <is>
          <t>WhatsApp 8/24、内閣府8/31資料</t>
        </is>
      </c>
      <c r="G41" s="234" t="inlineStr">
        <is>
          <t>9月中</t>
        </is>
      </c>
      <c r="H41" s="235" t="inlineStr">
        <is>
          <t>児玉</t>
        </is>
      </c>
      <c r="I41" s="233" t="inlineStr">
        <is>
          <t>協議中</t>
        </is>
      </c>
    </row>
    <row r="42" ht="78" customHeight="1" s="123">
      <c r="A42" s="234" t="inlineStr">
        <is>
          <t>G38</t>
        </is>
      </c>
      <c r="B42" s="235" t="inlineStr">
        <is>
          <t>記録</t>
        </is>
      </c>
      <c r="C42" s="235" t="inlineStr">
        <is>
          <t>第4回合同会議（8/25）の議事録</t>
        </is>
      </c>
      <c r="D42" s="235" t="inlineStr">
        <is>
          <t>未受領（Gmail 9/6時点）</t>
        </is>
      </c>
      <c r="E42" s="235" t="inlineStr">
        <is>
          <t>NOM 4/2026の送付依頼</t>
        </is>
      </c>
      <c r="F42" s="234" t="inlineStr">
        <is>
          <t>Gmail検索 9/6</t>
        </is>
      </c>
      <c r="G42" s="234" t="inlineStr">
        <is>
          <t>9/15前</t>
        </is>
      </c>
      <c r="H42" s="235" t="inlineStr">
        <is>
          <t>荒木田</t>
        </is>
      </c>
      <c r="I42" s="233" t="inlineStr">
        <is>
          <t>未協議</t>
        </is>
      </c>
    </row>
    <row r="43" ht="78" customHeight="1" s="123">
      <c r="A43" s="234" t="inlineStr">
        <is>
          <t>H39</t>
        </is>
      </c>
      <c r="B43" s="235" t="inlineStr">
        <is>
          <t>プログラム</t>
        </is>
      </c>
      <c r="C43" s="235" t="inlineStr">
        <is>
          <t>Day 1 の前倒し（Sylvia氏要望 9/18）</t>
        </is>
      </c>
      <c r="D43" s="235" t="inlineStr">
        <is>
          <t>ガラディナー前にホテルへ戻る時間を作りたいとの要望。RT・SCは短縮不可とWhatsAppで回答済み。前倒しの可否は日本パビリオン開会式（GOHツアー内）の所要時間次第。</t>
        </is>
      </c>
      <c r="E43" s="235" t="inlineStr">
        <is>
          <t>昼食の短縮（11:45-12:30、COSEM側手配）で開会12:30・RT12:45-15:15・SC15:30-16:30とする案の可否。内閣府の希望時間を9/25連絡会で確認後に正式回答（田中経由）</t>
        </is>
      </c>
      <c r="F43" s="234" t="inlineStr">
        <is>
          <t>WhatsApp 9/18、田中 9/18メール</t>
        </is>
      </c>
      <c r="G43" s="234" t="inlineStr">
        <is>
          <t>10/1 第6回合同会議</t>
        </is>
      </c>
      <c r="H43" s="235" t="inlineStr">
        <is>
          <t>荒木田→田中</t>
        </is>
      </c>
      <c r="I43" s="233" t="inlineStr">
        <is>
          <t>協議中</t>
        </is>
      </c>
    </row>
    <row r="44" ht="78" customHeight="1" s="123">
      <c r="A44" s="234" t="inlineStr">
        <is>
          <t>H40</t>
        </is>
      </c>
      <c r="B44" s="235" t="inlineStr">
        <is>
          <t>会場・機材</t>
        </is>
      </c>
      <c r="C44" s="235" t="inlineStr">
        <is>
          <t>名札とマイクの範囲</t>
        </is>
      </c>
      <c r="D44" s="235" t="inlineStr">
        <is>
          <t>U字28席は全席名札＋2席に1本のマイク。サイド列・教室型は机あり・卓上マイクなし。名札はリソースパーソン、アドバイザー国、オブザーバー、国際機関（AHAセンター等）に付け、その他一般参加者は自由席。シアター席は椅子のみ。</t>
        </is>
      </c>
      <c r="E44" s="235" t="inlineStr">
        <is>
          <t>席割リスト（名札用）の提出時期と様式</t>
        </is>
      </c>
      <c r="F44" s="234" t="inlineStr">
        <is>
          <t>WhatsApp 9/24（荒木田→Sylvia）</t>
        </is>
      </c>
      <c r="G44" s="234" t="inlineStr">
        <is>
          <t>10月上旬</t>
        </is>
      </c>
      <c r="H44" s="235" t="inlineStr">
        <is>
          <t>荒木田・田中</t>
        </is>
      </c>
      <c r="I44" s="233" t="inlineStr">
        <is>
          <t>協議中</t>
        </is>
      </c>
    </row>
    <row r="45" ht="78" customHeight="1" s="123">
      <c r="A45" s="234" t="inlineStr">
        <is>
          <t>H41</t>
        </is>
      </c>
      <c r="B45" s="235" t="inlineStr">
        <is>
          <t>事務・契約</t>
        </is>
      </c>
      <c r="C45" s="235" t="inlineStr">
        <is>
          <t>AV費用の負担区分</t>
        </is>
      </c>
      <c r="D45" s="235" t="inlineStr">
        <is>
          <t>見積を見てから協議（Sylvia 9/22）。ADRC側は負担上限を内々に決めておく。Webcamは持参で節約可。LAN S$1,000＋GST。</t>
        </is>
      </c>
      <c r="E45" s="235" t="inlineStr">
        <is>
          <t>見積の受領、折半か項目別かの方式</t>
        </is>
      </c>
      <c r="F45" s="234" t="inlineStr">
        <is>
          <t>Sylvia 9/22</t>
        </is>
      </c>
      <c r="G45" s="234" t="inlineStr">
        <is>
          <t>10/1</t>
        </is>
      </c>
      <c r="H45" s="235" t="inlineStr">
        <is>
          <t>児玉・藤中</t>
        </is>
      </c>
      <c r="I45" s="233" t="inlineStr">
        <is>
          <t>協議中</t>
        </is>
      </c>
    </row>
    <row r="46" ht="78" customHeight="1" s="123">
      <c r="A46" s="234" t="inlineStr">
        <is>
          <t>H42</t>
        </is>
      </c>
      <c r="B46" s="235" t="inlineStr">
        <is>
          <t>事務・契約</t>
        </is>
      </c>
      <c r="C46" s="235" t="inlineStr">
        <is>
          <t>リソースパーソン招待状のシンガポール側署名者</t>
        </is>
      </c>
      <c r="D46" s="235" t="inlineStr">
        <is>
          <t>招待状v2はADRC（三浦会長）とシンガポール側の双方署名。池田はSG側署名完了後に各登壇者へ発送（9/24）。SG側の署名者は未確認。</t>
        </is>
      </c>
      <c r="E46" s="235" t="inlineStr">
        <is>
          <t>SCDF/COSEMのどちらが誰の名で署名するか、署名の手順（電子か原本か）</t>
        </is>
      </c>
      <c r="F46" s="234" t="inlineStr">
        <is>
          <t>池田 9/24メール、荒木田 9/24</t>
        </is>
      </c>
      <c r="G46" s="234" t="inlineStr">
        <is>
          <t>9/30</t>
        </is>
      </c>
      <c r="H46" s="235" t="inlineStr">
        <is>
          <t>荒木田→Sylvia</t>
        </is>
      </c>
      <c r="I46" s="233" t="inlineStr">
        <is>
          <t>未協議</t>
        </is>
      </c>
    </row>
    <row r="47" ht="78" customHeight="1" s="123">
      <c r="A47" s="234" t="inlineStr">
        <is>
          <t>H43</t>
        </is>
      </c>
      <c r="B47" s="235" t="inlineStr">
        <is>
          <t>記録</t>
        </is>
      </c>
      <c r="C47" s="235" t="inlineStr">
        <is>
          <t>第6回合同会議（10/1 15:00）の議題</t>
        </is>
      </c>
      <c r="D47" s="235" t="inlineStr">
        <is>
          <t>ADRC側から: 座席案（U28）の確認、AV見積と費用分担、Day 1前倒し、バナー修正版、07:30入室、ビザ申請状況、レセプション名簿</t>
        </is>
      </c>
      <c r="E47" s="235" t="inlineStr">
        <is>
          <t>議題の事前共有</t>
        </is>
      </c>
      <c r="F47" s="234" t="inlineStr">
        <is>
          <t>本表</t>
        </is>
      </c>
      <c r="G47" s="234" t="inlineStr">
        <is>
          <t>9/29</t>
        </is>
      </c>
      <c r="H47" s="235" t="inlineStr">
        <is>
          <t>荒木田・児玉</t>
        </is>
      </c>
      <c r="I47" s="233" t="inlineStr">
        <is>
          <t>未協議</t>
        </is>
      </c>
    </row>
    <row r="48"/>
    <row r="49" ht="15" customHeight="1" s="123">
      <c r="B49" s="237" t="inlineStr">
        <is>
          <t>凡例</t>
        </is>
      </c>
    </row>
    <row r="50" ht="15" customHeight="1" s="123">
      <c r="B50" s="142" t="n"/>
      <c r="C50" s="238" t="inlineStr">
        <is>
          <t>未協議（COSEM/SCDFにまだ提示していない）</t>
        </is>
      </c>
    </row>
    <row r="51" ht="15" customHeight="1" s="123">
      <c r="B51" s="141" t="n"/>
      <c r="C51" s="238" t="inlineStr">
        <is>
          <t>協議中（提示済み・回答待ち）</t>
        </is>
      </c>
    </row>
    <row r="52" ht="15" customHeight="1" s="123">
      <c r="B52" s="139" t="n"/>
      <c r="C52" s="238" t="inlineStr">
        <is>
          <t>合意</t>
        </is>
      </c>
    </row>
    <row r="53"/>
    <row r="54">
      <c r="B54" s="237" t="inlineStr">
        <is>
          <t>集計</t>
        </is>
      </c>
    </row>
    <row r="55">
      <c r="B55" s="238" t="inlineStr">
        <is>
          <t>未協議</t>
        </is>
      </c>
      <c r="C55" s="239">
        <f>COUNTIF(I5:I47,"未協議")</f>
        <v/>
      </c>
    </row>
    <row r="56">
      <c r="B56" s="238" t="inlineStr">
        <is>
          <t>協議中</t>
        </is>
      </c>
      <c r="C56" s="239">
        <f>COUNTIF(I5:I47,"協議中")</f>
        <v/>
      </c>
    </row>
    <row r="57">
      <c r="B57" s="238" t="inlineStr">
        <is>
          <t>合意</t>
        </is>
      </c>
      <c r="C57" s="239">
        <f>COUNTIF(I5:I47,"合意")</f>
        <v/>
      </c>
    </row>
  </sheetData>
  <mergeCells count="1"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6" activeCellId="0" sqref="E26"/>
    </sheetView>
  </sheetViews>
  <sheetFormatPr baseColWidth="8" defaultColWidth="8.55859375" defaultRowHeight="14.25" zeroHeight="0" outlineLevelRow="0"/>
  <cols>
    <col width="22" customWidth="1" style="122" min="1" max="1"/>
    <col width="30" customWidth="1" style="122" min="2" max="2"/>
    <col width="10" customWidth="1" style="122" min="3" max="6"/>
    <col width="18" customWidth="1" style="122" min="7" max="7"/>
    <col width="14" customWidth="1" style="122" min="8" max="8"/>
    <col width="10" customWidth="1" style="122" min="9" max="9"/>
    <col width="30" customWidth="1" style="122" min="10" max="10"/>
  </cols>
  <sheetData>
    <row r="1" ht="15" customHeight="1" s="123">
      <c r="A1" s="222" t="inlineStr">
        <is>
          <t>メンバー国等 到着・出発予定（ホテル部屋数検討用リスト_tt.xlsx Dorsettシート, as of 2026/8/25-28）</t>
        </is>
      </c>
    </row>
    <row r="2" ht="14.25" customHeight="1" s="123">
      <c r="A2" s="137" t="inlineStr">
        <is>
          <t>※TBDは招待済みで人選未定。DS=Dorsett自己負担。到着時刻はCOSEM送迎・Dorsett受付配置の検討用。</t>
        </is>
      </c>
    </row>
    <row r="3" ht="63.75" customHeight="1" s="123">
      <c r="A3" s="199" t="inlineStr">
        <is>
          <t>【9/4打合せ時点の登録状況】メンバー国15か国（日本・シンガポール除く。含めると17か国でSC定足数を確保）、現地登録42名、オンライン3名。新規: バングラデシュ、パキスタン2名、PNG2名、フィジー3名、カンボジア3名、韓国3名予定（登録未）、NZ（アドバイザー）3名。ウズベキスタン2名（リソース1＋メンバー1）は回答待ち。インドネシア環境省の扱い（メンバー国か）は要確認。フィリピン・タイ・ブルネイの追加で約20か国の見込み。到着は26日と27日午前に集中させる方針だが、14時台着（バングラデシュ等）はタクシー送迎の想定。　【9/24更新】9/17以降の登録: ブルネイ1名（9/20）、韓国3名（9/21）、COSEM Fabian Tan氏（9/24）、一般オンライン1名。タイはDDPMがPrasong Thammapala氏を指名予定（9/22、ADRCは1名分負担と回答）。タジキスタン・ウズベキスタンは9/24にWhatsAppで再リマインド（両国ともビザ要）。</t>
        </is>
      </c>
    </row>
    <row r="4" ht="14.25" customHeight="1" s="123">
      <c r="A4" s="127" t="inlineStr">
        <is>
          <t>国・組織</t>
        </is>
      </c>
      <c r="B4" s="127" t="inlineStr">
        <is>
          <t>氏名</t>
        </is>
      </c>
      <c r="C4" s="127" t="inlineStr">
        <is>
          <t>到着日</t>
        </is>
      </c>
      <c r="D4" s="127" t="inlineStr">
        <is>
          <t>到着時刻</t>
        </is>
      </c>
      <c r="E4" s="127" t="inlineStr">
        <is>
          <t>出発日</t>
        </is>
      </c>
      <c r="F4" s="127" t="inlineStr">
        <is>
          <t>出発時刻</t>
        </is>
      </c>
      <c r="G4" s="127" t="inlineStr">
        <is>
          <t>便名(到着/出発)</t>
        </is>
      </c>
      <c r="H4" s="127" t="inlineStr">
        <is>
          <t>宿泊</t>
        </is>
      </c>
      <c r="I4" s="126" t="inlineStr">
        <is>
          <t>Field Trip</t>
        </is>
      </c>
      <c r="J4" s="127" t="inlineStr">
        <is>
          <t>備考</t>
        </is>
      </c>
    </row>
    <row r="5" ht="26.25" customHeight="1" s="123">
      <c r="A5" s="240" t="inlineStr">
        <is>
          <t>モルディブ</t>
        </is>
      </c>
      <c r="B5" s="241" t="inlineStr">
        <is>
          <t>Hassan Hisan (Chief Executive, NDMA)</t>
        </is>
      </c>
      <c r="C5" s="241" t="inlineStr">
        <is>
          <t>10/27</t>
        </is>
      </c>
      <c r="D5" s="241" t="inlineStr">
        <is>
          <t>07:15</t>
        </is>
      </c>
      <c r="E5" s="241" t="inlineStr">
        <is>
          <t>10/31</t>
        </is>
      </c>
      <c r="F5" s="241" t="inlineStr">
        <is>
          <t>10:25</t>
        </is>
      </c>
      <c r="G5" s="241" t="inlineStr">
        <is>
          <t>―</t>
        </is>
      </c>
      <c r="H5" s="241" t="inlineStr">
        <is>
          <t>D</t>
        </is>
      </c>
      <c r="I5" s="241" t="inlineStr">
        <is>
          <t>Yes</t>
        </is>
      </c>
      <c r="J5" s="241" t="inlineStr">
        <is>
          <t>Halal</t>
        </is>
      </c>
    </row>
    <row r="6" ht="14.25" customHeight="1" s="123">
      <c r="A6" s="240" t="inlineStr">
        <is>
          <t>アルメニア</t>
        </is>
      </c>
      <c r="B6" s="241" t="inlineStr">
        <is>
          <t>Syuzanna Vardazari Kakoyan</t>
        </is>
      </c>
      <c r="C6" s="241" t="inlineStr">
        <is>
          <t>10/27</t>
        </is>
      </c>
      <c r="D6" s="241" t="inlineStr">
        <is>
          <t>08:45</t>
        </is>
      </c>
      <c r="E6" s="241" t="inlineStr">
        <is>
          <t>11/1</t>
        </is>
      </c>
      <c r="F6" s="241" t="inlineStr">
        <is>
          <t>―</t>
        </is>
      </c>
      <c r="G6" s="241" t="inlineStr">
        <is>
          <t>TK208/TK209</t>
        </is>
      </c>
      <c r="H6" s="241" t="inlineStr">
        <is>
          <t>D(+10/31 DS)</t>
        </is>
      </c>
      <c r="I6" s="241" t="inlineStr">
        <is>
          <t>Yes</t>
        </is>
      </c>
      <c r="J6" s="240" t="inlineStr">
        <is>
          <t>本人希望で1泊延長</t>
        </is>
      </c>
    </row>
    <row r="7" ht="14.25" customHeight="1" s="123">
      <c r="A7" s="240" t="inlineStr">
        <is>
          <t>アゼルバイジャン</t>
        </is>
      </c>
      <c r="B7" s="241" t="inlineStr">
        <is>
          <t>Zamanov Niyazi</t>
        </is>
      </c>
      <c r="C7" s="241" t="inlineStr">
        <is>
          <t>10/26</t>
        </is>
      </c>
      <c r="D7" s="241" t="inlineStr">
        <is>
          <t>17:40</t>
        </is>
      </c>
      <c r="E7" s="241" t="inlineStr">
        <is>
          <t>10/30</t>
        </is>
      </c>
      <c r="F7" s="241" t="inlineStr">
        <is>
          <t>23:15</t>
        </is>
      </c>
      <c r="G7" s="241" t="inlineStr">
        <is>
          <t>TK335/TK54</t>
        </is>
      </c>
      <c r="H7" s="241" t="inlineStr">
        <is>
          <t>D</t>
        </is>
      </c>
      <c r="I7" s="241" t="inlineStr">
        <is>
          <t>Yes</t>
        </is>
      </c>
      <c r="J7" s="241" t="inlineStr">
        <is>
          <t>Halal</t>
        </is>
      </c>
    </row>
    <row r="8" ht="14.25" customHeight="1" s="123">
      <c r="A8" s="240" t="inlineStr">
        <is>
          <t>アゼルバイジャン</t>
        </is>
      </c>
      <c r="B8" s="241" t="inlineStr">
        <is>
          <t>Rustamzade Kamran</t>
        </is>
      </c>
      <c r="C8" s="241" t="inlineStr">
        <is>
          <t>10/26</t>
        </is>
      </c>
      <c r="D8" s="241" t="inlineStr">
        <is>
          <t>17:40</t>
        </is>
      </c>
      <c r="E8" s="241" t="inlineStr">
        <is>
          <t>10/30</t>
        </is>
      </c>
      <c r="F8" s="241" t="inlineStr">
        <is>
          <t>23:15</t>
        </is>
      </c>
      <c r="G8" s="241" t="inlineStr">
        <is>
          <t>TK335/TK54</t>
        </is>
      </c>
      <c r="H8" s="241" t="inlineStr">
        <is>
          <t>DS</t>
        </is>
      </c>
      <c r="I8" s="241" t="inlineStr">
        <is>
          <t>Yes</t>
        </is>
      </c>
      <c r="J8" s="241" t="inlineStr">
        <is>
          <t>Halal</t>
        </is>
      </c>
    </row>
    <row r="9" ht="26.25" customHeight="1" s="123">
      <c r="A9" s="240" t="inlineStr">
        <is>
          <t>トルコ</t>
        </is>
      </c>
      <c r="B9" s="241" t="inlineStr">
        <is>
          <t>Pehlivan Ali Hamza (Governor/Head of AFAD)</t>
        </is>
      </c>
      <c r="C9" s="241" t="inlineStr">
        <is>
          <t>10/27</t>
        </is>
      </c>
      <c r="D9" s="241" t="inlineStr">
        <is>
          <t>08:45</t>
        </is>
      </c>
      <c r="E9" s="241" t="inlineStr">
        <is>
          <t>10/31</t>
        </is>
      </c>
      <c r="F9" s="241" t="inlineStr">
        <is>
          <t>10:25</t>
        </is>
      </c>
      <c r="G9" s="241" t="inlineStr">
        <is>
          <t>―/TK209</t>
        </is>
      </c>
      <c r="H9" s="241" t="inlineStr">
        <is>
          <t>D</t>
        </is>
      </c>
      <c r="I9" s="241" t="inlineStr">
        <is>
          <t>Yes</t>
        </is>
      </c>
      <c r="J9" s="241" t="inlineStr">
        <is>
          <t>Halal</t>
        </is>
      </c>
    </row>
    <row r="10" ht="14.25" customHeight="1" s="123">
      <c r="A10" s="240" t="inlineStr">
        <is>
          <t>トルコ</t>
        </is>
      </c>
      <c r="B10" s="241" t="inlineStr">
        <is>
          <t>Yaman Muhammet Maruf</t>
        </is>
      </c>
      <c r="C10" s="241" t="inlineStr">
        <is>
          <t>10/27</t>
        </is>
      </c>
      <c r="D10" s="241" t="inlineStr">
        <is>
          <t>08:45</t>
        </is>
      </c>
      <c r="E10" s="241" t="inlineStr">
        <is>
          <t>10/31</t>
        </is>
      </c>
      <c r="F10" s="241" t="inlineStr">
        <is>
          <t>10:25</t>
        </is>
      </c>
      <c r="G10" s="241" t="inlineStr">
        <is>
          <t>―/TK209</t>
        </is>
      </c>
      <c r="H10" s="241" t="inlineStr">
        <is>
          <t>DS</t>
        </is>
      </c>
      <c r="I10" s="241" t="inlineStr">
        <is>
          <t>Yes</t>
        </is>
      </c>
      <c r="J10" s="241" t="inlineStr">
        <is>
          <t>Halal</t>
        </is>
      </c>
    </row>
    <row r="11" ht="26.25" customHeight="1" s="123">
      <c r="A11" s="240" t="inlineStr">
        <is>
          <t>モンゴル</t>
        </is>
      </c>
      <c r="B11" s="241" t="inlineStr">
        <is>
          <t>Nyambayar Tsedev (Director, NEMA)</t>
        </is>
      </c>
      <c r="C11" s="241" t="inlineStr">
        <is>
          <t>10/26</t>
        </is>
      </c>
      <c r="D11" s="241" t="inlineStr">
        <is>
          <t>21:55</t>
        </is>
      </c>
      <c r="E11" s="241" t="inlineStr">
        <is>
          <t>10/30</t>
        </is>
      </c>
      <c r="F11" s="241" t="inlineStr">
        <is>
          <t>23:55</t>
        </is>
      </c>
      <c r="G11" s="241" t="inlineStr">
        <is>
          <t>CA969/CA970</t>
        </is>
      </c>
      <c r="H11" s="241" t="inlineStr">
        <is>
          <t>D</t>
        </is>
      </c>
      <c r="I11" s="241" t="inlineStr">
        <is>
          <t>Yes</t>
        </is>
      </c>
      <c r="J11" s="240" t="inlineStr">
        <is>
          <t>中国国際航空(北京経由)</t>
        </is>
      </c>
    </row>
    <row r="12" ht="26.25" customHeight="1" s="123">
      <c r="A12" s="240" t="inlineStr">
        <is>
          <t>フィジー</t>
        </is>
      </c>
      <c r="B12" s="241" t="inlineStr">
        <is>
          <t>Naipolioni Dabea Boseiwaqa (Director, NDRMO)</t>
        </is>
      </c>
      <c r="C12" s="241" t="inlineStr">
        <is>
          <t>10/26</t>
        </is>
      </c>
      <c r="D12" s="241" t="inlineStr">
        <is>
          <t>21:35</t>
        </is>
      </c>
      <c r="E12" s="241" t="inlineStr">
        <is>
          <t>10/31</t>
        </is>
      </c>
      <c r="F12" s="241" t="inlineStr">
        <is>
          <t>13:40</t>
        </is>
      </c>
      <c r="G12" s="241" t="inlineStr">
        <is>
          <t>―</t>
        </is>
      </c>
      <c r="H12" s="241" t="inlineStr">
        <is>
          <t>D</t>
        </is>
      </c>
      <c r="I12" s="241" t="inlineStr">
        <is>
          <t>No</t>
        </is>
      </c>
      <c r="J12" s="240" t="n"/>
    </row>
    <row r="13" ht="26.25" customHeight="1" s="123">
      <c r="A13" s="240" t="inlineStr">
        <is>
          <t>スリランカ</t>
        </is>
      </c>
      <c r="B13" s="241" t="inlineStr">
        <is>
          <t>Maj.Gen.(Retd.) Kotuwegoda (DG, DMC)</t>
        </is>
      </c>
      <c r="C13" s="241" t="inlineStr">
        <is>
          <t>10/27</t>
        </is>
      </c>
      <c r="D13" s="241" t="inlineStr">
        <is>
          <t>08:10</t>
        </is>
      </c>
      <c r="E13" s="241" t="inlineStr">
        <is>
          <t>10/31</t>
        </is>
      </c>
      <c r="F13" s="241" t="inlineStr">
        <is>
          <t>09:40</t>
        </is>
      </c>
      <c r="G13" s="241" t="inlineStr">
        <is>
          <t>―</t>
        </is>
      </c>
      <c r="H13" s="241" t="inlineStr">
        <is>
          <t>D</t>
        </is>
      </c>
      <c r="I13" s="241" t="inlineStr">
        <is>
          <t>No</t>
        </is>
      </c>
      <c r="J13" s="240" t="n"/>
    </row>
    <row r="14" ht="14.25" customHeight="1" s="123">
      <c r="A14" s="240" t="inlineStr">
        <is>
          <t>マレーシア</t>
        </is>
      </c>
      <c r="B14" s="241" t="inlineStr">
        <is>
          <t>Ezrin Rozani Bin Rosli (NADMA)</t>
        </is>
      </c>
      <c r="C14" s="241" t="inlineStr">
        <is>
          <t>10/27</t>
        </is>
      </c>
      <c r="D14" s="241" t="inlineStr">
        <is>
          <t>12:20</t>
        </is>
      </c>
      <c r="E14" s="241" t="inlineStr">
        <is>
          <t>10/31</t>
        </is>
      </c>
      <c r="F14" s="241" t="inlineStr">
        <is>
          <t>12:45</t>
        </is>
      </c>
      <c r="G14" s="241" t="inlineStr">
        <is>
          <t>―</t>
        </is>
      </c>
      <c r="H14" s="241" t="inlineStr">
        <is>
          <t>D(10/27-)</t>
        </is>
      </c>
      <c r="I14" s="241" t="inlineStr">
        <is>
          <t>Yes</t>
        </is>
      </c>
      <c r="J14" s="241" t="inlineStr">
        <is>
          <t>Halal</t>
        </is>
      </c>
    </row>
    <row r="15" ht="14.25" customHeight="1" s="123">
      <c r="A15" s="240" t="inlineStr">
        <is>
          <t>韓国</t>
        </is>
      </c>
      <c r="B15" s="241" t="inlineStr">
        <is>
          <t>Byungim So (MOIS)</t>
        </is>
      </c>
      <c r="C15" s="241" t="inlineStr">
        <is>
          <t>10/26</t>
        </is>
      </c>
      <c r="D15" s="241" t="inlineStr">
        <is>
          <t>20:25</t>
        </is>
      </c>
      <c r="E15" s="241" t="inlineStr">
        <is>
          <t>10/31</t>
        </is>
      </c>
      <c r="F15" s="241" t="inlineStr">
        <is>
          <t>01:35</t>
        </is>
      </c>
      <c r="G15" s="241" t="inlineStr">
        <is>
          <t>―</t>
        </is>
      </c>
      <c r="H15" s="241" t="inlineStr">
        <is>
          <t>D</t>
        </is>
      </c>
      <c r="I15" s="241" t="inlineStr">
        <is>
          <t>No</t>
        </is>
      </c>
      <c r="J15" s="240" t="n"/>
    </row>
    <row r="16" ht="14.25" customHeight="1" s="123">
      <c r="A16" s="240" t="inlineStr">
        <is>
          <t>韓国</t>
        </is>
      </c>
      <c r="B16" s="241" t="inlineStr">
        <is>
          <t>Kim Ingeon（Deputy Director）、Lee Taekgeon（Assistant Director）、Song Hana（Deputy Director）いずれもMOIS、9/21登録</t>
        </is>
      </c>
      <c r="C16" s="241" t="inlineStr">
        <is>
          <t>10/26</t>
        </is>
      </c>
      <c r="D16" s="241" t="inlineStr">
        <is>
          <t>20:25</t>
        </is>
      </c>
      <c r="E16" s="241" t="inlineStr">
        <is>
          <t>10/31</t>
        </is>
      </c>
      <c r="F16" s="241" t="inlineStr">
        <is>
          <t>01:35</t>
        </is>
      </c>
      <c r="G16" s="241" t="inlineStr">
        <is>
          <t>―</t>
        </is>
      </c>
      <c r="H16" s="241" t="inlineStr">
        <is>
          <t>DS</t>
        </is>
      </c>
      <c r="I16" s="240" t="n"/>
      <c r="J16" s="240" t="inlineStr">
        <is>
          <t>9/21に3名登録。So氏を含め4名かは名簿で要確認。宿泊区分（D/DS）未整理</t>
        </is>
      </c>
    </row>
    <row r="17" ht="14.25" customHeight="1" s="123">
      <c r="A17" s="240" t="inlineStr">
        <is>
          <t>ベトナム</t>
        </is>
      </c>
      <c r="B17" s="241" t="inlineStr">
        <is>
          <t>Doan Thi Tuyet Nga ほかTBD</t>
        </is>
      </c>
      <c r="C17" s="241" t="inlineStr">
        <is>
          <t>10/26</t>
        </is>
      </c>
      <c r="D17" s="241" t="inlineStr">
        <is>
          <t>17:20</t>
        </is>
      </c>
      <c r="E17" s="241" t="inlineStr">
        <is>
          <t>10/31</t>
        </is>
      </c>
      <c r="F17" s="241" t="inlineStr">
        <is>
          <t>12:35</t>
        </is>
      </c>
      <c r="G17" s="241" t="inlineStr">
        <is>
          <t>―</t>
        </is>
      </c>
      <c r="H17" s="241" t="inlineStr">
        <is>
          <t>D/DS</t>
        </is>
      </c>
      <c r="I17" s="240" t="n"/>
      <c r="J17" s="241" t="inlineStr">
        <is>
          <t>8/27登録、2人目の可能性</t>
        </is>
      </c>
    </row>
    <row r="18" ht="26.25" customHeight="1" s="123">
      <c r="A18" s="240" t="inlineStr">
        <is>
          <t>ウズベキスタン</t>
        </is>
      </c>
      <c r="B18" s="241" t="inlineStr">
        <is>
          <t>TBD ×2（1名はTSスピーカー）</t>
        </is>
      </c>
      <c r="C18" s="241" t="inlineStr">
        <is>
          <t>10/27</t>
        </is>
      </c>
      <c r="D18" s="241" t="inlineStr">
        <is>
          <t>08:45</t>
        </is>
      </c>
      <c r="E18" s="241" t="inlineStr">
        <is>
          <t>10/31</t>
        </is>
      </c>
      <c r="F18" s="241" t="inlineStr">
        <is>
          <t>10:25</t>
        </is>
      </c>
      <c r="G18" s="241" t="inlineStr">
        <is>
          <t>―</t>
        </is>
      </c>
      <c r="H18" s="241" t="inlineStr">
        <is>
          <t>D×2</t>
        </is>
      </c>
      <c r="I18" s="240" t="n"/>
      <c r="J18" s="240" t="inlineStr">
        <is>
          <t>9/24 WhatsApp再リマインド。ビザ要（外交旅券のみ免除）。TS登壇者は10/2締切</t>
        </is>
      </c>
    </row>
    <row r="19" ht="14.25" customHeight="1" s="123">
      <c r="A19" s="240" t="inlineStr">
        <is>
          <t>フィリピン</t>
        </is>
      </c>
      <c r="B19" s="241" t="inlineStr">
        <is>
          <t>TBD ×2</t>
        </is>
      </c>
      <c r="C19" s="241" t="inlineStr">
        <is>
          <t>10/26</t>
        </is>
      </c>
      <c r="D19" s="241" t="inlineStr">
        <is>
          <t>18:00</t>
        </is>
      </c>
      <c r="E19" s="241" t="inlineStr">
        <is>
          <t>10/31</t>
        </is>
      </c>
      <c r="F19" s="241" t="inlineStr">
        <is>
          <t>12:10</t>
        </is>
      </c>
      <c r="G19" s="241" t="inlineStr">
        <is>
          <t>―</t>
        </is>
      </c>
      <c r="H19" s="241" t="inlineStr">
        <is>
          <t>D/DS</t>
        </is>
      </c>
      <c r="I19" s="240" t="n"/>
      <c r="J19" s="240" t="n"/>
    </row>
    <row r="20" ht="14.25" customHeight="1" s="123">
      <c r="A20" s="240" t="inlineStr">
        <is>
          <t>ブルネイ</t>
        </is>
      </c>
      <c r="B20" s="241" t="inlineStr">
        <is>
          <t>Rina Nurhafizah binti Abdul Rani（Senior DM Officer, NDMC）＋TBD</t>
        </is>
      </c>
      <c r="C20" s="241" t="inlineStr">
        <is>
          <t>10/27</t>
        </is>
      </c>
      <c r="D20" s="241" t="inlineStr">
        <is>
          <t>14:30</t>
        </is>
      </c>
      <c r="E20" s="241" t="inlineStr">
        <is>
          <t>10/31</t>
        </is>
      </c>
      <c r="F20" s="241" t="inlineStr">
        <is>
          <t>09:00</t>
        </is>
      </c>
      <c r="G20" s="241" t="inlineStr">
        <is>
          <t>―</t>
        </is>
      </c>
      <c r="H20" s="241" t="inlineStr">
        <is>
          <t>D/DS</t>
        </is>
      </c>
      <c r="I20" s="240" t="n"/>
      <c r="J20" s="240" t="inlineStr">
        <is>
          <t>9/20に1名登録</t>
        </is>
      </c>
    </row>
    <row r="21" ht="14.25" customHeight="1" s="123">
      <c r="A21" s="240" t="inlineStr">
        <is>
          <t>ブータン</t>
        </is>
      </c>
      <c r="B21" s="241" t="inlineStr">
        <is>
          <t>TBD</t>
        </is>
      </c>
      <c r="C21" s="241" t="inlineStr">
        <is>
          <t>10/26</t>
        </is>
      </c>
      <c r="D21" s="241" t="inlineStr">
        <is>
          <t>19:30</t>
        </is>
      </c>
      <c r="E21" s="241" t="inlineStr">
        <is>
          <t>11/1</t>
        </is>
      </c>
      <c r="F21" s="241" t="inlineStr">
        <is>
          <t>12:30</t>
        </is>
      </c>
      <c r="G21" s="241" t="inlineStr">
        <is>
          <t>―</t>
        </is>
      </c>
      <c r="H21" s="241" t="inlineStr">
        <is>
          <t>D</t>
        </is>
      </c>
      <c r="I21" s="240" t="n"/>
      <c r="J21" s="240" t="n"/>
    </row>
    <row r="22" ht="14.25" customHeight="1" s="123">
      <c r="A22" s="241" t="inlineStr">
        <is>
          <t>PNG</t>
        </is>
      </c>
      <c r="B22" s="241" t="inlineStr">
        <is>
          <t>TBD</t>
        </is>
      </c>
      <c r="C22" s="241" t="inlineStr">
        <is>
          <t>10/26</t>
        </is>
      </c>
      <c r="D22" s="241" t="inlineStr">
        <is>
          <t>19:30</t>
        </is>
      </c>
      <c r="E22" s="241" t="inlineStr">
        <is>
          <t>10/31</t>
        </is>
      </c>
      <c r="F22" s="241" t="inlineStr">
        <is>
          <t>20:40</t>
        </is>
      </c>
      <c r="G22" s="241" t="inlineStr">
        <is>
          <t>―</t>
        </is>
      </c>
      <c r="H22" s="241" t="inlineStr">
        <is>
          <t>D</t>
        </is>
      </c>
      <c r="I22" s="240" t="n"/>
      <c r="J22" s="240" t="n"/>
    </row>
    <row r="23" ht="14.25" customHeight="1" s="123">
      <c r="A23" s="240" t="inlineStr">
        <is>
          <t>タイ</t>
        </is>
      </c>
      <c r="B23" s="241" t="inlineStr">
        <is>
          <t>Prasong Thammapala（Director, NDWC）予定</t>
        </is>
      </c>
      <c r="C23" s="241" t="inlineStr">
        <is>
          <t>10/27</t>
        </is>
      </c>
      <c r="D23" s="241" t="inlineStr">
        <is>
          <t>14:50</t>
        </is>
      </c>
      <c r="E23" s="241" t="inlineStr">
        <is>
          <t>10/31</t>
        </is>
      </c>
      <c r="F23" s="241" t="inlineStr">
        <is>
          <t>12:25</t>
        </is>
      </c>
      <c r="G23" s="241" t="inlineStr">
        <is>
          <t>―</t>
        </is>
      </c>
      <c r="H23" s="241" t="inlineStr">
        <is>
          <t>D(10/27-)</t>
        </is>
      </c>
      <c r="I23" s="241" t="inlineStr">
        <is>
          <t>No</t>
        </is>
      </c>
      <c r="J23" s="240" t="inlineStr">
        <is>
          <t>9/22 DDPMより指名予定の連絡。ADRCは1名分負担と回答（吉田 9/22）。正式登録待ち</t>
        </is>
      </c>
    </row>
    <row r="24" ht="14.25" customHeight="1" s="123">
      <c r="A24" s="240" t="inlineStr">
        <is>
          <t>カンボジア</t>
        </is>
      </c>
      <c r="B24" s="241" t="inlineStr">
        <is>
          <t>TBD</t>
        </is>
      </c>
      <c r="C24" s="241" t="inlineStr">
        <is>
          <t>10/26</t>
        </is>
      </c>
      <c r="D24" s="241" t="inlineStr">
        <is>
          <t>18:00</t>
        </is>
      </c>
      <c r="E24" s="241" t="inlineStr">
        <is>
          <t>10/31</t>
        </is>
      </c>
      <c r="F24" s="241" t="inlineStr">
        <is>
          <t>12:45</t>
        </is>
      </c>
      <c r="G24" s="241" t="inlineStr">
        <is>
          <t>―</t>
        </is>
      </c>
      <c r="H24" s="241" t="inlineStr">
        <is>
          <t>D</t>
        </is>
      </c>
      <c r="I24" s="240" t="n"/>
      <c r="J24" s="241" t="inlineStr">
        <is>
          <t>9/1登録あり</t>
        </is>
      </c>
    </row>
    <row r="25" ht="14.25" customHeight="1" s="123">
      <c r="A25" s="240" t="inlineStr">
        <is>
          <t>ミャンマー</t>
        </is>
      </c>
      <c r="B25" s="241" t="inlineStr">
        <is>
          <t>TBD</t>
        </is>
      </c>
      <c r="C25" s="241" t="inlineStr">
        <is>
          <t>10/27</t>
        </is>
      </c>
      <c r="D25" s="241" t="inlineStr">
        <is>
          <t>15:10</t>
        </is>
      </c>
      <c r="E25" s="241" t="inlineStr">
        <is>
          <t>10/31</t>
        </is>
      </c>
      <c r="F25" s="241" t="inlineStr">
        <is>
          <t>13:45</t>
        </is>
      </c>
      <c r="G25" s="241" t="inlineStr">
        <is>
          <t>―</t>
        </is>
      </c>
      <c r="H25" s="241" t="inlineStr">
        <is>
          <t>D(10/27-)</t>
        </is>
      </c>
      <c r="I25" s="240" t="n"/>
      <c r="J25" s="240" t="n"/>
    </row>
    <row r="26" ht="14.25" customHeight="1" s="123">
      <c r="A26" s="240" t="inlineStr">
        <is>
          <t>インドネシア</t>
        </is>
      </c>
      <c r="B26" s="241" t="inlineStr">
        <is>
          <t>TBD</t>
        </is>
      </c>
      <c r="C26" s="241" t="inlineStr">
        <is>
          <t>10/27</t>
        </is>
      </c>
      <c r="D26" s="241" t="inlineStr">
        <is>
          <t>11:20</t>
        </is>
      </c>
      <c r="E26" s="241" t="inlineStr">
        <is>
          <t>10/30</t>
        </is>
      </c>
      <c r="F26" s="241" t="inlineStr">
        <is>
          <t>22:40</t>
        </is>
      </c>
      <c r="G26" s="241" t="inlineStr">
        <is>
          <t>―</t>
        </is>
      </c>
      <c r="H26" s="241" t="inlineStr">
        <is>
          <t>D(10/27-)</t>
        </is>
      </c>
      <c r="I26" s="240" t="n"/>
      <c r="J26" s="240" t="n"/>
    </row>
    <row r="27" ht="14.25" customHeight="1" s="123">
      <c r="A27" s="240" t="inlineStr">
        <is>
          <t>パキスタン</t>
        </is>
      </c>
      <c r="B27" s="241" t="inlineStr">
        <is>
          <t>TBD</t>
        </is>
      </c>
      <c r="C27" s="241" t="inlineStr">
        <is>
          <t>10/27</t>
        </is>
      </c>
      <c r="D27" s="241" t="inlineStr">
        <is>
          <t>11:15</t>
        </is>
      </c>
      <c r="E27" s="241" t="inlineStr">
        <is>
          <t>10/31</t>
        </is>
      </c>
      <c r="F27" s="241" t="inlineStr">
        <is>
          <t>12:25</t>
        </is>
      </c>
      <c r="G27" s="241" t="inlineStr">
        <is>
          <t>―</t>
        </is>
      </c>
      <c r="H27" s="241" t="inlineStr">
        <is>
          <t>D(10/27-)</t>
        </is>
      </c>
      <c r="I27" s="240" t="n"/>
      <c r="J27" s="240" t="n"/>
    </row>
    <row r="28" ht="26.25" customHeight="1" s="123">
      <c r="A28" s="240" t="inlineStr">
        <is>
          <t>インド</t>
        </is>
      </c>
      <c r="B28" s="241" t="inlineStr">
        <is>
          <t>3名（8/28登録、9/3に2人目確認）</t>
        </is>
      </c>
      <c r="C28" s="241" t="inlineStr">
        <is>
          <t>10/26</t>
        </is>
      </c>
      <c r="D28" s="241" t="inlineStr">
        <is>
          <t>18:00</t>
        </is>
      </c>
      <c r="E28" s="241" t="inlineStr">
        <is>
          <t>10/31</t>
        </is>
      </c>
      <c r="F28" s="241" t="inlineStr">
        <is>
          <t>16:40</t>
        </is>
      </c>
      <c r="G28" s="241" t="inlineStr">
        <is>
          <t>―</t>
        </is>
      </c>
      <c r="H28" s="241" t="inlineStr">
        <is>
          <t>D+DS×2</t>
        </is>
      </c>
      <c r="I28" s="240" t="n"/>
      <c r="J28" s="240" t="n"/>
    </row>
    <row r="29" ht="14.25" customHeight="1" s="123">
      <c r="A29" s="240" t="inlineStr">
        <is>
          <t>内閣府（日本）</t>
        </is>
      </c>
      <c r="B29" s="240" t="inlineStr">
        <is>
          <t>林 正道 政策統括官 ＋随行2名</t>
        </is>
      </c>
      <c r="C29" s="241" t="inlineStr">
        <is>
          <t>10/26</t>
        </is>
      </c>
      <c r="D29" s="241" t="inlineStr">
        <is>
          <t>15:00</t>
        </is>
      </c>
      <c r="E29" s="241" t="inlineStr">
        <is>
          <t>10/31</t>
        </is>
      </c>
      <c r="F29" s="241" t="inlineStr">
        <is>
          <t>01:20</t>
        </is>
      </c>
      <c r="G29" s="241" t="inlineStr">
        <is>
          <t>―</t>
        </is>
      </c>
      <c r="H29" s="241" t="inlineStr">
        <is>
          <t>DS×2(+林氏)</t>
        </is>
      </c>
      <c r="I29" s="240" t="n"/>
      <c r="J29" s="241" t="inlineStr">
        <is>
          <t>CV準備中。英語サポート要</t>
        </is>
      </c>
    </row>
    <row r="30" ht="14.25" customHeight="1" s="123">
      <c r="A30" s="240" t="inlineStr">
        <is>
          <t>リソース</t>
        </is>
      </c>
      <c r="B30" s="241" t="inlineStr">
        <is>
          <t>TSスピーカー: BRIN Yenni Vetrita氏（GA828 27日着で打診）、YI-Lab Pradip Khatiwada氏（Air India経由かSQ直行かアドミ確認中）、JAXA（人選中・自己負担）、Google Sirada氏（自己負担）、ウズベキスタン TBD、内閣府 TBD</t>
        </is>
      </c>
      <c r="C30" s="241" t="inlineStr">
        <is>
          <t>10/27</t>
        </is>
      </c>
      <c r="D30" s="241" t="inlineStr">
        <is>
          <t>―</t>
        </is>
      </c>
      <c r="E30" s="241" t="inlineStr">
        <is>
          <t>10/31</t>
        </is>
      </c>
      <c r="F30" s="241" t="inlineStr">
        <is>
          <t>―</t>
        </is>
      </c>
      <c r="G30" s="241" t="inlineStr">
        <is>
          <t>―</t>
        </is>
      </c>
      <c r="H30" s="241" t="inlineStr">
        <is>
          <t>D×2</t>
        </is>
      </c>
      <c r="I30" s="240" t="n"/>
      <c r="J30" s="241" t="inlineStr">
        <is>
          <t>藤本が見積取得中（9/18）。BRIN復路はMizan経由で照会中</t>
        </is>
      </c>
    </row>
    <row r="31" ht="52.5" customHeight="1" s="123">
      <c r="A31" s="240" t="inlineStr">
        <is>
          <t>観察者・一般</t>
        </is>
      </c>
      <c r="B31" s="241" t="inlineStr">
        <is>
          <t>ADPC 2名、AHA Centre、JICAフィジー、東北大小野教授、仙台市3名、Mercy Malaysia、大学関係 等</t>
        </is>
      </c>
      <c r="C31" s="241" t="inlineStr">
        <is>
          <t>―</t>
        </is>
      </c>
      <c r="D31" s="241" t="inlineStr">
        <is>
          <t>―</t>
        </is>
      </c>
      <c r="E31" s="241" t="inlineStr">
        <is>
          <t>―</t>
        </is>
      </c>
      <c r="F31" s="241" t="inlineStr">
        <is>
          <t>―</t>
        </is>
      </c>
      <c r="G31" s="241" t="inlineStr">
        <is>
          <t>―</t>
        </is>
      </c>
      <c r="H31" s="240" t="inlineStr">
        <is>
          <t>自己手配</t>
        </is>
      </c>
      <c r="I31" s="240" t="n"/>
      <c r="J31" s="240" t="inlineStr">
        <is>
          <t>昼食提供対象</t>
        </is>
      </c>
    </row>
    <row r="32" ht="52.5" customHeight="1" s="123">
      <c r="A32" s="240" t="inlineStr">
        <is>
          <t>タジキスタン</t>
        </is>
      </c>
      <c r="B32" s="241" t="inlineStr">
        <is>
          <t>TBD</t>
        </is>
      </c>
      <c r="C32" s="241" t="inlineStr">
        <is>
          <t>―</t>
        </is>
      </c>
      <c r="D32" s="241" t="inlineStr">
        <is>
          <t>―</t>
        </is>
      </c>
      <c r="E32" s="241" t="inlineStr">
        <is>
          <t>―</t>
        </is>
      </c>
      <c r="F32" s="241" t="inlineStr">
        <is>
          <t>―</t>
        </is>
      </c>
      <c r="G32" s="241" t="inlineStr">
        <is>
          <t>―</t>
        </is>
      </c>
      <c r="H32" s="240" t="inlineStr">
        <is>
          <t>D</t>
        </is>
      </c>
      <c r="I32" s="240" t="inlineStr">
        <is>
          <t>―</t>
        </is>
      </c>
      <c r="J32" s="240" t="inlineStr">
        <is>
          <t>9/24 WhatsApp再リマインド。ビザ要</t>
        </is>
      </c>
    </row>
    <row r="33" ht="52.5" customHeight="1" s="123">
      <c r="A33" s="240" t="inlineStr">
        <is>
          <t>SIDEXリソース（COSEM負担）</t>
        </is>
      </c>
      <c r="B33" s="241" t="inlineStr">
        <is>
          <t>西川 悟 JICA Senior Advisor</t>
        </is>
      </c>
      <c r="C33" s="241" t="inlineStr">
        <is>
          <t>―</t>
        </is>
      </c>
      <c r="D33" s="241" t="inlineStr">
        <is>
          <t>―</t>
        </is>
      </c>
      <c r="E33" s="241" t="inlineStr">
        <is>
          <t>―</t>
        </is>
      </c>
      <c r="F33" s="241" t="inlineStr">
        <is>
          <t>―</t>
        </is>
      </c>
      <c r="G33" s="241" t="inlineStr">
        <is>
          <t>―</t>
        </is>
      </c>
      <c r="H33" s="240" t="inlineStr">
        <is>
          <t>COSEM手配</t>
        </is>
      </c>
      <c r="I33" s="240" t="inlineStr">
        <is>
          <t>―</t>
        </is>
      </c>
      <c r="J33" s="240" t="inlineStr">
        <is>
          <t>3日目SIDEXイベントの登壇者。Welcome Dinner招待のためリソース登録（児玉→藤本 9/24）。費用はすべてCOSEM持ち。スピーカーディナーと重複の可能性</t>
        </is>
      </c>
    </row>
    <row r="34" ht="52.5" customHeight="1" s="123">
      <c r="A34" s="240" t="inlineStr">
        <is>
          <t>COSEM</t>
        </is>
      </c>
      <c r="B34" s="241" t="inlineStr">
        <is>
          <t>Fabian Hwi Min Tan（Deputy CEO, Operations）</t>
        </is>
      </c>
      <c r="C34" s="241" t="inlineStr">
        <is>
          <t>―</t>
        </is>
      </c>
      <c r="D34" s="241" t="inlineStr">
        <is>
          <t>―</t>
        </is>
      </c>
      <c r="E34" s="241" t="inlineStr">
        <is>
          <t>―</t>
        </is>
      </c>
      <c r="F34" s="241" t="inlineStr">
        <is>
          <t>―</t>
        </is>
      </c>
      <c r="G34" s="241" t="inlineStr">
        <is>
          <t>―</t>
        </is>
      </c>
      <c r="H34" s="240" t="inlineStr">
        <is>
          <t>―</t>
        </is>
      </c>
      <c r="I34" s="240" t="inlineStr">
        <is>
          <t>―</t>
        </is>
      </c>
      <c r="J34" s="240" t="inlineStr">
        <is>
          <t>9/24登録（現地参加）</t>
        </is>
      </c>
    </row>
    <row r="35"/>
    <row r="36">
      <c r="A36" s="242" t="inlineStr">
        <is>
          <t>Dorsett確保数（8/28にCOSEMへ通知）: 10/26 29室、10/27-30 37室/泊、10/31 2室、計180 room nights。9/28に10%リリース可、以後100%課金。</t>
        </is>
      </c>
    </row>
  </sheetData>
  <mergeCells count="1">
    <mergeCell ref="A3:J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C35"/>
  <sheetViews>
    <sheetView showFormulas="0" showGridLines="1" showRowColHeaders="1" showZeros="1" rightToLeft="0" tabSelected="0" showOutlineSymbols="1" defaultGridColor="1" view="normal" topLeftCell="A13" colorId="64" zoomScale="100" zoomScaleNormal="100" zoomScalePageLayoutView="100" workbookViewId="0">
      <selection pane="topLeft" activeCell="C11" activeCellId="0" sqref="C11"/>
    </sheetView>
  </sheetViews>
  <sheetFormatPr baseColWidth="8" defaultColWidth="8.55859375" defaultRowHeight="14.25" zeroHeight="0" outlineLevelRow="0"/>
  <cols>
    <col width="6" customWidth="1" style="122" min="1" max="1"/>
    <col width="60" customWidth="1" style="122" min="2" max="2"/>
    <col width="70" customWidth="1" style="122" min="3" max="3"/>
  </cols>
  <sheetData>
    <row r="1" ht="15" customHeight="1" s="123">
      <c r="A1" s="222" t="inlineStr">
        <is>
          <t>出典と前提（本表は2026/9/24時点の一次資料から作成。未確認事項は各シートに明記）</t>
        </is>
      </c>
    </row>
    <row r="3" ht="14.25" customHeight="1" s="123">
      <c r="A3" s="243" t="inlineStr">
        <is>
          <t>#</t>
        </is>
      </c>
      <c r="B3" s="244" t="inlineStr">
        <is>
          <t>資料</t>
        </is>
      </c>
      <c r="C3" s="244" t="inlineStr">
        <is>
          <t>本表での使用箇所</t>
        </is>
      </c>
    </row>
    <row r="4" ht="31.5" customHeight="1" s="123">
      <c r="A4" s="241" t="inlineStr">
        <is>
          <t>1</t>
        </is>
      </c>
      <c r="B4" s="241" t="inlineStr">
        <is>
          <t>Gmail: 荒木田→研究部・事務局 2026/9/2「ACDR2026打合せ」(9/4 15-16時所内打合せ)</t>
        </is>
      </c>
      <c r="C4" s="240" t="inlineStr">
        <is>
          <t>児玉9/3『役割分担等再確認』の指示</t>
        </is>
      </c>
    </row>
    <row r="5" ht="31.5" customHeight="1" s="123">
      <c r="A5" s="241" t="inlineStr">
        <is>
          <t>2</t>
        </is>
      </c>
      <c r="B5" s="241" t="inlineStr">
        <is>
          <t>Gmail: 荒木田→塩見 2026/9/4「日程について」返信</t>
        </is>
      </c>
      <c r="C5" s="240" t="inlineStr">
        <is>
          <t>塩見への現地参加打診（未回答）</t>
        </is>
      </c>
    </row>
    <row r="6" ht="31.5" customHeight="1" s="123">
      <c r="A6" s="241" t="inlineStr">
        <is>
          <t>3</t>
        </is>
      </c>
      <c r="B6" s="241" t="inlineStr">
        <is>
          <t>Gmail: 荒木田→藤本 2026/8/6「ACDR2026に行きませんか」／藤本 8/7返信</t>
        </is>
      </c>
      <c r="C6" s="240" t="inlineStr">
        <is>
          <t>追加要員1-2名の必要性、藤本の参加可否</t>
        </is>
      </c>
    </row>
    <row r="7" ht="31.5" customHeight="1" s="123">
      <c r="A7" s="241" t="inlineStr">
        <is>
          <t>4</t>
        </is>
      </c>
      <c r="B7" s="241" t="inlineStr">
        <is>
          <t>Gmail添付: ACDR2026_Demarcation_asof0805.pptx（荒木田→藤本 8/6）</t>
        </is>
      </c>
      <c r="C7" s="240" t="inlineStr">
        <is>
          <t>役割分担（8/6版）</t>
        </is>
      </c>
    </row>
    <row r="8" ht="31.5" customHeight="1" s="123">
      <c r="A8" s="241" t="inlineStr">
        <is>
          <t>5</t>
        </is>
      </c>
      <c r="B8" s="241" t="inlineStr">
        <is>
          <t>Gmail添付: ホテル部屋数検討用リスト _tt.xlsx（田中→藤中・荒木田・児玉 8/28）</t>
        </is>
      </c>
      <c r="C8" s="240" t="inlineStr">
        <is>
          <t>スタッフ・参加者の到着/出発・宿泊</t>
        </is>
      </c>
    </row>
    <row r="9" ht="31.5" customHeight="1" s="123">
      <c r="A9" s="241" t="inlineStr">
        <is>
          <t>6</t>
        </is>
      </c>
      <c r="B9" s="241" t="inlineStr">
        <is>
          <t>Gmail: 事務局→Sylvia(COSEM) 8/28「Hotel Guest Rooms as of 28 August」／藤中 9/1返信</t>
        </is>
      </c>
      <c r="C9" s="241" t="inlineStr">
        <is>
          <t>Dorsett 180 room nights</t>
        </is>
      </c>
    </row>
    <row r="10" ht="31.5" customHeight="1" s="123">
      <c r="A10" s="241" t="inlineStr">
        <is>
          <t>7</t>
        </is>
      </c>
      <c r="B10" s="241" t="inlineStr">
        <is>
          <t>Gmail添付: ACDR2026予算.xlsx（藤中→荒木田・児玉 8/21）</t>
        </is>
      </c>
      <c r="C10" s="240" t="inlineStr">
        <is>
          <t>スタッフ14名リスト、旅費・宿泊予算、超過見込み</t>
        </is>
      </c>
    </row>
    <row r="11" ht="31.5" customHeight="1" s="123">
      <c r="A11" s="241" t="inlineStr">
        <is>
          <t>8</t>
        </is>
      </c>
      <c r="B11" s="241" t="inlineStr">
        <is>
          <t>Gmail添付: ACDR2026_Draft_Agenda_EN_0826.pdf（8/26版・最新）／ACDR2026_Draft_Agenda_EN_0805r.docx（児玉 8/5、29 May版）／Flyer 8/26版（Field Trip 13:00）</t>
        </is>
      </c>
      <c r="C11" s="240" t="inlineStr">
        <is>
          <t>会期プログラム（本表は8/26版に準拠）</t>
        </is>
      </c>
    </row>
    <row r="12" ht="31.5" customHeight="1" s="123">
      <c r="A12" s="241" t="inlineStr">
        <is>
          <t>9</t>
        </is>
      </c>
      <c r="B12" s="241" t="inlineStr">
        <is>
          <t>Gmail: 藤中 7/15「三浦センター長のフライト」／7/29-31「シンガポール行きのフライト【ACDR2026】」(北本)／7/10「田中・藤中のフライト」／7/21「スイス発着のフライト」(吉田)→9/6 吉田メールでAY便に変更／7/29「Flight to Singapore for ACDR2026」(池田・Gerry)／7/31「池田さん、Gerryさんのふらいとについて」</t>
        </is>
      </c>
      <c r="C12" s="240" t="inlineStr">
        <is>
          <t>各人のフライト</t>
        </is>
      </c>
    </row>
    <row r="13" ht="31.5" customHeight="1" s="123">
      <c r="A13" s="241" t="inlineStr">
        <is>
          <t>10</t>
        </is>
      </c>
      <c r="B13" s="241" t="inlineStr">
        <is>
          <t>Gmail: 児玉→宮木・荒木田 8/28「SIDEX-ACDR2026: 日本（内閣府）からの出席者決定」</t>
        </is>
      </c>
      <c r="C13" s="240" t="inlineStr">
        <is>
          <t>林正道氏出席、英語サポート要</t>
        </is>
      </c>
    </row>
    <row r="14" ht="31.5" customHeight="1" s="123">
      <c r="A14" s="241" t="inlineStr">
        <is>
          <t>11</t>
        </is>
      </c>
      <c r="B14" s="241" t="inlineStr">
        <is>
          <t>Gmail: 児玉→荒木田・池田・Mizan 8/28／Mizan 8/31／荒木田 8/31「テクニカルセッション準備状況」／Mizan 9/7（Emma Hill教授の不参加確定・BRINへ切替）／池田 9/7（JAXAは川北氏または上田氏、自己予算で参加可）</t>
        </is>
      </c>
      <c r="C14" s="241" t="inlineStr">
        <is>
          <t>Co-Chair人選、登壇者状況、期限設定</t>
        </is>
      </c>
    </row>
    <row r="15" ht="31.5" customHeight="1" s="123">
      <c r="A15" s="241" t="inlineStr">
        <is>
          <t>12</t>
        </is>
      </c>
      <c r="B15" s="241" t="inlineStr">
        <is>
          <t>Googleドライブ: ACDR2026シンガポール事前協議チェックリスト回答状況（5/18）／SIDEX-ACDR 2026 開催準備月次ToDoリスト_V1（5/19）／ACDR 2026 Mission to Singapore Checklist</t>
        </is>
      </c>
      <c r="C15" s="240" t="inlineStr">
        <is>
          <t>レセプション運営（16:00設営・受付ADRC）、未対応事項　※開始時刻は8/26版アジェンダの19:00-21:00に更新</t>
        </is>
      </c>
    </row>
    <row r="16" ht="31.5" customHeight="1" s="123">
      <c r="A16" s="241" t="inlineStr">
        <is>
          <t>13</t>
        </is>
      </c>
      <c r="B16" s="241" t="inlineStr">
        <is>
          <t>Googleドライブ: 動態表 ACDR2023 as of 17 Oct.xlsx</t>
        </is>
      </c>
      <c r="C16" s="240" t="inlineStr">
        <is>
          <t>書式（日別AM/PM＋時間帯別）と2023年の人員配置の比較基準</t>
        </is>
      </c>
    </row>
    <row r="17" ht="31.5" customHeight="1" s="123">
      <c r="A17" s="241" t="inlineStr">
        <is>
          <t>14</t>
        </is>
      </c>
      <c r="B17" s="241" t="inlineStr">
        <is>
          <t>Googleドライブ: ACDR2026_General Information (UNDRR).pdf　※あわせて [ACDR2026] Technical Session Concept Note（8/7）を参照。同ノートは 09:30-11:00・パネリスト5名のままで、8/26版アジェンダ（09:30-11:30・登壇者6名）と不整合。改訂版を別途作成。</t>
        </is>
      </c>
      <c r="C17" s="240" t="inlineStr">
        <is>
          <t>日程・会場・AI翻訳ツール試行・登録期限9/20</t>
        </is>
      </c>
    </row>
    <row r="18" ht="31.5" customHeight="1" s="123">
      <c r="A18" s="241" t="inlineStr">
        <is>
          <t>15</t>
        </is>
      </c>
      <c r="B18" s="240" t="inlineStr">
        <is>
          <t>アップロード: ACDR2025動態表 as of 11/26（16-19 DEC 2025, 三田）</t>
        </is>
      </c>
      <c r="C18" s="240" t="inlineStr">
        <is>
          <t>日本側サポート体制の前例（中村: Webinar/Zoom設定・Q&amp;A確認、寺坂: 録画日英、伊達: Webinarホスト確認、山口: 現地Photo/CAM）</t>
        </is>
      </c>
    </row>
    <row r="19" ht="31.5" customHeight="1" s="123">
      <c r="A19" s="241" t="inlineStr">
        <is>
          <t>16</t>
        </is>
      </c>
      <c r="B19" s="240" t="inlineStr">
        <is>
          <t>荒木田 2026/9/4 指示（本セッション）</t>
        </is>
      </c>
      <c r="C19" s="240" t="inlineStr">
        <is>
          <t>中村＝日本でAI通訳設定等を担当、山口＝日本側サポート（録画・オンライン質疑）</t>
        </is>
      </c>
    </row>
    <row r="20" ht="31.5" customHeight="1" s="123">
      <c r="A20" s="241" t="inlineStr">
        <is>
          <t>17</t>
        </is>
      </c>
      <c r="B20" s="240" t="inlineStr">
        <is>
          <t>児玉 2026/9/4 修正版（動態表 v1_2）</t>
        </is>
      </c>
      <c r="C20" s="240" t="inlineStr">
        <is>
          <t>宮木・児玉のフライト（10/25 NH2178/NH803、10/31 NH802）、池田・Gerryの便名（SQ619/SQ622）、Gerry＝研究部次長</t>
        </is>
      </c>
    </row>
    <row r="21" ht="31.5" customHeight="1" s="123">
      <c r="A21" s="241" t="inlineStr">
        <is>
          <t>18</t>
        </is>
      </c>
      <c r="B21" s="240" t="inlineStr">
        <is>
          <t>Plaud 文字起こし・要約: 「09-04 ACDR開催に向けた準備状況とタスク確認会議」（2026/9/4 15:00-16:00 JST、59分）</t>
        </is>
      </c>
      <c r="C21" s="240" t="inlineStr">
        <is>
          <t>森口=SC担当で現地、藤本=撮影、宮木・児玉の位置づけ、27日午前の会場下見、29-30日の誘導、エリック長官夕食会、登録状況、今後のスケジュール</t>
        </is>
      </c>
    </row>
    <row r="22" ht="31.5" customHeight="1" s="123">
      <c r="A22" s="241" t="inlineStr">
        <is>
          <t>19</t>
        </is>
      </c>
      <c r="B22" s="240" t="inlineStr">
        <is>
          <t>荒木田 2026/9/4 指示（本セッション）＋Googleドライブ「ACDR2026シンガポール事前協議チェックリスト回答状況」（5/18）</t>
        </is>
      </c>
      <c r="C22" s="240" t="inlineStr">
        <is>
          <t>藤本・塩見の本人承諾。ドレスコードと役割分担をCOSEM協議事項として整理（5月チェックリストの未対応項目を再掲）</t>
        </is>
      </c>
    </row>
    <row r="23" ht="31.5" customHeight="1" s="123">
      <c r="A23" s="241" t="inlineStr">
        <is>
          <t>20</t>
        </is>
      </c>
      <c r="B23" s="240" t="inlineStr">
        <is>
          <t>Gmail: Sylvia 9/22「[ACDR 2026] Venue Layouts」返信／荒木田 9/24 同スレッド返信（U28提案・機材リスト）</t>
        </is>
      </c>
      <c r="C23" s="240" t="inlineStr">
        <is>
          <t>会場確定（Peridot 201-203）、投影・通信・AVの回答、座席・機材の提案</t>
        </is>
      </c>
    </row>
    <row r="24" ht="31.5" customHeight="1" s="123">
      <c r="A24" s="241" t="inlineStr">
        <is>
          <t>21</t>
        </is>
      </c>
      <c r="B24" s="240" t="inlineStr">
        <is>
          <t>Gmail: 池田 9/24「Invitation Letter とコンセプトノートの更新案」返信／荒木田 9/24 返信</t>
        </is>
      </c>
      <c r="C24" s="240" t="inlineStr">
        <is>
          <t>質疑15分＋まとめ10分、招待状v2確定、SG署名後に池田が発送、CN rev1.2（Central Asia and Caucasus）</t>
        </is>
      </c>
    </row>
    <row r="25" ht="31.5" customHeight="1" s="123">
      <c r="A25" s="241" t="inlineStr">
        <is>
          <t>22</t>
        </is>
      </c>
      <c r="B25" s="240" t="inlineStr">
        <is>
          <t>Gmail: 田中 9/17-18「ビザ書類のお知らせメール」／ICA公式サイト（ビザ要国リスト）</t>
        </is>
      </c>
      <c r="C25" s="240" t="inlineStr">
        <is>
          <t>ビザ手順・対象者、Form 14A/V39A、ネパール・インドネシア不要、ウズベキスタン・タジキスタン要</t>
        </is>
      </c>
    </row>
    <row r="26" ht="31.5" customHeight="1" s="123">
      <c r="A26" s="241" t="inlineStr">
        <is>
          <t>23</t>
        </is>
      </c>
      <c r="B26" s="240" t="inlineStr">
        <is>
          <t>Gmail: 藤本 9/24 登録通知（ブルネイ、韓国×3、COSEM、一般）／児玉 9/24（西川専門員のリソース登録）／藤中・吉田 9/22（タイ）</t>
        </is>
      </c>
      <c r="C26" s="240" t="inlineStr">
        <is>
          <t>参加者到着・出発シートの更新</t>
        </is>
      </c>
    </row>
    <row r="27" ht="31.5" customHeight="1" s="123">
      <c r="A27" s="241" t="inlineStr">
        <is>
          <t>24</t>
        </is>
      </c>
      <c r="B27" s="240" t="inlineStr">
        <is>
          <t>WhatsApp Coordination Team 9/17-9/24（Sylvia・荒木田）：モデレーター氏名、フィールドトリップ13:00版、バナー（物理・デザイン案・修正依頼）、名札・マイクの範囲、Day 1前倒し、タジキスタン・ウズベキスタンへの再リマインド</t>
        </is>
      </c>
      <c r="C27" s="240" t="inlineStr">
        <is>
          <t>COSEM協議事項 A3・A7・A9・H39・H40、Day1/Day2シートの注記</t>
        </is>
      </c>
    </row>
    <row r="28" ht="31.5" customHeight="1" s="123">
      <c r="A28" s="241" t="inlineStr">
        <is>
          <t>25</t>
        </is>
      </c>
      <c r="B28" s="240" t="inlineStr">
        <is>
          <t>Plaud: 9/18 研究部週次会議／Gmail: 児玉 9/19-24「SC用ADRC活動報告案」スレッド</t>
        </is>
      </c>
      <c r="C28" s="240" t="inlineStr">
        <is>
          <t>TS登壇者の扱い、CN Web掲載は組織名のみ、SC活動報告の修正反映状況</t>
        </is>
      </c>
    </row>
    <row r="29" ht="30" customHeight="1" s="123">
      <c r="B29" s="134" t="inlineStr">
        <is>
          <t>前提・限界</t>
        </is>
      </c>
    </row>
    <row r="30">
      <c r="B30" s="245" t="inlineStr">
        <is>
          <t>・指定されたDropboxフォルダ（C:\Users\arakida\Dropbox\araarashare\JOB\ADRC\ACDR\）およびダウンロードフォルダは、この作業環境（クラウド上のLinuxコンテナ）から参照できないため未使用。同フォルダにある最新のデマケ・動態表があれば本表と突合が必要。</t>
        </is>
      </c>
    </row>
    <row r="31">
      <c r="B31" s="245" t="inlineStr">
        <is>
          <t>・宮木・児玉の航空券は個人メールに記録がなく（管理部手配の可能性）、到着日は8/28リストの記載（10/27）をそのまま載せた。</t>
        </is>
      </c>
    </row>
    <row r="32">
      <c r="B32" s="245" t="inlineStr">
        <is>
          <t>・時間帯別シートの担当割当は、8/6デマケと2023年の動態表を基にした『第1案』であり、所内打合せで調整する前提。</t>
        </is>
      </c>
    </row>
    <row r="33">
      <c r="B33" s="245" t="inlineStr">
        <is>
          <t>・藤本・塩見の行は追加推奨の仮置きで、本人の承諾・手配は未了。</t>
        </is>
      </c>
    </row>
    <row r="34">
      <c r="B34" s="245" t="inlineStr">
        <is>
          <t>・稼働人数の自動計算は、結合セルの先頭列のみを数える簡易指標。</t>
        </is>
      </c>
    </row>
    <row r="35">
      <c r="B35" s="245" t="inlineStr">
        <is>
          <t>・日本側サポートの担当時間はJST勤務時間内を想定し、シンガポール時間の列に置いた（JST = SGT + 1時間）。寺坂・伊達は本人未確認の仮置き。 接続テストは①10/26午後(JST15-17, 荒木田・中村・山口、池田は到着後合流)、②10/27午後(JST14-17, 荒木田・池田・中村・山口＋仮置きの寺坂・伊達)の2回を想定。
・Guest Eligibility Matrix（7/3）の Resource 1 は「Speakers, a total of 5 pax」。テクニカルセッションの登壇者は6名の想定であり、リソース枠の人数と一致しない。</t>
        </is>
      </c>
    </row>
  </sheetData>
  <mergeCells count="6">
    <mergeCell ref="B24:C24"/>
    <mergeCell ref="B29:C29"/>
    <mergeCell ref="B25:C25"/>
    <mergeCell ref="B28:C28"/>
    <mergeCell ref="B26:C26"/>
    <mergeCell ref="B27:C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2026-09-04T02:17:32Z</dcterms:created>
  <dcterms:modified xmlns:dcterms="http://purl.org/dc/terms/" xmlns:xsi="http://www.w3.org/2001/XMLSchema-instance" xsi:type="dcterms:W3CDTF">2026-09-24T04:40:12Z</dcterms:modified>
  <cp:lastModifiedBy>ARAKIDA 荒木田</cp:lastModifiedBy>
  <cp:revision>0</cp:revision>
</cp:coreProperties>
</file>