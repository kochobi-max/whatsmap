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akida\Downloads\"/>
    </mc:Choice>
  </mc:AlternateContent>
  <xr:revisionPtr revIDLastSave="0" documentId="13_ncr:1_{EBABCE00-A5B3-4B80-B3E3-4447FF44B17E}" xr6:coauthVersionLast="47" xr6:coauthVersionMax="47" xr10:uidLastSave="{00000000-0000-0000-0000-000000000000}"/>
  <bookViews>
    <workbookView xWindow="-108" yWindow="-108" windowWidth="23256" windowHeight="14856" tabRatio="612" xr2:uid="{00000000-000D-0000-FFFF-FFFF00000000}"/>
  </bookViews>
  <sheets>
    <sheet name="人員一覧・判定" sheetId="1" r:id="rId1"/>
    <sheet name="動態表(日別)" sheetId="2" r:id="rId2"/>
    <sheet name="27Oct(Day0)" sheetId="3" r:id="rId3"/>
    <sheet name="28Oct(Day1)" sheetId="4" r:id="rId4"/>
    <sheet name="29Oct(Day2)" sheetId="5" r:id="rId5"/>
    <sheet name="30Oct(Day3)" sheetId="6" r:id="rId6"/>
    <sheet name="人員ギャップ分析" sheetId="7" r:id="rId7"/>
    <sheet name="参加者到着・出発(8月28日時点)" sheetId="8" r:id="rId8"/>
    <sheet name="出典・前提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5" i="6" l="1"/>
  <c r="A24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27" i="5"/>
  <c r="A26" i="5"/>
  <c r="A25" i="5"/>
  <c r="A24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27" i="4"/>
  <c r="A26" i="4"/>
  <c r="A25" i="4"/>
  <c r="A24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27" i="3"/>
  <c r="A26" i="3"/>
  <c r="A25" i="3"/>
  <c r="A24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27" i="2"/>
  <c r="A26" i="2"/>
  <c r="A25" i="2"/>
  <c r="A24" i="2"/>
  <c r="R20" i="2"/>
  <c r="Q20" i="2"/>
  <c r="B20" i="2"/>
  <c r="S19" i="2"/>
  <c r="S20" i="2" s="1"/>
  <c r="R19" i="2"/>
  <c r="Q19" i="2"/>
  <c r="P19" i="2"/>
  <c r="P20" i="2" s="1"/>
  <c r="O19" i="2"/>
  <c r="O20" i="2" s="1"/>
  <c r="N19" i="2"/>
  <c r="N20" i="2" s="1"/>
  <c r="M19" i="2"/>
  <c r="M20" i="2" s="1"/>
  <c r="L19" i="2"/>
  <c r="L20" i="2" s="1"/>
  <c r="K19" i="2"/>
  <c r="K20" i="2" s="1"/>
  <c r="J19" i="2"/>
  <c r="J20" i="2" s="1"/>
  <c r="I19" i="2"/>
  <c r="I20" i="2" s="1"/>
  <c r="H19" i="2"/>
  <c r="H20" i="2" s="1"/>
  <c r="G19" i="2"/>
  <c r="G20" i="2" s="1"/>
  <c r="F19" i="2"/>
  <c r="F20" i="2" s="1"/>
  <c r="E19" i="2"/>
  <c r="E20" i="2" s="1"/>
  <c r="D19" i="2"/>
  <c r="D20" i="2" s="1"/>
  <c r="C19" i="2"/>
  <c r="C20" i="2" s="1"/>
  <c r="B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E33" i="1"/>
  <c r="E29" i="1"/>
  <c r="E28" i="1"/>
  <c r="E27" i="1"/>
  <c r="E31" i="1" s="1"/>
  <c r="E32" i="1" s="1"/>
</calcChain>
</file>

<file path=xl/sharedStrings.xml><?xml version="1.0" encoding="utf-8"?>
<sst xmlns="http://schemas.openxmlformats.org/spreadsheetml/2006/main" count="1184" uniqueCount="794">
  <si>
    <r>
      <rPr>
        <b/>
        <sz val="14"/>
        <color rgb="FF1F4E78"/>
        <rFont val="Arial"/>
        <family val="2"/>
        <charset val="1"/>
      </rPr>
      <t>SIDEX-ACDR2026</t>
    </r>
    <r>
      <rPr>
        <b/>
        <sz val="14"/>
        <color rgb="FF1F4E78"/>
        <rFont val="WenQuanYi Zen Hei"/>
        <family val="2"/>
      </rPr>
      <t>（シンガポール</t>
    </r>
    <r>
      <rPr>
        <b/>
        <sz val="14"/>
        <color rgb="FF1F4E78"/>
        <rFont val="Arial"/>
        <family val="2"/>
        <charset val="1"/>
      </rPr>
      <t>, 2026/10/27-30</t>
    </r>
    <r>
      <rPr>
        <b/>
        <sz val="14"/>
        <color rgb="FF1F4E78"/>
        <rFont val="WenQuanYi Zen Hei"/>
        <family val="2"/>
      </rPr>
      <t>）</t>
    </r>
    <r>
      <rPr>
        <b/>
        <sz val="14"/>
        <color rgb="FF1F4E78"/>
        <rFont val="Arial"/>
        <family val="2"/>
        <charset val="1"/>
      </rPr>
      <t>ADRC</t>
    </r>
    <r>
      <rPr>
        <b/>
        <sz val="14"/>
        <color rgb="FF1F4E78"/>
        <rFont val="WenQuanYi Zen Hei"/>
        <family val="2"/>
      </rPr>
      <t>派遣スタッフ一覧と判定</t>
    </r>
  </si>
  <si>
    <t>作成: 2026/9/4（第1版・所内打合せ用ドラフト）　根拠: Gmail（ACDR2026関連スレッド）、Googleドライブ（ACDR2026事前協議チェックリスト、月次ToDo、動態表ACDR2023）、添付（ホテル部屋数検討用リスト_tt.xlsx 8/28、ACDR2026予算.xlsx 8/21、ACDR2026_Demarcation_asof0805.pptx、Draft Agenda 0805r）／v1（9/4）: 日本側サポート（中村・山口）を追記。根拠: ACDR2025動態表(as of 11/26)・荒木田9/4指示／v1_3（9/4）: 児玉修正（宮木・児玉・池田・Gerryフライト、Gerry=研究部次長）を反映し、関連セルを更新。寺坂→立部の備考取り違えを修正（児玉指摘）</t>
  </si>
  <si>
    <t>No.</t>
  </si>
  <si>
    <t>氏名</t>
  </si>
  <si>
    <t>Name</t>
  </si>
  <si>
    <t>役職</t>
  </si>
  <si>
    <t>現地参加の確定度</t>
  </si>
  <si>
    <t>往路</t>
  </si>
  <si>
    <t>復路</t>
  </si>
  <si>
    <t>宿泊</t>
  </si>
  <si>
    <t>デマケ上の担当（8/6版）</t>
  </si>
  <si>
    <t>会期中の主な現地役割（本表での想定）</t>
  </si>
  <si>
    <t>要確認・備考</t>
  </si>
  <si>
    <t>三浦 房紀</t>
  </si>
  <si>
    <t>MIURA Fusanori</t>
  </si>
  <si>
    <t>センター長(Chairman)</t>
  </si>
  <si>
    <t>確定</t>
  </si>
  <si>
    <r>
      <rPr>
        <sz val="10"/>
        <color rgb="FF000000"/>
        <rFont val="Arial"/>
        <family val="2"/>
        <charset val="1"/>
      </rPr>
      <t xml:space="preserve">10/26 SQ655 </t>
    </r>
    <r>
      <rPr>
        <sz val="10"/>
        <color rgb="FF000000"/>
        <rFont val="WenQuanYi Zen Hei"/>
        <family val="2"/>
      </rPr>
      <t>福岡</t>
    </r>
    <r>
      <rPr>
        <sz val="10"/>
        <color rgb="FF000000"/>
        <rFont val="Arial"/>
        <family val="2"/>
        <charset val="1"/>
      </rPr>
      <t>09:30→SIN15:00</t>
    </r>
  </si>
  <si>
    <r>
      <rPr>
        <sz val="10"/>
        <color rgb="FF000000"/>
        <rFont val="Arial"/>
        <family val="2"/>
        <charset val="1"/>
      </rPr>
      <t>10/31 SQ656 SIN01:20→</t>
    </r>
    <r>
      <rPr>
        <sz val="10"/>
        <color rgb="FF000000"/>
        <rFont val="WenQuanYi Zen Hei"/>
        <family val="2"/>
      </rPr>
      <t>福岡</t>
    </r>
    <r>
      <rPr>
        <sz val="10"/>
        <color rgb="FF000000"/>
        <rFont val="Arial"/>
        <family val="2"/>
        <charset val="1"/>
      </rPr>
      <t>08:10</t>
    </r>
  </si>
  <si>
    <r>
      <rPr>
        <sz val="10"/>
        <color rgb="FF000000"/>
        <rFont val="Arial"/>
        <family val="2"/>
        <charset val="1"/>
      </rPr>
      <t>Dorsett 10/26-30 (5</t>
    </r>
    <r>
      <rPr>
        <sz val="10"/>
        <color rgb="FF000000"/>
        <rFont val="WenQuanYi Zen Hei"/>
        <family val="2"/>
      </rPr>
      <t>泊</t>
    </r>
    <r>
      <rPr>
        <sz val="10"/>
        <color rgb="FF000000"/>
        <rFont val="Arial"/>
        <family val="2"/>
        <charset val="1"/>
      </rPr>
      <t>)</t>
    </r>
  </si>
  <si>
    <r>
      <rPr>
        <sz val="10"/>
        <color rgb="FF000000"/>
        <rFont val="Arial"/>
        <family val="2"/>
        <charset val="1"/>
      </rPr>
      <t xml:space="preserve">ACDR2026 Opening </t>
    </r>
    <r>
      <rPr>
        <sz val="10"/>
        <color rgb="FF000000"/>
        <rFont val="WenQuanYi Zen Hei"/>
        <family val="2"/>
      </rPr>
      <t>挨拶／</t>
    </r>
    <r>
      <rPr>
        <sz val="10"/>
        <color rgb="FF000000"/>
        <rFont val="Arial"/>
        <family val="2"/>
        <charset val="1"/>
      </rPr>
      <t>SC</t>
    </r>
    <r>
      <rPr>
        <sz val="10"/>
        <color rgb="FF000000"/>
        <rFont val="WenQuanYi Zen Hei"/>
        <family val="2"/>
      </rPr>
      <t>出席</t>
    </r>
  </si>
  <si>
    <r>
      <rPr>
        <sz val="10"/>
        <color rgb="FF000000"/>
        <rFont val="Arial"/>
        <family val="2"/>
        <charset val="1"/>
      </rPr>
      <t>VIP</t>
    </r>
    <r>
      <rPr>
        <sz val="10"/>
        <color rgb="FF000000"/>
        <rFont val="WenQuanYi Zen Hei"/>
        <family val="2"/>
      </rPr>
      <t>対応（</t>
    </r>
    <r>
      <rPr>
        <sz val="10"/>
        <color rgb="FF000000"/>
        <rFont val="Arial"/>
        <family val="2"/>
        <charset val="1"/>
      </rPr>
      <t>ADRC</t>
    </r>
    <r>
      <rPr>
        <sz val="10"/>
        <color rgb="FF000000"/>
        <rFont val="WenQuanYi Zen Hei"/>
        <family val="2"/>
      </rPr>
      <t>代表）。</t>
    </r>
    <r>
      <rPr>
        <sz val="10"/>
        <color rgb="FF000000"/>
        <rFont val="Arial"/>
        <family val="2"/>
        <charset val="1"/>
      </rPr>
      <t>Opening (12:45)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  <charset val="1"/>
      </rPr>
      <t>Roundtable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  <charset val="1"/>
      </rPr>
      <t>SC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  <charset val="1"/>
      </rPr>
      <t>Gala</t>
    </r>
    <r>
      <rPr>
        <sz val="10"/>
        <color rgb="FF000000"/>
        <rFont val="WenQuanYi Zen Hei"/>
        <family val="2"/>
      </rPr>
      <t>、大使公邸レセプション、</t>
    </r>
    <r>
      <rPr>
        <sz val="10"/>
        <color rgb="FF000000"/>
        <rFont val="Arial"/>
        <family val="2"/>
        <charset val="1"/>
      </rPr>
      <t>SIDEX Keynote</t>
    </r>
    <r>
      <rPr>
        <sz val="10"/>
        <color rgb="FF000000"/>
        <rFont val="WenQuanYi Zen Hei"/>
        <family val="2"/>
      </rPr>
      <t>出席</t>
    </r>
  </si>
  <si>
    <t>パスポート更新済み（7月）。復路は10/30深夜発扱い</t>
  </si>
  <si>
    <t>北本 政行</t>
  </si>
  <si>
    <t>KITAMOTO Masayuki</t>
  </si>
  <si>
    <t>常務理事</t>
  </si>
  <si>
    <r>
      <rPr>
        <sz val="10"/>
        <color rgb="FF000000"/>
        <rFont val="Arial"/>
        <family val="2"/>
        <charset val="1"/>
      </rPr>
      <t xml:space="preserve">10/26 SQ637 </t>
    </r>
    <r>
      <rPr>
        <sz val="10"/>
        <color rgb="FF000000"/>
        <rFont val="WenQuanYi Zen Hei"/>
        <family val="2"/>
      </rPr>
      <t>成田</t>
    </r>
    <r>
      <rPr>
        <sz val="10"/>
        <color rgb="FF000000"/>
        <rFont val="Arial"/>
        <family val="2"/>
        <charset val="1"/>
      </rPr>
      <t>10:00→SIN16:30</t>
    </r>
  </si>
  <si>
    <r>
      <rPr>
        <sz val="10"/>
        <color rgb="FF000000"/>
        <rFont val="Arial"/>
        <family val="2"/>
        <charset val="1"/>
      </rPr>
      <t>10/30 SQ638 SIN23:55→</t>
    </r>
    <r>
      <rPr>
        <sz val="10"/>
        <color rgb="FF000000"/>
        <rFont val="WenQuanYi Zen Hei"/>
        <family val="2"/>
      </rPr>
      <t>成田</t>
    </r>
    <r>
      <rPr>
        <sz val="10"/>
        <color rgb="FF000000"/>
        <rFont val="Arial"/>
        <family val="2"/>
        <charset val="1"/>
      </rPr>
      <t>10/31 07:30</t>
    </r>
  </si>
  <si>
    <t>（役員として出席）</t>
  </si>
  <si>
    <r>
      <rPr>
        <sz val="10"/>
        <color rgb="FF000000"/>
        <rFont val="Arial"/>
        <family val="2"/>
        <charset val="1"/>
      </rPr>
      <t>VIP</t>
    </r>
    <r>
      <rPr>
        <sz val="10"/>
        <color rgb="FF000000"/>
        <rFont val="WenQuanYi Zen Hei"/>
        <family val="2"/>
      </rPr>
      <t>対応。初参加のため事前ブリーフィング要。</t>
    </r>
    <r>
      <rPr>
        <sz val="10"/>
        <color rgb="FF000000"/>
        <rFont val="Arial"/>
        <family val="2"/>
        <charset val="1"/>
      </rPr>
      <t>10/30</t>
    </r>
    <r>
      <rPr>
        <sz val="10"/>
        <color rgb="FF000000"/>
        <rFont val="WenQuanYi Zen Hei"/>
        <family val="2"/>
      </rPr>
      <t>は最終日夜に出発</t>
    </r>
  </si>
  <si>
    <t>初参加。8/7・9/4打合せに出席。Dorsett宿泊は8/28リストで確認</t>
  </si>
  <si>
    <t>宮木 一寛</t>
  </si>
  <si>
    <t>MIYAKI Kazuhiro</t>
  </si>
  <si>
    <t>所長</t>
  </si>
  <si>
    <t>確定（フライト要確認）</t>
  </si>
  <si>
    <t>10/25 NH2178 ITM 14:00 → NRT 15:30   NH803 NRT 17:00 → SIN 23:40</t>
  </si>
  <si>
    <t xml:space="preserve">10/31 NH802 SIN 06:35 → NRT 14:30   </t>
  </si>
  <si>
    <t>要確認：Dorsettシート「所長」行(10/26-30)とHotel Miシート(M)の両方に記載。10/25 23:40着のため10/25泊の追加要</t>
  </si>
  <si>
    <t>全体総括／内閣府との連絡調整／Bi-meeting／SC議長(内閣府)との調整／広報(記者クラブ)</t>
  </si>
  <si>
    <t>内閣府 林副大臣級（林正道 政策統括官）随行・バイ会談設定。Opening/VIP Tour/表敬に同行。SC進行補佐</t>
  </si>
  <si>
    <t>フライト確定（児玉 9/4）。宿泊先（Dorsett/Hotel Mi）と10/25泊の追加手配を要確認</t>
  </si>
  <si>
    <t>児玉 美樹</t>
  </si>
  <si>
    <t>KODAMA Miki</t>
  </si>
  <si>
    <t>研究部長</t>
  </si>
  <si>
    <t>10/31 NH802 SIN 06:35 → NRT 14:30   NH2177 NRT 17:35 → ITM 19:00</t>
  </si>
  <si>
    <r>
      <rPr>
        <sz val="10"/>
        <color rgb="FF000000"/>
        <rFont val="Arial"/>
        <family val="2"/>
        <charset val="1"/>
      </rPr>
      <t>Hotel Mi Bencoolen</t>
    </r>
    <r>
      <rPr>
        <sz val="10"/>
        <color rgb="FF000000"/>
        <rFont val="WenQuanYi Zen Hei"/>
        <family val="2"/>
      </rPr>
      <t>（</t>
    </r>
    <r>
      <rPr>
        <sz val="10"/>
        <color rgb="FF000000"/>
        <rFont val="Arial"/>
        <family val="2"/>
        <charset val="1"/>
      </rPr>
      <t>M</t>
    </r>
    <r>
      <rPr>
        <sz val="10"/>
        <color rgb="FF000000"/>
        <rFont val="WenQuanYi Zen Hei"/>
        <family val="2"/>
      </rPr>
      <t>シート</t>
    </r>
    <r>
      <rPr>
        <sz val="10"/>
        <color rgb="FF000000"/>
        <rFont val="Arial"/>
        <family val="2"/>
        <charset val="1"/>
      </rPr>
      <t>: 10/26-30</t>
    </r>
    <r>
      <rPr>
        <sz val="10"/>
        <color rgb="FF000000"/>
        <rFont val="WenQuanYi Zen Hei"/>
        <family val="2"/>
      </rPr>
      <t>）→</t>
    </r>
    <r>
      <rPr>
        <sz val="10"/>
        <color rgb="FF000000"/>
        <rFont val="Arial"/>
        <family val="2"/>
        <charset val="1"/>
      </rPr>
      <t>10/25</t>
    </r>
    <r>
      <rPr>
        <sz val="10"/>
        <color rgb="FF000000"/>
        <rFont val="WenQuanYi Zen Hei"/>
        <family val="2"/>
      </rPr>
      <t>泊の追加要</t>
    </r>
  </si>
  <si>
    <r>
      <rPr>
        <sz val="10"/>
        <color rgb="FF000000"/>
        <rFont val="Arial"/>
        <family val="2"/>
        <charset val="1"/>
      </rPr>
      <t>Bi-meeting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Welcome Reception(Program, MC)</t>
    </r>
    <r>
      <rPr>
        <sz val="10"/>
        <color rgb="FF000000"/>
        <rFont val="WenQuanYi Zen Hei"/>
        <family val="2"/>
      </rPr>
      <t>／レセプション手配／</t>
    </r>
    <r>
      <rPr>
        <sz val="10"/>
        <color rgb="FF000000"/>
        <rFont val="Arial"/>
        <family val="2"/>
        <charset val="1"/>
      </rPr>
      <t>PC</t>
    </r>
    <r>
      <rPr>
        <sz val="10"/>
        <color rgb="FF000000"/>
        <rFont val="WenQuanYi Zen Hei"/>
        <family val="2"/>
      </rPr>
      <t>等機材サポート</t>
    </r>
  </si>
  <si>
    <t>副総括的な現場統括。大使公邸レセプション（10/27）の進行・MC、COSEM(Sylvia)との現地調整、内閣府随行</t>
  </si>
  <si>
    <t>フライト確定（児玉 9/4）。10/25 23:40着のためHotel Miの10/25泊を追加手配要。10/31 06:35発で最終日朝の見送りは不可</t>
  </si>
  <si>
    <t>荒木田 勝</t>
  </si>
  <si>
    <t>ARAKIDA Masaru</t>
  </si>
  <si>
    <t>リサーチフェロー</t>
  </si>
  <si>
    <r>
      <rPr>
        <sz val="10"/>
        <color rgb="FF000000"/>
        <rFont val="Arial"/>
        <family val="2"/>
        <charset val="1"/>
      </rPr>
      <t xml:space="preserve">10/26 NH843 </t>
    </r>
    <r>
      <rPr>
        <sz val="10"/>
        <color rgb="FF000000"/>
        <rFont val="WenQuanYi Zen Hei"/>
        <family val="2"/>
      </rPr>
      <t>羽田</t>
    </r>
    <r>
      <rPr>
        <sz val="10"/>
        <color rgb="FF000000"/>
        <rFont val="Arial"/>
        <family val="2"/>
        <charset val="1"/>
      </rPr>
      <t>00:25→SIN06:55</t>
    </r>
  </si>
  <si>
    <r>
      <rPr>
        <sz val="10"/>
        <color rgb="FF000000"/>
        <rFont val="Arial"/>
        <family val="2"/>
        <charset val="1"/>
      </rPr>
      <t>10/30 NH844 SIN22:20→</t>
    </r>
    <r>
      <rPr>
        <sz val="10"/>
        <color rgb="FF000000"/>
        <rFont val="WenQuanYi Zen Hei"/>
        <family val="2"/>
      </rPr>
      <t>羽田</t>
    </r>
    <r>
      <rPr>
        <sz val="10"/>
        <color rgb="FF000000"/>
        <rFont val="Arial"/>
        <family val="2"/>
        <charset val="1"/>
      </rPr>
      <t>10/31 05:55</t>
    </r>
  </si>
  <si>
    <r>
      <rPr>
        <sz val="10"/>
        <color rgb="FF000000"/>
        <rFont val="Arial"/>
        <family val="2"/>
        <charset val="1"/>
      </rPr>
      <t>Hotel Mi Bencoolen</t>
    </r>
    <r>
      <rPr>
        <sz val="10"/>
        <color rgb="FF000000"/>
        <rFont val="WenQuanYi Zen Hei"/>
        <family val="2"/>
      </rPr>
      <t>（</t>
    </r>
    <r>
      <rPr>
        <sz val="10"/>
        <color rgb="FF000000"/>
        <rFont val="Arial"/>
        <family val="2"/>
        <charset val="1"/>
      </rPr>
      <t>M</t>
    </r>
    <r>
      <rPr>
        <sz val="10"/>
        <color rgb="FF000000"/>
        <rFont val="WenQuanYi Zen Hei"/>
        <family val="2"/>
      </rPr>
      <t>シート</t>
    </r>
    <r>
      <rPr>
        <sz val="10"/>
        <color rgb="FF000000"/>
        <rFont val="Arial"/>
        <family val="2"/>
        <charset val="1"/>
      </rPr>
      <t>: 10/26-30</t>
    </r>
    <r>
      <rPr>
        <sz val="10"/>
        <color rgb="FF000000"/>
        <rFont val="WenQuanYi Zen Hei"/>
        <family val="2"/>
      </rPr>
      <t>）</t>
    </r>
  </si>
  <si>
    <t>総括(PL)／Opening &amp; Closing／SIDEX Conference／Field Trip／会場手配・機材／Zoom当日</t>
  </si>
  <si>
    <t>全体統括。Opening/Closing進行、会場・AV・Zoom/AI翻訳の当日運用、Field Trip引率、Google等リソース対応</t>
  </si>
  <si>
    <r>
      <rPr>
        <sz val="10"/>
        <color rgb="FF000000"/>
        <rFont val="Arial"/>
        <family val="2"/>
        <charset val="1"/>
      </rPr>
      <t>10/30 22:20</t>
    </r>
    <r>
      <rPr>
        <sz val="10"/>
        <color rgb="FF000000"/>
        <rFont val="WenQuanYi Zen Hei"/>
        <family val="2"/>
      </rPr>
      <t>発のため</t>
    </r>
    <r>
      <rPr>
        <sz val="10"/>
        <color rgb="FF000000"/>
        <rFont val="Arial"/>
        <family val="2"/>
        <charset val="1"/>
      </rPr>
      <t>Closing</t>
    </r>
    <r>
      <rPr>
        <sz val="10"/>
        <color rgb="FF000000"/>
        <rFont val="WenQuanYi Zen Hei"/>
        <family val="2"/>
      </rPr>
      <t>後〜</t>
    </r>
    <r>
      <rPr>
        <sz val="10"/>
        <color rgb="FF000000"/>
        <rFont val="Arial"/>
        <family val="2"/>
        <charset val="1"/>
      </rPr>
      <t>Day3</t>
    </r>
    <r>
      <rPr>
        <sz val="10"/>
        <color rgb="FF000000"/>
        <rFont val="WenQuanYi Zen Hei"/>
        <family val="2"/>
      </rPr>
      <t>午後まで在場。</t>
    </r>
  </si>
  <si>
    <t>吉田 真紀</t>
  </si>
  <si>
    <t>YOSHIDA Maki</t>
  </si>
  <si>
    <t>プロジェクト研究員（ジュネーブ）</t>
  </si>
  <si>
    <r>
      <rPr>
        <sz val="10"/>
        <color rgb="FF000000"/>
        <rFont val="Arial"/>
        <family val="2"/>
        <charset val="1"/>
      </rPr>
      <t>10/25 TK1918 GVA10:45→IST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TK208 IST18:30→SIN 10/26 09:55</t>
    </r>
  </si>
  <si>
    <r>
      <rPr>
        <sz val="10"/>
        <color rgb="FF000000"/>
        <rFont val="Arial"/>
        <family val="2"/>
        <charset val="1"/>
      </rPr>
      <t>10/30 TK55 SIN23:15→IST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TK1917→GVA 10/31 09:25</t>
    </r>
  </si>
  <si>
    <r>
      <rPr>
        <sz val="10"/>
        <color rgb="FF000000"/>
        <rFont val="Arial"/>
        <family val="2"/>
        <charset val="1"/>
      </rPr>
      <t>Roundtable(PIC)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Announcement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Web</t>
    </r>
    <r>
      <rPr>
        <sz val="10"/>
        <color rgb="FF000000"/>
        <rFont val="WenQuanYi Zen Hei"/>
        <family val="2"/>
      </rPr>
      <t>登録・コレポン／航空券</t>
    </r>
    <r>
      <rPr>
        <sz val="10"/>
        <color rgb="FF000000"/>
        <rFont val="Arial"/>
        <family val="2"/>
        <charset val="1"/>
      </rPr>
      <t>(</t>
    </r>
    <r>
      <rPr>
        <sz val="10"/>
        <color rgb="FF000000"/>
        <rFont val="WenQuanYi Zen Hei"/>
        <family val="2"/>
      </rPr>
      <t>メンバー国</t>
    </r>
    <r>
      <rPr>
        <sz val="10"/>
        <color rgb="FF000000"/>
        <rFont val="Arial"/>
        <family val="2"/>
        <charset val="1"/>
      </rPr>
      <t>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Field Trip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Welcome Reception</t>
    </r>
  </si>
  <si>
    <r>
      <rPr>
        <sz val="10"/>
        <color rgb="FF000000"/>
        <rFont val="Arial"/>
        <family val="2"/>
        <charset val="1"/>
      </rPr>
      <t>Roundtable</t>
    </r>
    <r>
      <rPr>
        <sz val="10"/>
        <color rgb="FF000000"/>
        <rFont val="WenQuanYi Zen Hei"/>
        <family val="2"/>
      </rPr>
      <t>セッション運営（ステートメント回収・共同モデレーター補佐）、レセプション進行補佐、</t>
    </r>
    <r>
      <rPr>
        <sz val="10"/>
        <color rgb="FF000000"/>
        <rFont val="Arial"/>
        <family val="2"/>
        <charset val="1"/>
      </rPr>
      <t>Field Trip</t>
    </r>
    <r>
      <rPr>
        <sz val="10"/>
        <color rgb="FF000000"/>
        <rFont val="WenQuanYi Zen Hei"/>
        <family val="2"/>
      </rPr>
      <t>引率、参加者対応</t>
    </r>
  </si>
  <si>
    <t>リストの到着日10/27は誤り（フライトは10/26 09:55着）→ ホテル1泊分を要確認</t>
  </si>
  <si>
    <t>藤中 純子</t>
  </si>
  <si>
    <t>FUJINAKA Junko</t>
  </si>
  <si>
    <t>管理部</t>
  </si>
  <si>
    <r>
      <rPr>
        <sz val="10"/>
        <color rgb="FF000000"/>
        <rFont val="Arial"/>
        <family val="2"/>
        <charset val="1"/>
      </rPr>
      <t xml:space="preserve">10/25 TR819 </t>
    </r>
    <r>
      <rPr>
        <sz val="10"/>
        <color rgb="FF000000"/>
        <rFont val="WenQuanYi Zen Hei"/>
        <family val="2"/>
      </rPr>
      <t>関空</t>
    </r>
    <r>
      <rPr>
        <sz val="10"/>
        <color rgb="FF000000"/>
        <rFont val="Arial"/>
        <family val="2"/>
        <charset val="1"/>
      </rPr>
      <t>11:30→SIN17:30</t>
    </r>
  </si>
  <si>
    <r>
      <rPr>
        <sz val="10"/>
        <color rgb="FF000000"/>
        <rFont val="Arial"/>
        <family val="2"/>
        <charset val="1"/>
      </rPr>
      <t>11/1 TR818 SIN03:05→</t>
    </r>
    <r>
      <rPr>
        <sz val="10"/>
        <color rgb="FF000000"/>
        <rFont val="WenQuanYi Zen Hei"/>
        <family val="2"/>
      </rPr>
      <t>関空</t>
    </r>
    <r>
      <rPr>
        <sz val="10"/>
        <color rgb="FF000000"/>
        <rFont val="Arial"/>
        <family val="2"/>
        <charset val="1"/>
      </rPr>
      <t>10:15</t>
    </r>
  </si>
  <si>
    <r>
      <rPr>
        <sz val="10"/>
        <color rgb="FF000000"/>
        <rFont val="Arial"/>
        <family val="2"/>
        <charset val="1"/>
      </rPr>
      <t>Hotel Mi Bencoolen 10/25-31 (7</t>
    </r>
    <r>
      <rPr>
        <sz val="10"/>
        <color rgb="FF000000"/>
        <rFont val="WenQuanYi Zen Hei"/>
        <family val="2"/>
      </rPr>
      <t>泊</t>
    </r>
    <r>
      <rPr>
        <sz val="10"/>
        <color rgb="FF000000"/>
        <rFont val="Arial"/>
        <family val="2"/>
        <charset val="1"/>
      </rPr>
      <t>)</t>
    </r>
  </si>
  <si>
    <t>レセプション手配／予算管理／契約・支払／宿泊・送迎の確認／SC議案・会計報告</t>
  </si>
  <si>
    <t>受付デスク（会場・レセプション）、ホテル・バス・支払の現地対応、SC事務、日当支払</t>
  </si>
  <si>
    <t>先発隊。10/25着で前日準備</t>
  </si>
  <si>
    <t>田中 智美</t>
  </si>
  <si>
    <t>TANAKA Tomomi</t>
  </si>
  <si>
    <t>事務局(ACDR2026 Secretariat)</t>
  </si>
  <si>
    <r>
      <rPr>
        <sz val="10"/>
        <color rgb="FF000000"/>
        <rFont val="Arial"/>
        <family val="2"/>
        <charset val="1"/>
      </rPr>
      <t>Announcement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Web</t>
    </r>
    <r>
      <rPr>
        <sz val="10"/>
        <color rgb="FF000000"/>
        <rFont val="WenQuanYi Zen Hei"/>
        <family val="2"/>
      </rPr>
      <t>登録確認・コレポン／航空券／</t>
    </r>
    <r>
      <rPr>
        <sz val="10"/>
        <color rgb="FF000000"/>
        <rFont val="Arial"/>
        <family val="2"/>
        <charset val="1"/>
      </rPr>
      <t>VISA</t>
    </r>
    <r>
      <rPr>
        <sz val="10"/>
        <color rgb="FF000000"/>
        <rFont val="WenQuanYi Zen Hei"/>
        <family val="2"/>
      </rPr>
      <t>／宿泊・送迎</t>
    </r>
    <r>
      <rPr>
        <sz val="10"/>
        <color rgb="FF000000"/>
        <rFont val="Arial"/>
        <family val="2"/>
        <charset val="1"/>
      </rPr>
      <t>(COSEM</t>
    </r>
    <r>
      <rPr>
        <sz val="10"/>
        <color rgb="FF000000"/>
        <rFont val="WenQuanYi Zen Hei"/>
        <family val="2"/>
      </rPr>
      <t>調整</t>
    </r>
    <r>
      <rPr>
        <sz val="10"/>
        <color rgb="FF000000"/>
        <rFont val="Arial"/>
        <family val="2"/>
        <charset val="1"/>
      </rPr>
      <t>)</t>
    </r>
    <r>
      <rPr>
        <sz val="10"/>
        <color rgb="FF000000"/>
        <rFont val="WenQuanYi Zen Hei"/>
        <family val="2"/>
      </rPr>
      <t>／お礼状／日当</t>
    </r>
  </si>
  <si>
    <t>受付デスク（会場・レセプション）、参加者リスト・名札(QR)管理、ホテル・送迎の現地コレポン、リソース対応</t>
  </si>
  <si>
    <t>先発隊。</t>
  </si>
  <si>
    <t>池田　誠</t>
  </si>
  <si>
    <t>IKEDA Makoto</t>
  </si>
  <si>
    <t>主任研究員</t>
  </si>
  <si>
    <t>確定（便名要確認）</t>
  </si>
  <si>
    <r>
      <rPr>
        <sz val="10"/>
        <color rgb="FF000000"/>
        <rFont val="Arial"/>
        <family val="2"/>
        <charset val="1"/>
      </rPr>
      <t xml:space="preserve">10/26 SQ619  </t>
    </r>
    <r>
      <rPr>
        <sz val="10"/>
        <color rgb="FF000000"/>
        <rFont val="WenQuanYi Zen Hei"/>
        <family val="2"/>
      </rPr>
      <t>関空</t>
    </r>
    <r>
      <rPr>
        <sz val="10"/>
        <color rgb="FF000000"/>
        <rFont val="Arial"/>
        <family val="2"/>
        <charset val="1"/>
      </rPr>
      <t>10:05→SIN16:00</t>
    </r>
  </si>
  <si>
    <r>
      <rPr>
        <sz val="10"/>
        <color rgb="FF000000"/>
        <rFont val="Arial"/>
        <family val="2"/>
        <charset val="1"/>
      </rPr>
      <t>10/31 SQ622 SIN01:30→</t>
    </r>
    <r>
      <rPr>
        <sz val="10"/>
        <color rgb="FF000000"/>
        <rFont val="WenQuanYi Zen Hei"/>
        <family val="2"/>
      </rPr>
      <t>関空</t>
    </r>
    <r>
      <rPr>
        <sz val="10"/>
        <color rgb="FF000000"/>
        <rFont val="Arial"/>
        <family val="2"/>
        <charset val="1"/>
      </rPr>
      <t>08:35</t>
    </r>
  </si>
  <si>
    <r>
      <rPr>
        <sz val="10"/>
        <color rgb="FF000000"/>
        <rFont val="Arial"/>
        <family val="2"/>
        <charset val="1"/>
      </rPr>
      <t>Hotel Mi Bencoolen</t>
    </r>
    <r>
      <rPr>
        <sz val="10"/>
        <color rgb="FF000000"/>
        <rFont val="WenQuanYi Zen Hei"/>
        <family val="2"/>
      </rPr>
      <t>（候補欄・未割当）</t>
    </r>
  </si>
  <si>
    <r>
      <rPr>
        <sz val="10"/>
        <color rgb="FF000000"/>
        <rFont val="Arial"/>
        <family val="2"/>
        <charset val="1"/>
      </rPr>
      <t>Technical Session(PIC)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SIDEX Exhibition</t>
    </r>
    <r>
      <rPr>
        <sz val="10"/>
        <color rgb="FF000000"/>
        <rFont val="WenQuanYi Zen Hei"/>
        <family val="2"/>
      </rPr>
      <t>調整／会場手配・機材／</t>
    </r>
    <r>
      <rPr>
        <sz val="10"/>
        <color rgb="FF000000"/>
        <rFont val="Arial"/>
        <family val="2"/>
        <charset val="1"/>
      </rPr>
      <t>PC</t>
    </r>
    <r>
      <rPr>
        <sz val="10"/>
        <color rgb="FF000000"/>
        <rFont val="WenQuanYi Zen Hei"/>
        <family val="2"/>
      </rPr>
      <t>等機材</t>
    </r>
  </si>
  <si>
    <r>
      <rPr>
        <sz val="10"/>
        <color rgb="FF000000"/>
        <rFont val="Arial"/>
        <family val="2"/>
        <charset val="1"/>
      </rPr>
      <t>Technical Session</t>
    </r>
    <r>
      <rPr>
        <sz val="10"/>
        <color rgb="FF000000"/>
        <rFont val="WenQuanYi Zen Hei"/>
        <family val="2"/>
      </rPr>
      <t>運営（登壇者対応・進行）、</t>
    </r>
    <r>
      <rPr>
        <sz val="10"/>
        <color rgb="FF000000"/>
        <rFont val="Arial"/>
        <family val="2"/>
        <charset val="1"/>
      </rPr>
      <t>AV/PC</t>
    </r>
    <r>
      <rPr>
        <sz val="10"/>
        <color rgb="FF000000"/>
        <rFont val="WenQuanYi Zen Hei"/>
        <family val="2"/>
      </rPr>
      <t>操作（</t>
    </r>
    <r>
      <rPr>
        <sz val="10"/>
        <color rgb="FF000000"/>
        <rFont val="Arial"/>
        <family val="2"/>
        <charset val="1"/>
      </rPr>
      <t>Day1</t>
    </r>
    <r>
      <rPr>
        <sz val="10"/>
        <color rgb="FF000000"/>
        <rFont val="WenQuanYi Zen Hei"/>
        <family val="2"/>
      </rPr>
      <t>）、</t>
    </r>
    <r>
      <rPr>
        <sz val="10"/>
        <color rgb="FF000000"/>
        <rFont val="Arial"/>
        <family val="2"/>
        <charset val="1"/>
      </rPr>
      <t>SIDEX</t>
    </r>
    <r>
      <rPr>
        <sz val="10"/>
        <color rgb="FF000000"/>
        <rFont val="WenQuanYi Zen Hei"/>
        <family val="2"/>
      </rPr>
      <t>展示・</t>
    </r>
    <r>
      <rPr>
        <sz val="10"/>
        <color rgb="FF000000"/>
        <rFont val="Arial"/>
        <family val="2"/>
        <charset val="1"/>
      </rPr>
      <t>Japan Pavilion</t>
    </r>
    <r>
      <rPr>
        <sz val="10"/>
        <color rgb="FF000000"/>
        <rFont val="WenQuanYi Zen Hei"/>
        <family val="2"/>
      </rPr>
      <t>連携</t>
    </r>
  </si>
  <si>
    <t>便名確定（児玉 9/4）。復路の表記要確認: K Line見積(7/30)ではSQ622=14:25発→21:25着、01:30発→08:35着はSQ618</t>
  </si>
  <si>
    <t>ジェラルド・エヘム・ポトゥタン</t>
  </si>
  <si>
    <t>Gerald Ejem Potutan</t>
  </si>
  <si>
    <t>研究部次長</t>
  </si>
  <si>
    <t>副総括／Concept Note／Roundtable／Draft Summary／広報／SCサマリーメモ</t>
  </si>
  <si>
    <r>
      <rPr>
        <sz val="10"/>
        <color rgb="FF000000"/>
        <rFont val="Arial"/>
        <family val="2"/>
        <charset val="1"/>
      </rPr>
      <t>Roundtable</t>
    </r>
    <r>
      <rPr>
        <sz val="10"/>
        <color rgb="FF000000"/>
        <rFont val="WenQuanYi Zen Hei"/>
        <family val="2"/>
      </rPr>
      <t>共同運営、</t>
    </r>
    <r>
      <rPr>
        <sz val="10"/>
        <color rgb="FF000000"/>
        <rFont val="Arial"/>
        <family val="2"/>
        <charset val="1"/>
      </rPr>
      <t>Draft Summary</t>
    </r>
    <r>
      <rPr>
        <sz val="10"/>
        <color rgb="FF000000"/>
        <rFont val="WenQuanYi Zen Hei"/>
        <family val="2"/>
      </rPr>
      <t>執筆（</t>
    </r>
    <r>
      <rPr>
        <sz val="10"/>
        <color rgb="FF000000"/>
        <rFont val="Arial"/>
        <family val="2"/>
        <charset val="1"/>
      </rPr>
      <t>Day1</t>
    </r>
    <r>
      <rPr>
        <sz val="10"/>
        <color rgb="FF000000"/>
        <rFont val="WenQuanYi Zen Hei"/>
        <family val="2"/>
      </rPr>
      <t>夜〜</t>
    </r>
    <r>
      <rPr>
        <sz val="10"/>
        <color rgb="FF000000"/>
        <rFont val="Arial"/>
        <family val="2"/>
        <charset val="1"/>
      </rPr>
      <t>Day2</t>
    </r>
    <r>
      <rPr>
        <sz val="10"/>
        <color rgb="FF000000"/>
        <rFont val="WenQuanYi Zen Hei"/>
        <family val="2"/>
      </rPr>
      <t>朝）、</t>
    </r>
    <r>
      <rPr>
        <sz val="10"/>
        <color rgb="FF000000"/>
        <rFont val="Arial"/>
        <family val="2"/>
        <charset val="1"/>
      </rPr>
      <t>SC</t>
    </r>
    <r>
      <rPr>
        <sz val="10"/>
        <color rgb="FF000000"/>
        <rFont val="WenQuanYi Zen Hei"/>
        <family val="2"/>
      </rPr>
      <t>メモ、必要に応じ</t>
    </r>
    <r>
      <rPr>
        <sz val="10"/>
        <color rgb="FF000000"/>
        <rFont val="Arial"/>
        <family val="2"/>
        <charset val="1"/>
      </rPr>
      <t>Technical Session</t>
    </r>
    <r>
      <rPr>
        <sz val="10"/>
        <color rgb="FF000000"/>
        <rFont val="WenQuanYi Zen Hei"/>
        <family val="2"/>
      </rPr>
      <t>共同議長候補</t>
    </r>
  </si>
  <si>
    <t>ミザン　ビスリ</t>
  </si>
  <si>
    <t>Mizan Bisri</t>
  </si>
  <si>
    <t>研究員</t>
  </si>
  <si>
    <t>見込（手配未確認）</t>
  </si>
  <si>
    <t>未確認</t>
  </si>
  <si>
    <r>
      <rPr>
        <sz val="10"/>
        <color rgb="FF000000"/>
        <rFont val="Arial"/>
        <family val="2"/>
        <charset val="1"/>
      </rPr>
      <t>Technical Session(PIC)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SIDEX Exhibition</t>
    </r>
    <r>
      <rPr>
        <sz val="10"/>
        <color rgb="FF000000"/>
        <rFont val="WenQuanYi Zen Hei"/>
        <family val="2"/>
      </rPr>
      <t>調整／</t>
    </r>
    <r>
      <rPr>
        <sz val="10"/>
        <color rgb="FF000000"/>
        <rFont val="Arial"/>
        <family val="2"/>
        <charset val="1"/>
      </rPr>
      <t>Draft Summary</t>
    </r>
  </si>
  <si>
    <r>
      <rPr>
        <sz val="10"/>
        <color rgb="FF000000"/>
        <rFont val="Arial"/>
        <family val="2"/>
        <charset val="1"/>
      </rPr>
      <t>Technical Session ADRC</t>
    </r>
    <r>
      <rPr>
        <sz val="10"/>
        <color rgb="FF000000"/>
        <rFont val="WenQuanYi Zen Hei"/>
        <family val="2"/>
      </rPr>
      <t>側</t>
    </r>
    <r>
      <rPr>
        <sz val="10"/>
        <color rgb="FF000000"/>
        <rFont val="Arial"/>
        <family val="2"/>
        <charset val="1"/>
      </rPr>
      <t>Co-Chair</t>
    </r>
    <r>
      <rPr>
        <sz val="10"/>
        <color rgb="FF000000"/>
        <rFont val="WenQuanYi Zen Hei"/>
        <family val="2"/>
      </rPr>
      <t>（有力案）。登壇者（</t>
    </r>
    <r>
      <rPr>
        <sz val="10"/>
        <color rgb="FF000000"/>
        <rFont val="Arial"/>
        <family val="2"/>
        <charset val="1"/>
      </rPr>
      <t>JAXA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  <charset val="1"/>
      </rPr>
      <t>EOS-NTU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  <charset val="1"/>
      </rPr>
      <t>DOST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  <charset val="1"/>
      </rPr>
      <t>BRIN/</t>
    </r>
    <r>
      <rPr>
        <sz val="10"/>
        <color rgb="FF000000"/>
        <rFont val="WenQuanYi Zen Hei"/>
        <family val="2"/>
      </rPr>
      <t>ネパール代替・ウズベキスタン）との調整・当日進行</t>
    </r>
  </si>
  <si>
    <t>。出張が多く（8/23-29フィジー等）日程確保を至急確認</t>
  </si>
  <si>
    <t>藤本 絢子</t>
  </si>
  <si>
    <t>FUJIMOTO Ayako</t>
  </si>
  <si>
    <t>主任</t>
  </si>
  <si>
    <t>候補（本人は可）</t>
  </si>
  <si>
    <t>未手配</t>
  </si>
  <si>
    <r>
      <rPr>
        <sz val="10"/>
        <color rgb="FF000000"/>
        <rFont val="Arial"/>
        <family val="2"/>
        <charset val="1"/>
      </rPr>
      <t>Hotel Mi Bencoolen</t>
    </r>
    <r>
      <rPr>
        <sz val="10"/>
        <color rgb="FF000000"/>
        <rFont val="WenQuanYi Zen Hei"/>
        <family val="2"/>
      </rPr>
      <t>（候補欄）</t>
    </r>
  </si>
  <si>
    <t>アジェンダ(補)／広報・Flyer／Zoom webinar設定／Webサイト／各種リスト出力(リソース・研究部)／会議参加証明</t>
  </si>
  <si>
    <t>【追加推奨】Zoom/AI翻訳オペレーション、受付デスク3人目、写真記録、Japan Pavilion・参加者誘導</t>
  </si>
  <si>
    <r>
      <rPr>
        <sz val="10"/>
        <color rgb="FF000000"/>
        <rFont val="Arial"/>
        <family val="2"/>
        <charset val="1"/>
      </rPr>
      <t>10</t>
    </r>
    <r>
      <rPr>
        <sz val="10"/>
        <color rgb="FF000000"/>
        <rFont val="WenQuanYi Zen Hei"/>
        <family val="2"/>
      </rPr>
      <t>月は</t>
    </r>
    <r>
      <rPr>
        <sz val="10"/>
        <color rgb="FF000000"/>
        <rFont val="Arial"/>
        <family val="2"/>
        <charset val="1"/>
      </rPr>
      <t>VR</t>
    </r>
    <r>
      <rPr>
        <sz val="10"/>
        <color rgb="FF000000"/>
        <rFont val="WenQuanYi Zen Hei"/>
        <family val="2"/>
      </rPr>
      <t>準備あり。</t>
    </r>
  </si>
  <si>
    <t>塩見 有美</t>
  </si>
  <si>
    <t>SHIOMI Yumi</t>
  </si>
  <si>
    <t>（デマケ上の現地担当なし）</t>
  </si>
  <si>
    <t>【追加推奨】セッション記録・サマリー補助（2023年はS1サマリー担当）、中央アジア/ウズベキスタン対応、参加者誘導</t>
  </si>
  <si>
    <t>森口　芳隆</t>
  </si>
  <si>
    <t>MORIGUCHI Yoshitaka</t>
  </si>
  <si>
    <t>（広報）</t>
  </si>
  <si>
    <t>未定</t>
  </si>
  <si>
    <t>―</t>
  </si>
  <si>
    <t>広報（記者クラブ）</t>
  </si>
  <si>
    <t>国内（記者クラブ対応）想定。現地派遣の根拠なし</t>
  </si>
  <si>
    <t>予算上は14名に含まれるが、渡航手配・役割の記録なし → 派遣対象か要確認</t>
  </si>
  <si>
    <t>中村</t>
  </si>
  <si>
    <t>NAKAMURA</t>
  </si>
  <si>
    <t>（研究部）</t>
  </si>
  <si>
    <t>国内サポート（確定）</t>
  </si>
  <si>
    <t>―（神戸）</t>
  </si>
  <si>
    <t>（デマケ8/6版に記載なし→追記要）</t>
  </si>
  <si>
    <t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</si>
  <si>
    <t>荒木田 9/4指示。時差: 神戸はシンガポールより1時間進む（SGT 09:30 = JST 10:30）</t>
  </si>
  <si>
    <t>山口</t>
  </si>
  <si>
    <t>YAMAGUCHI</t>
  </si>
  <si>
    <t>【日本側】ACDRセッションの録画（Webinar/Zoomクラウド録画＋ローカル保存）、オンライン参加者の質疑対応（Q&amp;A取次・チャット回答）、録画データの整理・保存</t>
  </si>
  <si>
    <t>荒木田 9/4指示。2025年は現地でPhoto・CAM担当だったが2026年は日本側。オンライン質疑は中村（Q&amp;A確認）と分担</t>
  </si>
  <si>
    <t>伊達 孝</t>
  </si>
  <si>
    <t>DATE Takashi</t>
  </si>
  <si>
    <t>国内サポート</t>
  </si>
  <si>
    <r>
      <rPr>
        <sz val="10"/>
        <color rgb="FF000000"/>
        <rFont val="Arial"/>
        <family val="2"/>
        <charset val="1"/>
      </rPr>
      <t>PC</t>
    </r>
    <r>
      <rPr>
        <sz val="10"/>
        <color rgb="FF000000"/>
        <rFont val="WenQuanYi Zen Hei"/>
        <family val="2"/>
      </rPr>
      <t>等機材サポート／</t>
    </r>
    <r>
      <rPr>
        <sz val="10"/>
        <color rgb="FF000000"/>
        <rFont val="Arial"/>
        <family val="2"/>
        <charset val="1"/>
      </rPr>
      <t>Web</t>
    </r>
    <r>
      <rPr>
        <sz val="10"/>
        <color rgb="FF000000"/>
        <rFont val="WenQuanYi Zen Hei"/>
        <family val="2"/>
      </rPr>
      <t>サイトサポート</t>
    </r>
  </si>
  <si>
    <t>神戸からのリモート支援（Web更新、Highlights発行）</t>
  </si>
  <si>
    <r>
      <rPr>
        <sz val="10"/>
        <color rgb="FF000000"/>
        <rFont val="Arial"/>
        <family val="2"/>
        <charset val="1"/>
      </rPr>
      <t>2025</t>
    </r>
    <r>
      <rPr>
        <sz val="10"/>
        <color rgb="FF000000"/>
        <rFont val="WenQuanYi Zen Hei"/>
        <family val="2"/>
      </rPr>
      <t>年は</t>
    </r>
    <r>
      <rPr>
        <sz val="10"/>
        <color rgb="FF000000"/>
        <rFont val="Arial"/>
        <family val="2"/>
        <charset val="1"/>
      </rPr>
      <t>Webinar</t>
    </r>
    <r>
      <rPr>
        <sz val="10"/>
        <color rgb="FF000000"/>
        <rFont val="WenQuanYi Zen Hei"/>
        <family val="2"/>
      </rPr>
      <t>設定・ホスト</t>
    </r>
    <r>
      <rPr>
        <sz val="10"/>
        <color rgb="FF000000"/>
        <rFont val="Arial"/>
        <family val="2"/>
        <charset val="1"/>
      </rPr>
      <t>/</t>
    </r>
    <r>
      <rPr>
        <sz val="10"/>
        <color rgb="FF000000"/>
        <rFont val="WenQuanYi Zen Hei"/>
        <family val="2"/>
      </rPr>
      <t>録画確認を担当。中村のバックアップ候補（要確認）</t>
    </r>
  </si>
  <si>
    <t>寺坂　佳津子</t>
  </si>
  <si>
    <t>TERASAKA Kazuko</t>
  </si>
  <si>
    <t>アシスタント</t>
  </si>
  <si>
    <t>国内（オンライン登録）</t>
  </si>
  <si>
    <t>参加者情報・フライト・宿泊・送迎のWeb登録・リスト出力(メンバー国)／VISA</t>
  </si>
  <si>
    <t>神戸でマスターリスト管理・リスト出力</t>
  </si>
  <si>
    <t>2025年は録画（日英2台）・ローカル保存を担当。山口のバックアップ候補（要確認）</t>
  </si>
  <si>
    <t>田原 麻衣</t>
  </si>
  <si>
    <t>TAHARA Mai</t>
  </si>
  <si>
    <t>管理部（役員対応）</t>
  </si>
  <si>
    <t>神戸で管理部業務</t>
  </si>
  <si>
    <t>立部　知保里</t>
  </si>
  <si>
    <t>TATEBE Chihori</t>
  </si>
  <si>
    <t>神戸</t>
  </si>
  <si>
    <r>
      <rPr>
        <sz val="10"/>
        <color rgb="FF000000"/>
        <rFont val="WenQuanYi Zen Hei"/>
        <family val="2"/>
      </rPr>
      <t xml:space="preserve">トルコ研修調整で多忙（児玉 </t>
    </r>
    <r>
      <rPr>
        <sz val="10"/>
        <color rgb="FF000000"/>
        <rFont val="Arial"/>
        <family val="2"/>
        <charset val="1"/>
      </rPr>
      <t>5/18</t>
    </r>
    <r>
      <rPr>
        <sz val="10"/>
        <color rgb="FF000000"/>
        <rFont val="WenQuanYi Zen Hei"/>
        <family val="2"/>
      </rPr>
      <t>）</t>
    </r>
  </si>
  <si>
    <t>集計（自動計算）</t>
  </si>
  <si>
    <t>現地参加 確定（フライト要確認含む）</t>
  </si>
  <si>
    <t>見込・候補（手配未了）</t>
  </si>
  <si>
    <t>うち役員（三浦・北本・宮木）＝運営要員から除く</t>
  </si>
  <si>
    <t>実働運営要員（確定＋見込(Mizan)−役員）</t>
  </si>
  <si>
    <r>
      <rPr>
        <i/>
        <sz val="9"/>
        <color rgb="FF555555"/>
        <rFont val="Arial"/>
        <family val="2"/>
        <charset val="1"/>
      </rPr>
      <t>← ACDR2023</t>
    </r>
    <r>
      <rPr>
        <i/>
        <sz val="9"/>
        <color rgb="FF555555"/>
        <rFont val="WenQuanYi Zen Hei"/>
        <family val="2"/>
      </rPr>
      <t>（ドゥシャンベ）の現地運営要員は役員（小川・笹原）を除き</t>
    </r>
    <r>
      <rPr>
        <i/>
        <sz val="9"/>
        <color rgb="FF555555"/>
        <rFont val="Arial"/>
        <family val="2"/>
        <charset val="1"/>
      </rPr>
      <t>8</t>
    </r>
    <r>
      <rPr>
        <i/>
        <sz val="9"/>
        <color rgb="FF555555"/>
        <rFont val="WenQuanYi Zen Hei"/>
        <family val="2"/>
      </rPr>
      <t>名（堀池・藤中・田中・荒木田・児玉・塩見・</t>
    </r>
    <r>
      <rPr>
        <i/>
        <sz val="9"/>
        <color rgb="FF555555"/>
        <rFont val="Arial"/>
        <family val="2"/>
        <charset val="1"/>
      </rPr>
      <t>Potutan</t>
    </r>
    <r>
      <rPr>
        <i/>
        <sz val="9"/>
        <color rgb="FF555555"/>
        <rFont val="WenQuanYi Zen Hei"/>
        <family val="2"/>
      </rPr>
      <t>・吉田）。今回は同数だが、公邸レセプション・</t>
    </r>
    <r>
      <rPr>
        <i/>
        <sz val="9"/>
        <color rgb="FF555555"/>
        <rFont val="Arial"/>
        <family val="2"/>
        <charset val="1"/>
      </rPr>
      <t>Gala</t>
    </r>
    <r>
      <rPr>
        <i/>
        <sz val="9"/>
        <color rgb="FF555555"/>
        <rFont val="WenQuanYi Zen Hei"/>
        <family val="2"/>
      </rPr>
      <t>・</t>
    </r>
    <r>
      <rPr>
        <i/>
        <sz val="9"/>
        <color rgb="FF555555"/>
        <rFont val="Arial"/>
        <family val="2"/>
        <charset val="1"/>
      </rPr>
      <t>Parade</t>
    </r>
    <r>
      <rPr>
        <i/>
        <sz val="9"/>
        <color rgb="FF555555"/>
        <rFont val="WenQuanYi Zen Hei"/>
        <family val="2"/>
      </rPr>
      <t>・</t>
    </r>
    <r>
      <rPr>
        <i/>
        <sz val="9"/>
        <color rgb="FF555555"/>
        <rFont val="Arial"/>
        <family val="2"/>
        <charset val="1"/>
      </rPr>
      <t>SIDEX</t>
    </r>
    <r>
      <rPr>
        <i/>
        <sz val="9"/>
        <color rgb="FF555555"/>
        <rFont val="WenQuanYi Zen Hei"/>
        <family val="2"/>
      </rPr>
      <t>連携が加わる</t>
    </r>
  </si>
  <si>
    <t>追加推奨2名（藤本・塩見）を含む場合</t>
  </si>
  <si>
    <t>← 「+2」は本表の推奨案（未確定）</t>
  </si>
  <si>
    <t>日本側サポート（中村・山口 確定、寺坂・伊達 仮置き）</t>
  </si>
  <si>
    <t>凡例</t>
  </si>
  <si>
    <t>確定（航空券発券済み／確定情報あり）</t>
  </si>
  <si>
    <t>見込・候補（本人可または担当割当済みだが手配未了）</t>
  </si>
  <si>
    <t>未定（打診中・根拠不足）</t>
  </si>
  <si>
    <t>国内・オンライン参加</t>
  </si>
  <si>
    <r>
      <rPr>
        <b/>
        <sz val="12"/>
        <color rgb="FF1F4E78"/>
        <rFont val="Arial"/>
        <family val="2"/>
        <charset val="1"/>
      </rPr>
      <t xml:space="preserve">ACDR2026 </t>
    </r>
    <r>
      <rPr>
        <b/>
        <sz val="12"/>
        <color rgb="FF1F4E78"/>
        <rFont val="WenQuanYi Zen Hei"/>
        <family val="2"/>
      </rPr>
      <t xml:space="preserve">動態表（日別 </t>
    </r>
    <r>
      <rPr>
        <b/>
        <sz val="12"/>
        <color rgb="FF1F4E78"/>
        <rFont val="Arial"/>
        <family val="2"/>
        <charset val="1"/>
      </rPr>
      <t>AM/PM</t>
    </r>
    <r>
      <rPr>
        <b/>
        <sz val="12"/>
        <color rgb="FF1F4E78"/>
        <rFont val="WenQuanYi Zen Hei"/>
        <family val="2"/>
      </rPr>
      <t>）　</t>
    </r>
    <r>
      <rPr>
        <b/>
        <sz val="12"/>
        <color rgb="FF1F4E78"/>
        <rFont val="Arial"/>
        <family val="2"/>
        <charset val="1"/>
      </rPr>
      <t>as of 4 Sep 2026 v1</t>
    </r>
  </si>
  <si>
    <t>Staff</t>
  </si>
  <si>
    <r>
      <rPr>
        <b/>
        <sz val="10"/>
        <color rgb="FF000000"/>
        <rFont val="Arial"/>
        <family val="2"/>
        <charset val="1"/>
      </rPr>
      <t>10/24(</t>
    </r>
    <r>
      <rPr>
        <b/>
        <sz val="10"/>
        <color rgb="FF000000"/>
        <rFont val="WenQuanYi Zen Hei"/>
        <family val="2"/>
      </rPr>
      <t>土</t>
    </r>
    <r>
      <rPr>
        <b/>
        <sz val="10"/>
        <color rgb="FF000000"/>
        <rFont val="Arial"/>
        <family val="2"/>
        <charset val="1"/>
      </rPr>
      <t>)</t>
    </r>
  </si>
  <si>
    <r>
      <rPr>
        <b/>
        <sz val="10"/>
        <color rgb="FF000000"/>
        <rFont val="Arial"/>
        <family val="2"/>
        <charset val="1"/>
      </rPr>
      <t>10/25(</t>
    </r>
    <r>
      <rPr>
        <b/>
        <sz val="10"/>
        <color rgb="FF000000"/>
        <rFont val="WenQuanYi Zen Hei"/>
        <family val="2"/>
      </rPr>
      <t>日</t>
    </r>
    <r>
      <rPr>
        <b/>
        <sz val="10"/>
        <color rgb="FF000000"/>
        <rFont val="Arial"/>
        <family val="2"/>
        <charset val="1"/>
      </rPr>
      <t>)</t>
    </r>
  </si>
  <si>
    <r>
      <rPr>
        <b/>
        <sz val="10"/>
        <color rgb="FF000000"/>
        <rFont val="Arial"/>
        <family val="2"/>
        <charset val="1"/>
      </rPr>
      <t>10/26(</t>
    </r>
    <r>
      <rPr>
        <b/>
        <sz val="10"/>
        <color rgb="FF000000"/>
        <rFont val="WenQuanYi Zen Hei"/>
        <family val="2"/>
      </rPr>
      <t>月</t>
    </r>
    <r>
      <rPr>
        <b/>
        <sz val="10"/>
        <color rgb="FF000000"/>
        <rFont val="Arial"/>
        <family val="2"/>
        <charset val="1"/>
      </rPr>
      <t>)</t>
    </r>
  </si>
  <si>
    <r>
      <rPr>
        <b/>
        <sz val="10"/>
        <color rgb="FF000000"/>
        <rFont val="Arial"/>
        <family val="2"/>
        <charset val="1"/>
      </rPr>
      <t>10/27(</t>
    </r>
    <r>
      <rPr>
        <b/>
        <sz val="10"/>
        <color rgb="FF000000"/>
        <rFont val="WenQuanYi Zen Hei"/>
        <family val="2"/>
      </rPr>
      <t>火</t>
    </r>
    <r>
      <rPr>
        <b/>
        <sz val="10"/>
        <color rgb="FF000000"/>
        <rFont val="Arial"/>
        <family val="2"/>
        <charset val="1"/>
      </rPr>
      <t>)</t>
    </r>
  </si>
  <si>
    <r>
      <rPr>
        <b/>
        <sz val="10"/>
        <color rgb="FF000000"/>
        <rFont val="Arial"/>
        <family val="2"/>
        <charset val="1"/>
      </rPr>
      <t>10/28(</t>
    </r>
    <r>
      <rPr>
        <b/>
        <sz val="10"/>
        <color rgb="FF000000"/>
        <rFont val="WenQuanYi Zen Hei"/>
        <family val="2"/>
      </rPr>
      <t>水</t>
    </r>
    <r>
      <rPr>
        <b/>
        <sz val="10"/>
        <color rgb="FF000000"/>
        <rFont val="Arial"/>
        <family val="2"/>
        <charset val="1"/>
      </rPr>
      <t>)</t>
    </r>
  </si>
  <si>
    <r>
      <rPr>
        <b/>
        <sz val="10"/>
        <color rgb="FF000000"/>
        <rFont val="Arial"/>
        <family val="2"/>
        <charset val="1"/>
      </rPr>
      <t>10/29(</t>
    </r>
    <r>
      <rPr>
        <b/>
        <sz val="10"/>
        <color rgb="FF000000"/>
        <rFont val="WenQuanYi Zen Hei"/>
        <family val="2"/>
      </rPr>
      <t>木</t>
    </r>
    <r>
      <rPr>
        <b/>
        <sz val="10"/>
        <color rgb="FF000000"/>
        <rFont val="Arial"/>
        <family val="2"/>
        <charset val="1"/>
      </rPr>
      <t>)</t>
    </r>
  </si>
  <si>
    <r>
      <rPr>
        <b/>
        <sz val="10"/>
        <color rgb="FF000000"/>
        <rFont val="Arial"/>
        <family val="2"/>
        <charset val="1"/>
      </rPr>
      <t>10/30(</t>
    </r>
    <r>
      <rPr>
        <b/>
        <sz val="10"/>
        <color rgb="FF000000"/>
        <rFont val="WenQuanYi Zen Hei"/>
        <family val="2"/>
      </rPr>
      <t>金</t>
    </r>
    <r>
      <rPr>
        <b/>
        <sz val="10"/>
        <color rgb="FF000000"/>
        <rFont val="Arial"/>
        <family val="2"/>
        <charset val="1"/>
      </rPr>
      <t>)</t>
    </r>
  </si>
  <si>
    <r>
      <rPr>
        <b/>
        <sz val="10"/>
        <color rgb="FF000000"/>
        <rFont val="Arial"/>
        <family val="2"/>
        <charset val="1"/>
      </rPr>
      <t>10/31(</t>
    </r>
    <r>
      <rPr>
        <b/>
        <sz val="10"/>
        <color rgb="FF000000"/>
        <rFont val="WenQuanYi Zen Hei"/>
        <family val="2"/>
      </rPr>
      <t>土</t>
    </r>
    <r>
      <rPr>
        <b/>
        <sz val="10"/>
        <color rgb="FF000000"/>
        <rFont val="Arial"/>
        <family val="2"/>
        <charset val="1"/>
      </rPr>
      <t>)</t>
    </r>
  </si>
  <si>
    <r>
      <rPr>
        <b/>
        <sz val="10"/>
        <color rgb="FF000000"/>
        <rFont val="Arial"/>
        <family val="2"/>
        <charset val="1"/>
      </rPr>
      <t>11/1(</t>
    </r>
    <r>
      <rPr>
        <b/>
        <sz val="10"/>
        <color rgb="FF000000"/>
        <rFont val="WenQuanYi Zen Hei"/>
        <family val="2"/>
      </rPr>
      <t>日</t>
    </r>
    <r>
      <rPr>
        <b/>
        <sz val="10"/>
        <color rgb="FF000000"/>
        <rFont val="Arial"/>
        <family val="2"/>
        <charset val="1"/>
      </rPr>
      <t>)</t>
    </r>
  </si>
  <si>
    <t>AM</t>
  </si>
  <si>
    <t>PM</t>
  </si>
  <si>
    <t>PROGRAM</t>
  </si>
  <si>
    <t>参加者到着(Dorsett)</t>
  </si>
  <si>
    <t>参加者到着(〜深夜)／Day-1準備</t>
  </si>
  <si>
    <t>参加者到着／会場・名札準備</t>
  </si>
  <si>
    <r>
      <rPr>
        <sz val="8"/>
        <color rgb="FF000000"/>
        <rFont val="Arial"/>
        <family val="2"/>
        <charset val="1"/>
      </rPr>
      <t>16:00</t>
    </r>
    <r>
      <rPr>
        <sz val="8"/>
        <color rgb="FF000000"/>
        <rFont val="WenQuanYi Zen Hei"/>
        <family val="2"/>
      </rPr>
      <t>設営→</t>
    </r>
    <r>
      <rPr>
        <sz val="8"/>
        <color rgb="FF000000"/>
        <rFont val="Arial"/>
        <family val="2"/>
        <charset val="1"/>
      </rPr>
      <t xml:space="preserve">19:00-21:00 </t>
    </r>
    <r>
      <rPr>
        <sz val="8"/>
        <color rgb="FF000000"/>
        <rFont val="WenQuanYi Zen Hei"/>
        <family val="2"/>
      </rPr>
      <t>大使公邸レセプション</t>
    </r>
  </si>
  <si>
    <r>
      <rPr>
        <sz val="8"/>
        <color rgb="FF000000"/>
        <rFont val="Arial"/>
        <family val="2"/>
        <charset val="1"/>
      </rPr>
      <t>07:30</t>
    </r>
    <r>
      <rPr>
        <sz val="8"/>
        <color rgb="FF000000"/>
        <rFont val="WenQuanYi Zen Hei"/>
        <family val="2"/>
      </rPr>
      <t>会場テスト／</t>
    </r>
    <r>
      <rPr>
        <sz val="8"/>
        <color rgb="FF000000"/>
        <rFont val="Arial"/>
        <family val="2"/>
        <charset val="1"/>
      </rPr>
      <t>10:00 Joint Opening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  <charset val="1"/>
      </rPr>
      <t>VIP Tour</t>
    </r>
  </si>
  <si>
    <r>
      <rPr>
        <sz val="8"/>
        <color rgb="FF000000"/>
        <rFont val="Arial"/>
        <family val="2"/>
        <charset val="1"/>
      </rPr>
      <t>12:45 ACDR Opening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  <charset val="1"/>
      </rPr>
      <t>13:00 Roundtable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  <charset val="1"/>
      </rPr>
      <t>15:45 SC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  <charset val="1"/>
      </rPr>
      <t>18:30 Gala</t>
    </r>
  </si>
  <si>
    <r>
      <rPr>
        <sz val="8"/>
        <color rgb="FF000000"/>
        <rFont val="Arial"/>
        <family val="2"/>
        <charset val="1"/>
      </rPr>
      <t>09:30 Technical Session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  <charset val="1"/>
      </rPr>
      <t>11:45 Closing</t>
    </r>
  </si>
  <si>
    <r>
      <rPr>
        <sz val="8"/>
        <color rgb="FF000000"/>
        <rFont val="Arial"/>
        <family val="2"/>
        <charset val="1"/>
      </rPr>
      <t>13:00</t>
    </r>
    <r>
      <rPr>
        <sz val="8"/>
        <color rgb="FF000000"/>
        <rFont val="WenQuanYi Zen Hei"/>
        <family val="2"/>
      </rPr>
      <t xml:space="preserve">〜 </t>
    </r>
    <r>
      <rPr>
        <sz val="8"/>
        <color rgb="FF000000"/>
        <rFont val="Arial"/>
        <family val="2"/>
        <charset val="1"/>
      </rPr>
      <t>Field Trip(CDA)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  <charset val="1"/>
      </rPr>
      <t>18:30 SCDF Parade &amp; Dinner</t>
    </r>
  </si>
  <si>
    <t>09:00 SIDEX Keynote/Panel1</t>
  </si>
  <si>
    <r>
      <rPr>
        <sz val="8"/>
        <color rgb="FF000000"/>
        <rFont val="Arial"/>
        <family val="2"/>
        <charset val="1"/>
      </rPr>
      <t>13:50 Exhibition Tour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  <charset val="1"/>
      </rPr>
      <t>15:00 Panel2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  <charset val="1"/>
      </rPr>
      <t>16:30</t>
    </r>
    <r>
      <rPr>
        <sz val="8"/>
        <color rgb="FF000000"/>
        <rFont val="WenQuanYi Zen Hei"/>
        <family val="2"/>
      </rPr>
      <t>閉会／夜</t>
    </r>
    <r>
      <rPr>
        <sz val="8"/>
        <color rgb="FF000000"/>
        <rFont val="Arial"/>
        <family val="2"/>
        <charset val="1"/>
      </rPr>
      <t>:</t>
    </r>
    <r>
      <rPr>
        <sz val="8"/>
        <color rgb="FF000000"/>
        <rFont val="WenQuanYi Zen Hei"/>
        <family val="2"/>
      </rPr>
      <t>出発</t>
    </r>
  </si>
  <si>
    <t>参加者出発(見送り)</t>
  </si>
  <si>
    <t>参加者出発</t>
  </si>
  <si>
    <t>FUK-SIN(SQ655)</t>
  </si>
  <si>
    <r>
      <rPr>
        <sz val="8"/>
        <color rgb="FF000000"/>
        <rFont val="Arial"/>
        <family val="2"/>
        <charset val="1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15:00/Dorsett</t>
    </r>
  </si>
  <si>
    <t>待機/資料確認</t>
  </si>
  <si>
    <t>レセプション(VIP)</t>
  </si>
  <si>
    <t>Joint Opening/VIP Tour</t>
  </si>
  <si>
    <r>
      <rPr>
        <sz val="8"/>
        <color rgb="FF000000"/>
        <rFont val="Arial"/>
        <family val="2"/>
        <charset val="1"/>
      </rPr>
      <t>ACDR Opening</t>
    </r>
    <r>
      <rPr>
        <sz val="8"/>
        <color rgb="FF000000"/>
        <rFont val="WenQuanYi Zen Hei"/>
        <family val="2"/>
      </rPr>
      <t>挨拶</t>
    </r>
    <r>
      <rPr>
        <sz val="8"/>
        <color rgb="FF000000"/>
        <rFont val="Arial"/>
        <family val="2"/>
        <charset val="1"/>
      </rPr>
      <t>/RT/SC/Gala</t>
    </r>
  </si>
  <si>
    <t>Tech Session/Closing</t>
  </si>
  <si>
    <t>Field Trip/Parade Dinner</t>
  </si>
  <si>
    <t>SIDEX Keynote</t>
  </si>
  <si>
    <r>
      <rPr>
        <sz val="8"/>
        <color rgb="FF000000"/>
        <rFont val="Arial"/>
        <family val="2"/>
        <charset val="1"/>
      </rPr>
      <t>Panel2/</t>
    </r>
    <r>
      <rPr>
        <sz val="8"/>
        <color rgb="FF000000"/>
        <rFont val="WenQuanYi Zen Hei"/>
        <family val="2"/>
      </rPr>
      <t>閉会</t>
    </r>
  </si>
  <si>
    <t>SIN-FUK(SQ656 01:20)</t>
  </si>
  <si>
    <t>NRT-SIN(SQ637)</t>
  </si>
  <si>
    <r>
      <rPr>
        <sz val="8"/>
        <color rgb="FF000000"/>
        <rFont val="Arial"/>
        <family val="2"/>
        <charset val="1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16:30/Dorsett</t>
    </r>
  </si>
  <si>
    <t>ブリーフィング(荒木田)</t>
  </si>
  <si>
    <t>RT/SC/Gala</t>
  </si>
  <si>
    <r>
      <rPr>
        <sz val="8"/>
        <color rgb="FF000000"/>
        <rFont val="Arial"/>
        <family val="2"/>
        <charset val="1"/>
      </rPr>
      <t>Panel2/</t>
    </r>
    <r>
      <rPr>
        <sz val="8"/>
        <color rgb="FF000000"/>
        <rFont val="WenQuanYi Zen Hei"/>
        <family val="2"/>
      </rPr>
      <t>閉会</t>
    </r>
    <r>
      <rPr>
        <sz val="8"/>
        <color rgb="FF000000"/>
        <rFont val="Arial"/>
        <family val="2"/>
        <charset val="1"/>
      </rPr>
      <t>/SIN-NRT(SQ638 23:55)</t>
    </r>
  </si>
  <si>
    <r>
      <rPr>
        <sz val="8"/>
        <color rgb="FF000000"/>
        <rFont val="Arial"/>
        <family val="2"/>
        <charset val="1"/>
      </rPr>
      <t>NRT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07:30</t>
    </r>
  </si>
  <si>
    <r>
      <rPr>
        <sz val="8"/>
        <color rgb="FF000000"/>
        <rFont val="Arial"/>
        <family val="2"/>
        <charset val="1"/>
      </rPr>
      <t>ITM-NRT-SIN(NH2178/NH803) 23:40</t>
    </r>
    <r>
      <rPr>
        <sz val="8"/>
        <color rgb="FF000000"/>
        <rFont val="WenQuanYi Zen Hei"/>
        <family val="2"/>
      </rPr>
      <t>着</t>
    </r>
  </si>
  <si>
    <t>内閣府到着対応準備/COSEM調整</t>
  </si>
  <si>
    <t>内閣府(林統括官)15:00着 対応/Dorsett</t>
  </si>
  <si>
    <t>内閣府随行準備/COSEM調整</t>
  </si>
  <si>
    <t>レセプション(内閣府随行・大使対応)</t>
  </si>
  <si>
    <r>
      <rPr>
        <sz val="8"/>
        <color rgb="FF000000"/>
        <rFont val="Arial"/>
        <family val="2"/>
        <charset val="1"/>
      </rPr>
      <t>Joint Opening/VIP Tour/</t>
    </r>
    <r>
      <rPr>
        <sz val="8"/>
        <color rgb="FF000000"/>
        <rFont val="WenQuanYi Zen Hei"/>
        <family val="2"/>
      </rPr>
      <t>表敬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</si>
  <si>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ACDR Opening/RT/SC</t>
    </r>
    <r>
      <rPr>
        <sz val="8"/>
        <color rgb="FF000000"/>
        <rFont val="WenQuanYi Zen Hei"/>
        <family val="2"/>
      </rPr>
      <t>進行補佐</t>
    </r>
    <r>
      <rPr>
        <sz val="8"/>
        <color rgb="FF000000"/>
        <rFont val="Arial"/>
        <family val="2"/>
        <charset val="1"/>
      </rPr>
      <t>/Gala</t>
    </r>
  </si>
  <si>
    <r>
      <rPr>
        <sz val="8"/>
        <color rgb="FF000000"/>
        <rFont val="Arial"/>
        <family val="2"/>
        <charset val="1"/>
      </rPr>
      <t xml:space="preserve">Field Trip or </t>
    </r>
    <r>
      <rPr>
        <sz val="8"/>
        <color rgb="FF000000"/>
        <rFont val="WenQuanYi Zen Hei"/>
        <family val="2"/>
      </rPr>
      <t>バイ会談</t>
    </r>
    <r>
      <rPr>
        <sz val="8"/>
        <color rgb="FF000000"/>
        <rFont val="Arial"/>
        <family val="2"/>
        <charset val="1"/>
      </rPr>
      <t>/Parade Dinner</t>
    </r>
  </si>
  <si>
    <r>
      <rPr>
        <sz val="8"/>
        <color rgb="FF000000"/>
        <rFont val="Arial"/>
        <family val="2"/>
        <charset val="1"/>
      </rPr>
      <t>SIDEX Keynote(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  <charset val="1"/>
      </rPr>
      <t>)</t>
    </r>
  </si>
  <si>
    <t>SIN-NRT(NH802 06:35)</t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</si>
  <si>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受付準備</t>
    </r>
    <r>
      <rPr>
        <sz val="8"/>
        <color rgb="FF000000"/>
        <rFont val="Arial"/>
        <family val="2"/>
        <charset val="1"/>
      </rPr>
      <t>/COSEM</t>
    </r>
    <r>
      <rPr>
        <sz val="8"/>
        <color rgb="FF000000"/>
        <rFont val="WenQuanYi Zen Hei"/>
        <family val="2"/>
      </rPr>
      <t>打合せ</t>
    </r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</si>
  <si>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フロント対応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到着ピーク</t>
    </r>
    <r>
      <rPr>
        <sz val="8"/>
        <color rgb="FF000000"/>
        <rFont val="Arial"/>
        <family val="2"/>
        <charset val="1"/>
      </rPr>
      <t>)/</t>
    </r>
    <r>
      <rPr>
        <sz val="8"/>
        <color rgb="FF000000"/>
        <rFont val="WenQuanYi Zen Hei"/>
        <family val="2"/>
      </rPr>
      <t>接続テスト①</t>
    </r>
  </si>
  <si>
    <t>レセプション最終確認(公邸・ケータリング)</t>
  </si>
  <si>
    <r>
      <rPr>
        <sz val="8"/>
        <color rgb="FF000000"/>
        <rFont val="Arial"/>
        <family val="2"/>
        <charset val="1"/>
      </rPr>
      <t>16:00</t>
    </r>
    <r>
      <rPr>
        <sz val="8"/>
        <color rgb="FF000000"/>
        <rFont val="WenQuanYi Zen Hei"/>
        <family val="2"/>
      </rPr>
      <t>公邸設営</t>
    </r>
    <r>
      <rPr>
        <sz val="8"/>
        <color rgb="FF000000"/>
        <rFont val="Arial"/>
        <family val="2"/>
        <charset val="1"/>
      </rPr>
      <t>/MC</t>
    </r>
    <r>
      <rPr>
        <sz val="8"/>
        <color rgb="FF000000"/>
        <rFont val="WenQuanYi Zen Hei"/>
        <family val="2"/>
      </rPr>
      <t>・進行</t>
    </r>
  </si>
  <si>
    <r>
      <rPr>
        <sz val="8"/>
        <color rgb="FF000000"/>
        <rFont val="Arial"/>
        <family val="2"/>
        <charset val="1"/>
      </rPr>
      <t>07:30</t>
    </r>
    <r>
      <rPr>
        <sz val="8"/>
        <color rgb="FF000000"/>
        <rFont val="WenQuanYi Zen Hei"/>
        <family val="2"/>
      </rPr>
      <t>会場テスト</t>
    </r>
    <r>
      <rPr>
        <sz val="8"/>
        <color rgb="FF000000"/>
        <rFont val="Arial"/>
        <family val="2"/>
        <charset val="1"/>
      </rPr>
      <t>/Opening/</t>
    </r>
    <r>
      <rPr>
        <sz val="8"/>
        <color rgb="FF000000"/>
        <rFont val="WenQuanYi Zen Hei"/>
        <family val="2"/>
      </rPr>
      <t>内閣府随行</t>
    </r>
  </si>
  <si>
    <r>
      <rPr>
        <sz val="8"/>
        <color rgb="FF000000"/>
        <rFont val="Arial"/>
        <family val="2"/>
        <charset val="1"/>
      </rPr>
      <t>RT/SC/Gala</t>
    </r>
    <r>
      <rPr>
        <sz val="8"/>
        <color rgb="FF000000"/>
        <rFont val="WenQuanYi Zen Hei"/>
        <family val="2"/>
      </rPr>
      <t>引率</t>
    </r>
  </si>
  <si>
    <t>バイ会談/Day3準備/Parade Dinner</t>
  </si>
  <si>
    <r>
      <rPr>
        <sz val="8"/>
        <color rgb="FF000000"/>
        <rFont val="Arial"/>
        <family val="2"/>
        <charset val="1"/>
      </rPr>
      <t>Exhibition Tour/Panel2/</t>
    </r>
    <r>
      <rPr>
        <sz val="8"/>
        <color rgb="FF000000"/>
        <rFont val="WenQuanYi Zen Hei"/>
        <family val="2"/>
      </rPr>
      <t>閉会</t>
    </r>
  </si>
  <si>
    <t>SIN-NRT-ITM(NH802 06:35)</t>
  </si>
  <si>
    <r>
      <rPr>
        <sz val="8"/>
        <color rgb="FF000000"/>
        <rFont val="Arial"/>
        <family val="2"/>
        <charset val="1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06:55(NH843)/</t>
    </r>
    <r>
      <rPr>
        <sz val="8"/>
        <color rgb="FF000000"/>
        <rFont val="WenQuanYi Zen Hei"/>
        <family val="2"/>
      </rPr>
      <t>会場・機材確認</t>
    </r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</si>
  <si>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フロント対応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内閣府到着対応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日本側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中村・山口</t>
    </r>
    <r>
      <rPr>
        <sz val="8"/>
        <color rgb="FF000000"/>
        <rFont val="Arial"/>
        <family val="2"/>
        <charset val="1"/>
      </rPr>
      <t>)</t>
    </r>
    <r>
      <rPr>
        <sz val="8"/>
        <color rgb="FF000000"/>
        <rFont val="WenQuanYi Zen Hei"/>
        <family val="2"/>
      </rPr>
      <t>と</t>
    </r>
    <r>
      <rPr>
        <sz val="8"/>
        <color rgb="FF000000"/>
        <rFont val="Arial"/>
        <family val="2"/>
        <charset val="1"/>
      </rPr>
      <t>Zoom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  <charset val="1"/>
      </rPr>
      <t>AI</t>
    </r>
    <r>
      <rPr>
        <sz val="8"/>
        <color rgb="FF000000"/>
        <rFont val="WenQuanYi Zen Hei"/>
        <family val="2"/>
      </rPr>
      <t>通訳接続テスト①</t>
    </r>
    <r>
      <rPr>
        <sz val="8"/>
        <color rgb="FF000000"/>
        <rFont val="Arial"/>
        <family val="2"/>
        <charset val="1"/>
      </rPr>
      <t>(JST 15-17)</t>
    </r>
  </si>
  <si>
    <t>会場設営(Peridot)/名札・機材/北本ブリーフ/日本側と接続テスト②準備</t>
  </si>
  <si>
    <t>日本側と接続テスト②(Webinar・AI通訳・録画, JST 14-17)→公邸設営/レセプション運営</t>
  </si>
  <si>
    <r>
      <rPr>
        <sz val="8"/>
        <color rgb="FF000000"/>
        <rFont val="Arial"/>
        <family val="2"/>
        <charset val="1"/>
      </rPr>
      <t>07:30</t>
    </r>
    <r>
      <rPr>
        <sz val="8"/>
        <color rgb="FF000000"/>
        <rFont val="WenQuanYi Zen Hei"/>
        <family val="2"/>
      </rPr>
      <t>会場・</t>
    </r>
    <r>
      <rPr>
        <sz val="8"/>
        <color rgb="FF000000"/>
        <rFont val="Arial"/>
        <family val="2"/>
        <charset val="1"/>
      </rPr>
      <t>NW</t>
    </r>
    <r>
      <rPr>
        <sz val="8"/>
        <color rgb="FF000000"/>
        <rFont val="WenQuanYi Zen Hei"/>
        <family val="2"/>
      </rPr>
      <t>テスト</t>
    </r>
    <r>
      <rPr>
        <sz val="8"/>
        <color rgb="FF000000"/>
        <rFont val="Arial"/>
        <family val="2"/>
        <charset val="1"/>
      </rPr>
      <t>/Zoom/Opening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</si>
  <si>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  <charset val="1"/>
      </rPr>
      <t>ACDR Opening</t>
    </r>
    <r>
      <rPr>
        <sz val="8"/>
        <color rgb="FF000000"/>
        <rFont val="WenQuanYi Zen Hei"/>
        <family val="2"/>
      </rPr>
      <t>進行</t>
    </r>
    <r>
      <rPr>
        <sz val="8"/>
        <color rgb="FF000000"/>
        <rFont val="Arial"/>
        <family val="2"/>
        <charset val="1"/>
      </rPr>
      <t>/RT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  <charset val="1"/>
      </rPr>
      <t>(AV)/SC/Gala</t>
    </r>
  </si>
  <si>
    <r>
      <rPr>
        <sz val="8"/>
        <color rgb="FF000000"/>
        <rFont val="Arial"/>
        <family val="2"/>
        <charset val="1"/>
      </rPr>
      <t>Tech Session(AV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  <charset val="1"/>
      </rPr>
      <t>Zoom)/Summary/Closing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</si>
  <si>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  <charset val="1"/>
      </rPr>
      <t>Field Trip</t>
    </r>
    <r>
      <rPr>
        <sz val="8"/>
        <color rgb="FF000000"/>
        <rFont val="WenQuanYi Zen Hei"/>
        <family val="2"/>
      </rPr>
      <t>引率</t>
    </r>
  </si>
  <si>
    <r>
      <rPr>
        <sz val="8"/>
        <color rgb="FF000000"/>
        <rFont val="Arial"/>
        <family val="2"/>
        <charset val="1"/>
      </rPr>
      <t>SIDEX Keynote(</t>
    </r>
    <r>
      <rPr>
        <sz val="8"/>
        <color rgb="FF000000"/>
        <rFont val="WenQuanYi Zen Hei"/>
        <family val="2"/>
      </rPr>
      <t>リソース対応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</si>
  <si>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Exhibition Tour/Panel2/</t>
    </r>
    <r>
      <rPr>
        <sz val="8"/>
        <color rgb="FF000000"/>
        <rFont val="WenQuanYi Zen Hei"/>
        <family val="2"/>
      </rPr>
      <t>閉会</t>
    </r>
    <r>
      <rPr>
        <sz val="8"/>
        <color rgb="FF000000"/>
        <rFont val="Arial"/>
        <family val="2"/>
        <charset val="1"/>
      </rPr>
      <t>/SIN-HND(NH844 22:20)</t>
    </r>
  </si>
  <si>
    <r>
      <rPr>
        <sz val="8"/>
        <color rgb="FF000000"/>
        <rFont val="Arial"/>
        <family val="2"/>
        <charset val="1"/>
      </rPr>
      <t>HND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05:55</t>
    </r>
  </si>
  <si>
    <t>GVA-IST(TK1918)</t>
  </si>
  <si>
    <t>IST-SIN</t>
  </si>
  <si>
    <r>
      <rPr>
        <sz val="8"/>
        <color rgb="FF000000"/>
        <rFont val="Arial"/>
        <family val="2"/>
        <charset val="1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09:55/</t>
    </r>
    <r>
      <rPr>
        <sz val="8"/>
        <color rgb="FF000000"/>
        <rFont val="WenQuanYi Zen Hei"/>
        <family val="2"/>
      </rPr>
      <t>参加者対応</t>
    </r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</si>
  <si>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フロント対応</t>
    </r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</si>
  <si>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ステートメント確認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名札準備</t>
    </r>
  </si>
  <si>
    <t>公邸受付/レセプション進行補佐</t>
  </si>
  <si>
    <r>
      <rPr>
        <sz val="8"/>
        <color rgb="FF000000"/>
        <rFont val="Arial"/>
        <family val="2"/>
        <charset val="1"/>
      </rPr>
      <t>Opening/</t>
    </r>
    <r>
      <rPr>
        <sz val="8"/>
        <color rgb="FF000000"/>
        <rFont val="WenQuanYi Zen Hei"/>
        <family val="2"/>
      </rPr>
      <t>参加者誘導</t>
    </r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</si>
  <si>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  <charset val="1"/>
      </rPr>
      <t>(PIC)/SC/Gala</t>
    </r>
    <r>
      <rPr>
        <sz val="8"/>
        <color rgb="FF000000"/>
        <rFont val="WenQuanYi Zen Hei"/>
        <family val="2"/>
      </rPr>
      <t>引率</t>
    </r>
  </si>
  <si>
    <r>
      <rPr>
        <sz val="8"/>
        <color rgb="FF000000"/>
        <rFont val="Arial"/>
        <family val="2"/>
        <charset val="1"/>
      </rPr>
      <t>Tech Session(</t>
    </r>
    <r>
      <rPr>
        <sz val="8"/>
        <color rgb="FF000000"/>
        <rFont val="WenQuanYi Zen Hei"/>
        <family val="2"/>
      </rPr>
      <t>記録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</si>
  <si>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Panel2/</t>
    </r>
    <r>
      <rPr>
        <sz val="8"/>
        <color rgb="FF000000"/>
        <rFont val="WenQuanYi Zen Hei"/>
        <family val="2"/>
      </rPr>
      <t>閉会</t>
    </r>
    <r>
      <rPr>
        <sz val="8"/>
        <color rgb="FF000000"/>
        <rFont val="Arial"/>
        <family val="2"/>
        <charset val="1"/>
      </rPr>
      <t>/SIN-IST(TK55 23:15)</t>
    </r>
  </si>
  <si>
    <r>
      <rPr>
        <sz val="8"/>
        <color rgb="FF000000"/>
        <rFont val="Arial"/>
        <family val="2"/>
        <charset val="1"/>
      </rPr>
      <t>GVA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09:25</t>
    </r>
  </si>
  <si>
    <t>KIX-SIN(TR819)</t>
  </si>
  <si>
    <r>
      <rPr>
        <sz val="8"/>
        <color rgb="FF000000"/>
        <rFont val="Arial"/>
        <family val="2"/>
        <charset val="1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17:30/Hotel Mi</t>
    </r>
  </si>
  <si>
    <r>
      <rPr>
        <sz val="8"/>
        <color rgb="FF000000"/>
        <rFont val="Arial"/>
        <family val="2"/>
        <charset val="1"/>
      </rPr>
      <t>COSEM</t>
    </r>
    <r>
      <rPr>
        <sz val="8"/>
        <color rgb="FF000000"/>
        <rFont val="WenQuanYi Zen Hei"/>
        <family val="2"/>
      </rPr>
      <t>打合せ</t>
    </r>
    <r>
      <rPr>
        <sz val="8"/>
        <color rgb="FF000000"/>
        <rFont val="Arial"/>
        <family val="2"/>
        <charset val="1"/>
      </rPr>
      <t>/Dorsett</t>
    </r>
    <r>
      <rPr>
        <sz val="8"/>
        <color rgb="FF000000"/>
        <rFont val="WenQuanYi Zen Hei"/>
        <family val="2"/>
      </rPr>
      <t>受付準備</t>
    </r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</si>
  <si>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フロント対応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到着ピーク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</si>
  <si>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名札セット</t>
    </r>
  </si>
  <si>
    <t>公邸受付/名札配布</t>
  </si>
  <si>
    <t>受付デスク(Peridot)</t>
  </si>
  <si>
    <t>受付/SC事務(会計報告)/Gala</t>
  </si>
  <si>
    <t>受付デスク/支払</t>
  </si>
  <si>
    <t>事務局撤収/Parade Dinner</t>
  </si>
  <si>
    <r>
      <rPr>
        <sz val="8"/>
        <color rgb="FF000000"/>
        <rFont val="Arial"/>
        <family val="2"/>
        <charset val="1"/>
      </rPr>
      <t>SIDEX(</t>
    </r>
    <r>
      <rPr>
        <sz val="8"/>
        <color rgb="FF000000"/>
        <rFont val="WenQuanYi Zen Hei"/>
        <family val="2"/>
      </rPr>
      <t>受付・清算</t>
    </r>
    <r>
      <rPr>
        <sz val="8"/>
        <color rgb="FF000000"/>
        <rFont val="Arial"/>
        <family val="2"/>
        <charset val="1"/>
      </rPr>
      <t>)</t>
    </r>
  </si>
  <si>
    <t>出発案内/支払</t>
  </si>
  <si>
    <t>見送り/清算</t>
  </si>
  <si>
    <t>SIN-KIX(TR818 11/1 03:05)</t>
  </si>
  <si>
    <t>SIN-KIX(TR818 03:05)</t>
  </si>
  <si>
    <r>
      <rPr>
        <sz val="8"/>
        <color rgb="FF000000"/>
        <rFont val="Arial"/>
        <family val="2"/>
        <charset val="1"/>
      </rPr>
      <t>KIX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10:15</t>
    </r>
  </si>
  <si>
    <t>名札(QR)受取/リスト確認</t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</si>
  <si>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送迎確認</t>
    </r>
  </si>
  <si>
    <t>受付/RT/Gala引率</t>
  </si>
  <si>
    <t>受付デスク/リソース対応</t>
  </si>
  <si>
    <r>
      <rPr>
        <sz val="8"/>
        <color rgb="FF000000"/>
        <rFont val="Arial"/>
        <family val="2"/>
        <charset val="1"/>
      </rPr>
      <t>Field Trip</t>
    </r>
    <r>
      <rPr>
        <sz val="8"/>
        <color rgb="FF000000"/>
        <rFont val="WenQuanYi Zen Hei"/>
        <family val="2"/>
      </rPr>
      <t>名簿</t>
    </r>
    <r>
      <rPr>
        <sz val="8"/>
        <color rgb="FF000000"/>
        <rFont val="Arial"/>
        <family val="2"/>
        <charset val="1"/>
      </rPr>
      <t>/Parade Dinner</t>
    </r>
  </si>
  <si>
    <r>
      <rPr>
        <sz val="8"/>
        <color rgb="FF000000"/>
        <rFont val="Arial"/>
        <family val="2"/>
        <charset val="1"/>
      </rPr>
      <t>SIDEX(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  <charset val="1"/>
      </rPr>
      <t>)</t>
    </r>
  </si>
  <si>
    <t>出発案内(送迎)</t>
  </si>
  <si>
    <t>見送り</t>
  </si>
  <si>
    <t>KIX-SIN(SQ619)</t>
  </si>
  <si>
    <r>
      <rPr>
        <sz val="8"/>
        <color rgb="FF000000"/>
        <rFont val="Arial"/>
        <family val="2"/>
        <charset val="1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16:00/Hotel Mi/</t>
    </r>
    <r>
      <rPr>
        <sz val="8"/>
        <color rgb="FF000000"/>
        <rFont val="WenQuanYi Zen Hei"/>
        <family val="2"/>
      </rPr>
      <t>日本側と接続テスト①に合流</t>
    </r>
  </si>
  <si>
    <t>会場設営(AV)/Japan Pavilion確認/日本側と接続テスト②準備</t>
  </si>
  <si>
    <t>日本側と接続テスト②(録画・Q&amp;A確認, JST 14-17)→公邸設営/レセプション</t>
  </si>
  <si>
    <r>
      <rPr>
        <sz val="8"/>
        <color rgb="FF000000"/>
        <rFont val="Arial"/>
        <family val="2"/>
        <charset val="1"/>
      </rPr>
      <t>07:30</t>
    </r>
    <r>
      <rPr>
        <sz val="8"/>
        <color rgb="FF000000"/>
        <rFont val="WenQuanYi Zen Hei"/>
        <family val="2"/>
      </rPr>
      <t>会場テスト</t>
    </r>
    <r>
      <rPr>
        <sz val="8"/>
        <color rgb="FF000000"/>
        <rFont val="Arial"/>
        <family val="2"/>
        <charset val="1"/>
      </rPr>
      <t>/AV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  <charset val="1"/>
      </rPr>
      <t>PC</t>
    </r>
    <r>
      <rPr>
        <sz val="8"/>
        <color rgb="FF000000"/>
        <rFont val="WenQuanYi Zen Hei"/>
        <family val="2"/>
      </rPr>
      <t>操作</t>
    </r>
  </si>
  <si>
    <r>
      <rPr>
        <sz val="8"/>
        <color rgb="FF000000"/>
        <rFont val="Arial"/>
        <family val="2"/>
        <charset val="1"/>
      </rPr>
      <t>RT(AV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  <charset val="1"/>
      </rPr>
      <t>PC)/Gala</t>
    </r>
  </si>
  <si>
    <r>
      <rPr>
        <sz val="8"/>
        <color rgb="FF000000"/>
        <rFont val="Arial"/>
        <family val="2"/>
        <charset val="1"/>
      </rPr>
      <t>Tech Session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  <charset val="1"/>
      </rPr>
      <t>(PIC)</t>
    </r>
  </si>
  <si>
    <r>
      <rPr>
        <sz val="8"/>
        <color rgb="FF000000"/>
        <rFont val="Arial"/>
        <family val="2"/>
        <charset val="1"/>
      </rPr>
      <t>Field Trip or SIDEX</t>
    </r>
    <r>
      <rPr>
        <sz val="8"/>
        <color rgb="FF000000"/>
        <rFont val="WenQuanYi Zen Hei"/>
        <family val="2"/>
      </rPr>
      <t>展示調整</t>
    </r>
    <r>
      <rPr>
        <sz val="8"/>
        <color rgb="FF000000"/>
        <rFont val="Arial"/>
        <family val="2"/>
        <charset val="1"/>
      </rPr>
      <t>/Parade Dinner</t>
    </r>
  </si>
  <si>
    <r>
      <rPr>
        <sz val="8"/>
        <color rgb="FF000000"/>
        <rFont val="Arial"/>
        <family val="2"/>
        <charset val="1"/>
      </rPr>
      <t>Exhibition Tour(</t>
    </r>
    <r>
      <rPr>
        <sz val="8"/>
        <color rgb="FF000000"/>
        <rFont val="WenQuanYi Zen Hei"/>
        <family val="2"/>
      </rPr>
      <t>誘導</t>
    </r>
    <r>
      <rPr>
        <sz val="8"/>
        <color rgb="FF000000"/>
        <rFont val="Arial"/>
        <family val="2"/>
        <charset val="1"/>
      </rPr>
      <t>)/Panel2</t>
    </r>
  </si>
  <si>
    <r>
      <rPr>
        <sz val="8"/>
        <color rgb="FF000000"/>
        <rFont val="Arial"/>
        <family val="2"/>
        <charset val="1"/>
      </rPr>
      <t>SIN-KIX(01:30</t>
    </r>
    <r>
      <rPr>
        <sz val="8"/>
        <color rgb="FF000000"/>
        <rFont val="WenQuanYi Zen Hei"/>
        <family val="2"/>
      </rPr>
      <t>発 便名要確認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</si>
  <si>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16:00/Hotel Mi</t>
    </r>
  </si>
  <si>
    <r>
      <rPr>
        <sz val="8"/>
        <color rgb="FF000000"/>
        <rFont val="Arial"/>
        <family val="2"/>
        <charset val="1"/>
      </rPr>
      <t>Concept Note/RT</t>
    </r>
    <r>
      <rPr>
        <sz val="8"/>
        <color rgb="FF000000"/>
        <rFont val="WenQuanYi Zen Hei"/>
        <family val="2"/>
      </rPr>
      <t>準備</t>
    </r>
  </si>
  <si>
    <t>公邸設営/レセプション</t>
  </si>
  <si>
    <t>Opening</t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</si>
  <si>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共同</t>
    </r>
    <r>
      <rPr>
        <sz val="8"/>
        <color rgb="FF000000"/>
        <rFont val="Arial"/>
        <family val="2"/>
        <charset val="1"/>
      </rPr>
      <t>)/</t>
    </r>
    <r>
      <rPr>
        <sz val="8"/>
        <color rgb="FF000000"/>
        <rFont val="WenQuanYi Zen Hei"/>
        <family val="2"/>
      </rPr>
      <t>ノート</t>
    </r>
    <r>
      <rPr>
        <sz val="8"/>
        <color rgb="FF000000"/>
        <rFont val="Arial"/>
        <family val="2"/>
        <charset val="1"/>
      </rPr>
      <t>/SC</t>
    </r>
    <r>
      <rPr>
        <sz val="8"/>
        <color rgb="FF000000"/>
        <rFont val="WenQuanYi Zen Hei"/>
        <family val="2"/>
      </rPr>
      <t>メモ</t>
    </r>
    <r>
      <rPr>
        <sz val="8"/>
        <color rgb="FF000000"/>
        <rFont val="Arial"/>
        <family val="2"/>
        <charset val="1"/>
      </rPr>
      <t>/Gala</t>
    </r>
  </si>
  <si>
    <r>
      <rPr>
        <sz val="8"/>
        <color rgb="FF000000"/>
        <rFont val="Arial"/>
        <family val="2"/>
        <charset val="1"/>
      </rPr>
      <t>Tech Session(</t>
    </r>
    <r>
      <rPr>
        <sz val="8"/>
        <color rgb="FF000000"/>
        <rFont val="WenQuanYi Zen Hei"/>
        <family val="2"/>
      </rPr>
      <t>ノート</t>
    </r>
    <r>
      <rPr>
        <sz val="8"/>
        <color rgb="FF000000"/>
        <rFont val="Arial"/>
        <family val="2"/>
        <charset val="1"/>
      </rPr>
      <t>)/Draft Summary</t>
    </r>
  </si>
  <si>
    <t>SIDEX Keynote/Summary</t>
  </si>
  <si>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未手配</t>
    </r>
    <r>
      <rPr>
        <sz val="8"/>
        <color rgb="FF000000"/>
        <rFont val="Arial"/>
        <family val="2"/>
        <charset val="1"/>
      </rPr>
      <t>)</t>
    </r>
  </si>
  <si>
    <t>登壇者(JAXA等)対応/接続テスト</t>
  </si>
  <si>
    <r>
      <rPr>
        <sz val="8"/>
        <color rgb="FF000000"/>
        <rFont val="Arial"/>
        <family val="2"/>
        <charset val="1"/>
      </rPr>
      <t>RT(</t>
    </r>
    <r>
      <rPr>
        <sz val="8"/>
        <color rgb="FF000000"/>
        <rFont val="WenQuanYi Zen Hei"/>
        <family val="2"/>
      </rPr>
      <t>ノート</t>
    </r>
    <r>
      <rPr>
        <sz val="8"/>
        <color rgb="FF000000"/>
        <rFont val="Arial"/>
        <family val="2"/>
        <charset val="1"/>
      </rPr>
      <t>)/Gala</t>
    </r>
  </si>
  <si>
    <t>Tech Session Co-Chair</t>
  </si>
  <si>
    <t>【推奨】KIX-SIN</t>
  </si>
  <si>
    <r>
      <rPr>
        <sz val="8"/>
        <color rgb="FF000000"/>
        <rFont val="Arial"/>
        <family val="2"/>
        <charset val="1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  <charset val="1"/>
      </rPr>
      <t>/Dorsett</t>
    </r>
    <r>
      <rPr>
        <sz val="8"/>
        <color rgb="FF000000"/>
        <rFont val="WenQuanYi Zen Hei"/>
        <family val="2"/>
      </rPr>
      <t>フロント対応</t>
    </r>
  </si>
  <si>
    <t>名札・受付準備/Zoom設定</t>
  </si>
  <si>
    <t>公邸受付(3人目)/写真</t>
  </si>
  <si>
    <r>
      <rPr>
        <sz val="8"/>
        <color rgb="FF000000"/>
        <rFont val="Arial"/>
        <family val="2"/>
        <charset val="1"/>
      </rPr>
      <t>Zoom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  <charset val="1"/>
      </rPr>
      <t>AI</t>
    </r>
    <r>
      <rPr>
        <sz val="8"/>
        <color rgb="FF000000"/>
        <rFont val="WenQuanYi Zen Hei"/>
        <family val="2"/>
      </rPr>
      <t>翻訳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写真</t>
    </r>
  </si>
  <si>
    <t>受付/Zoom/写真/Gala</t>
  </si>
  <si>
    <r>
      <rPr>
        <sz val="8"/>
        <color rgb="FF000000"/>
        <rFont val="Arial"/>
        <family val="2"/>
        <charset val="1"/>
      </rPr>
      <t>Japan Pavilion/</t>
    </r>
    <r>
      <rPr>
        <sz val="8"/>
        <color rgb="FF000000"/>
        <rFont val="WenQuanYi Zen Hei"/>
        <family val="2"/>
      </rPr>
      <t>参加者誘導</t>
    </r>
  </si>
  <si>
    <r>
      <rPr>
        <sz val="8"/>
        <color rgb="FF000000"/>
        <rFont val="Arial"/>
        <family val="2"/>
        <charset val="1"/>
      </rPr>
      <t>SIDEX(</t>
    </r>
    <r>
      <rPr>
        <sz val="8"/>
        <color rgb="FF000000"/>
        <rFont val="WenQuanYi Zen Hei"/>
        <family val="2"/>
      </rPr>
      <t>写真・誘導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</si>
  <si>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Exhibition Tour</t>
    </r>
    <r>
      <rPr>
        <sz val="8"/>
        <color rgb="FF000000"/>
        <rFont val="WenQuanYi Zen Hei"/>
        <family val="2"/>
      </rPr>
      <t>誘導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閉会</t>
    </r>
  </si>
  <si>
    <t>見送り/帰国</t>
  </si>
  <si>
    <t>ウズベキスタン等対応/資料</t>
  </si>
  <si>
    <t>公邸受付/レセプション</t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</si>
  <si>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記録・サマリー補助</t>
    </r>
    <r>
      <rPr>
        <sz val="8"/>
        <color rgb="FF000000"/>
        <rFont val="Arial"/>
        <family val="2"/>
        <charset val="1"/>
      </rPr>
      <t>/Gala</t>
    </r>
  </si>
  <si>
    <r>
      <rPr>
        <sz val="8"/>
        <color rgb="FF000000"/>
        <rFont val="Arial"/>
        <family val="2"/>
        <charset val="1"/>
      </rPr>
      <t>Tech Session</t>
    </r>
    <r>
      <rPr>
        <sz val="8"/>
        <color rgb="FF000000"/>
        <rFont val="WenQuanYi Zen Hei"/>
        <family val="2"/>
      </rPr>
      <t>記録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サマリー</t>
    </r>
  </si>
  <si>
    <r>
      <rPr>
        <sz val="8"/>
        <color rgb="FF000000"/>
        <rFont val="Arial"/>
        <family val="2"/>
        <charset val="1"/>
      </rPr>
      <t>SIDEX Keynote/</t>
    </r>
    <r>
      <rPr>
        <sz val="8"/>
        <color rgb="FF000000"/>
        <rFont val="WenQuanYi Zen Hei"/>
        <family val="2"/>
      </rPr>
      <t>サマリー</t>
    </r>
  </si>
  <si>
    <t>帰国</t>
  </si>
  <si>
    <t>在場人数(確定・見込)</t>
  </si>
  <si>
    <t>在場人数(追加推奨2名込)</t>
  </si>
  <si>
    <t>※自動計算は『記入があり、かつ未手配・要確認・日本側到着(NRT着/HND着/KIX着/GVA着)を除く』人数で、フライト移動中を含む。黄色行（藤本・塩見）は追加推奨の仮置き。</t>
  </si>
  <si>
    <t>日本側サポート（神戸）　※JST = SGT + 1時間</t>
  </si>
  <si>
    <r>
      <rPr>
        <sz val="8"/>
        <color rgb="FF000000"/>
        <rFont val="Arial"/>
        <family val="2"/>
        <charset val="1"/>
      </rPr>
      <t>Webinar/Zoom/AI</t>
    </r>
    <r>
      <rPr>
        <sz val="8"/>
        <color rgb="FF000000"/>
        <rFont val="WenQuanYi Zen Hei"/>
        <family val="2"/>
      </rPr>
      <t>通訳 設定・リハーサル</t>
    </r>
  </si>
  <si>
    <t>現地(荒木田・池田)と接続テスト①(JST 15-17)</t>
  </si>
  <si>
    <r>
      <rPr>
        <sz val="8"/>
        <color rgb="FF000000"/>
        <rFont val="Arial"/>
        <family val="2"/>
        <charset val="1"/>
      </rPr>
      <t>AI</t>
    </r>
    <r>
      <rPr>
        <sz val="8"/>
        <color rgb="FF000000"/>
        <rFont val="WenQuanYi Zen Hei"/>
        <family val="2"/>
      </rPr>
      <t>通訳ツール最終設定</t>
    </r>
  </si>
  <si>
    <r>
      <rPr>
        <sz val="8"/>
        <color rgb="FF000000"/>
        <rFont val="Arial"/>
        <family val="2"/>
        <charset val="1"/>
      </rPr>
      <t>Webinar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  <charset val="1"/>
      </rPr>
      <t>Zoom</t>
    </r>
    <r>
      <rPr>
        <sz val="8"/>
        <color rgb="FF000000"/>
        <rFont val="WenQuanYi Zen Hei"/>
        <family val="2"/>
      </rPr>
      <t>ホスト設定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接続テスト②</t>
    </r>
    <r>
      <rPr>
        <sz val="8"/>
        <color rgb="FF000000"/>
        <rFont val="Arial"/>
        <family val="2"/>
        <charset val="1"/>
      </rPr>
      <t>(JST 14-17)/SC</t>
    </r>
    <r>
      <rPr>
        <sz val="8"/>
        <color rgb="FF000000"/>
        <rFont val="WenQuanYi Zen Hei"/>
        <family val="2"/>
      </rPr>
      <t>リハ</t>
    </r>
    <r>
      <rPr>
        <sz val="8"/>
        <color rgb="FF000000"/>
        <rFont val="Arial"/>
        <family val="2"/>
        <charset val="1"/>
      </rPr>
      <t>(Q&amp;A</t>
    </r>
    <r>
      <rPr>
        <sz val="8"/>
        <color rgb="FF000000"/>
        <rFont val="WenQuanYi Zen Hei"/>
        <family val="2"/>
      </rPr>
      <t>確認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</si>
  <si>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Webinar</t>
    </r>
    <r>
      <rPr>
        <sz val="8"/>
        <color rgb="FF000000"/>
        <rFont val="WenQuanYi Zen Hei"/>
        <family val="2"/>
      </rPr>
      <t>開始</t>
    </r>
    <r>
      <rPr>
        <sz val="8"/>
        <color rgb="FF000000"/>
        <rFont val="Arial"/>
        <family val="2"/>
        <charset val="1"/>
      </rPr>
      <t>/AI</t>
    </r>
    <r>
      <rPr>
        <sz val="8"/>
        <color rgb="FF000000"/>
        <rFont val="WenQuanYi Zen Hei"/>
        <family val="2"/>
      </rPr>
      <t xml:space="preserve">通訳監視 </t>
    </r>
    <r>
      <rPr>
        <sz val="8"/>
        <color rgb="FF000000"/>
        <rFont val="Arial"/>
        <family val="2"/>
        <charset val="1"/>
      </rPr>
      <t>(JST 9:30-)</t>
    </r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</si>
  <si>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  <charset val="1"/>
      </rPr>
      <t>SC: Q&amp;A/</t>
    </r>
    <r>
      <rPr>
        <sz val="8"/>
        <color rgb="FF000000"/>
        <rFont val="WenQuanYi Zen Hei"/>
        <family val="2"/>
      </rPr>
      <t>コメント確認・</t>
    </r>
    <r>
      <rPr>
        <sz val="8"/>
        <color rgb="FF000000"/>
        <rFont val="Arial"/>
        <family val="2"/>
        <charset val="1"/>
      </rPr>
      <t>AI</t>
    </r>
    <r>
      <rPr>
        <sz val="8"/>
        <color rgb="FF000000"/>
        <rFont val="WenQuanYi Zen Hei"/>
        <family val="2"/>
      </rPr>
      <t>通訳監視</t>
    </r>
  </si>
  <si>
    <r>
      <rPr>
        <sz val="8"/>
        <color rgb="FF000000"/>
        <rFont val="Arial"/>
        <family val="2"/>
        <charset val="1"/>
      </rPr>
      <t>TS: Q&amp;A/</t>
    </r>
    <r>
      <rPr>
        <sz val="8"/>
        <color rgb="FF000000"/>
        <rFont val="WenQuanYi Zen Hei"/>
        <family val="2"/>
      </rPr>
      <t>コメント確認・</t>
    </r>
    <r>
      <rPr>
        <sz val="8"/>
        <color rgb="FF000000"/>
        <rFont val="Arial"/>
        <family val="2"/>
        <charset val="1"/>
      </rPr>
      <t>AI</t>
    </r>
    <r>
      <rPr>
        <sz val="8"/>
        <color rgb="FF000000"/>
        <rFont val="WenQuanYi Zen Hei"/>
        <family val="2"/>
      </rPr>
      <t>通訳監視</t>
    </r>
  </si>
  <si>
    <t>（配信なし）ログ回収</t>
  </si>
  <si>
    <t>（SIDEX配信はSCDF側）</t>
  </si>
  <si>
    <r>
      <rPr>
        <sz val="8"/>
        <color rgb="FF000000"/>
        <rFont val="Arial"/>
        <family val="2"/>
        <charset val="1"/>
      </rPr>
      <t>Webinar/Zoom</t>
    </r>
    <r>
      <rPr>
        <sz val="8"/>
        <color rgb="FF000000"/>
        <rFont val="WenQuanYi Zen Hei"/>
        <family val="2"/>
      </rPr>
      <t>終了処理</t>
    </r>
  </si>
  <si>
    <t>録画設定テスト(クラウド+ローカル)</t>
  </si>
  <si>
    <t>録画リハーサル</t>
  </si>
  <si>
    <t>接続テスト②(録画・Q&amp;A確認)/SCリハ録画</t>
  </si>
  <si>
    <r>
      <rPr>
        <sz val="8"/>
        <color rgb="FF000000"/>
        <rFont val="Arial"/>
        <family val="2"/>
        <charset val="1"/>
      </rPr>
      <t xml:space="preserve">Opening/RT </t>
    </r>
    <r>
      <rPr>
        <sz val="8"/>
        <color rgb="FF000000"/>
        <rFont val="WenQuanYi Zen Hei"/>
        <family val="2"/>
      </rPr>
      <t>録画・オンライン質疑</t>
    </r>
  </si>
  <si>
    <r>
      <rPr>
        <sz val="8"/>
        <color rgb="FF000000"/>
        <rFont val="Arial"/>
        <family val="2"/>
        <charset val="1"/>
      </rPr>
      <t xml:space="preserve">SC </t>
    </r>
    <r>
      <rPr>
        <sz val="8"/>
        <color rgb="FF000000"/>
        <rFont val="WenQuanYi Zen Hei"/>
        <family val="2"/>
      </rPr>
      <t>録画</t>
    </r>
  </si>
  <si>
    <r>
      <rPr>
        <sz val="8"/>
        <color rgb="FF000000"/>
        <rFont val="Arial"/>
        <family val="2"/>
        <charset val="1"/>
      </rPr>
      <t xml:space="preserve">TS/Closing </t>
    </r>
    <r>
      <rPr>
        <sz val="8"/>
        <color rgb="FF000000"/>
        <rFont val="WenQuanYi Zen Hei"/>
        <family val="2"/>
      </rPr>
      <t>録画・オンライン質疑</t>
    </r>
  </si>
  <si>
    <t>録画データ整理・保存</t>
  </si>
  <si>
    <t>録画テスト(日英2台) ※仮置き</t>
  </si>
  <si>
    <t>録画(日英)ローカル保存 ※仮置き</t>
  </si>
  <si>
    <r>
      <rPr>
        <sz val="8"/>
        <color rgb="FF000000"/>
        <rFont val="Arial"/>
        <family val="2"/>
        <charset val="1"/>
      </rPr>
      <t>Webinar</t>
    </r>
    <r>
      <rPr>
        <sz val="8"/>
        <color rgb="FF000000"/>
        <rFont val="WenQuanYi Zen Hei"/>
        <family val="2"/>
      </rPr>
      <t>設定・ホスト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録画確認 ※仮置き</t>
    </r>
  </si>
  <si>
    <r>
      <rPr>
        <sz val="8"/>
        <color rgb="FF000000"/>
        <rFont val="Arial"/>
        <family val="2"/>
        <charset val="1"/>
      </rPr>
      <t>Webinar</t>
    </r>
    <r>
      <rPr>
        <sz val="8"/>
        <color rgb="FF000000"/>
        <rFont val="WenQuanYi Zen Hei"/>
        <family val="2"/>
      </rPr>
      <t>ホスト・録画確認 ※仮置き</t>
    </r>
  </si>
  <si>
    <r>
      <rPr>
        <sz val="8"/>
        <color rgb="FF000000"/>
        <rFont val="Arial"/>
        <family val="2"/>
        <charset val="1"/>
      </rPr>
      <t>SC Zoom</t>
    </r>
    <r>
      <rPr>
        <sz val="8"/>
        <color rgb="FF000000"/>
        <rFont val="WenQuanYi Zen Hei"/>
        <family val="2"/>
      </rPr>
      <t>設定 ※仮置き</t>
    </r>
  </si>
  <si>
    <t>※中村・山口は荒木田指示（9/4）により確定。寺坂・伊達はACDR2025の実績に基づくバックアップの仮置きで、本人未確認。</t>
  </si>
  <si>
    <r>
      <rPr>
        <b/>
        <sz val="12"/>
        <color rgb="FF1F4E78"/>
        <rFont val="Arial"/>
        <family val="2"/>
        <charset val="1"/>
      </rPr>
      <t xml:space="preserve">27 OCT 2026 (TUE)  Day 0: </t>
    </r>
    <r>
      <rPr>
        <b/>
        <sz val="12"/>
        <color rgb="FF1F4E78"/>
        <rFont val="WenQuanYi Zen Hei"/>
        <family val="2"/>
      </rPr>
      <t>参加者到着・大使公邸レセプション（</t>
    </r>
    <r>
      <rPr>
        <b/>
        <sz val="12"/>
        <color rgb="FF1F4E78"/>
        <rFont val="Arial"/>
        <family val="2"/>
        <charset val="1"/>
      </rPr>
      <t>SJ60 Commemorative Reception</t>
    </r>
    <r>
      <rPr>
        <b/>
        <sz val="12"/>
        <color rgb="FF1F4E78"/>
        <rFont val="WenQuanYi Zen Hei"/>
        <family val="2"/>
      </rPr>
      <t>）</t>
    </r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</si>
  <si>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</si>
  <si>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</si>
  <si>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</si>
  <si>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</si>
  <si>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</si>
  <si>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</si>
  <si>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</si>
  <si>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</si>
  <si>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</si>
  <si>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</si>
  <si>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</si>
  <si>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</si>
  <si>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</si>
  <si>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</si>
  <si>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</si>
  <si>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</si>
  <si>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参加者到着(Dorsett): 07:15モルディブ/08:10スリランカ/08:45アルメニア・トルコ・ウズベキスタン/11:15パキスタン/11:20インドネシア</t>
  </si>
  <si>
    <t>到着: 12:20マレーシア/14:30ブルネイ/14:50タイ/15:10ミャンマー</t>
  </si>
  <si>
    <t>大使公邸 設営（名札セット持込・受付配置）</t>
  </si>
  <si>
    <t>レセプション 18:30開始(大使挨拶・乾杯・内閣府発表) 20:00中締め</t>
  </si>
  <si>
    <t>撤収</t>
  </si>
  <si>
    <t>レセプション出席(VIP)</t>
  </si>
  <si>
    <t>事前ブリーフィング(荒木田・児玉)</t>
  </si>
  <si>
    <t>内閣府(林統括官)到着対応・打合せ</t>
  </si>
  <si>
    <t>レセプション(大使・内閣府対応)</t>
  </si>
  <si>
    <t>公邸・ケータリング最終確認</t>
  </si>
  <si>
    <t>公邸設営・MC進行確認</t>
  </si>
  <si>
    <r>
      <rPr>
        <sz val="8"/>
        <color rgb="FF000000"/>
        <rFont val="Arial"/>
        <family val="2"/>
        <charset val="1"/>
      </rPr>
      <t>MC/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</si>
  <si>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  <charset val="1"/>
      </rPr>
      <t>Peridot</t>
    </r>
    <r>
      <rPr>
        <sz val="8"/>
        <color rgb="FF000000"/>
        <rFont val="WenQuanYi Zen Hei"/>
        <family val="2"/>
      </rPr>
      <t>会場確認</t>
    </r>
  </si>
  <si>
    <t>北本ブリーフィング</t>
  </si>
  <si>
    <t>機材・Zoom・AI通訳準備／日本側(中村・山口)と接続テスト②(JST14-17)</t>
  </si>
  <si>
    <t>公邸設営・運営・撤収</t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</si>
  <si>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ステートメント確認</t>
    </r>
  </si>
  <si>
    <t>公邸受付準備</t>
  </si>
  <si>
    <t>受付/進行補佐</t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</si>
  <si>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到着者対応</t>
    </r>
    <r>
      <rPr>
        <sz val="8"/>
        <color rgb="FF000000"/>
        <rFont val="Arial"/>
        <family val="2"/>
        <charset val="1"/>
      </rPr>
      <t>)</t>
    </r>
  </si>
  <si>
    <t>公邸受付準備(名札セット)</t>
  </si>
  <si>
    <t>受付/名札配布</t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</si>
  <si>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到着者・送迎確認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</si>
  <si>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Peridot AV</t>
    </r>
    <r>
      <rPr>
        <sz val="8"/>
        <color rgb="FF000000"/>
        <rFont val="WenQuanYi Zen Hei"/>
        <family val="2"/>
      </rPr>
      <t>確認</t>
    </r>
    <r>
      <rPr>
        <sz val="8"/>
        <color rgb="FF000000"/>
        <rFont val="Arial"/>
        <family val="2"/>
        <charset val="1"/>
      </rPr>
      <t>/Japan Pavilion</t>
    </r>
  </si>
  <si>
    <t>機材準備／日本側と接続テスト②(録画・Q&amp;A確認)</t>
  </si>
  <si>
    <t>レセプション(設営補助)</t>
  </si>
  <si>
    <r>
      <rPr>
        <sz val="8"/>
        <color rgb="FF000000"/>
        <rFont val="Arial"/>
        <family val="2"/>
        <charset val="1"/>
      </rPr>
      <t>RT/Summary</t>
    </r>
    <r>
      <rPr>
        <sz val="8"/>
        <color rgb="FF000000"/>
        <rFont val="WenQuanYi Zen Hei"/>
        <family val="2"/>
      </rPr>
      <t>準備</t>
    </r>
  </si>
  <si>
    <t>レセプション</t>
  </si>
  <si>
    <t>登壇者連絡・接続テスト</t>
  </si>
  <si>
    <t>【推奨】Dorsett受付3人目/名札・Zoom設定</t>
  </si>
  <si>
    <t>【推奨】公邸受付/写真</t>
  </si>
  <si>
    <t>【推奨】到着者対応(ウズベキスタン等)</t>
  </si>
  <si>
    <t>【推奨】レセプション受付補助</t>
  </si>
  <si>
    <t>稼働人数(自動)</t>
  </si>
  <si>
    <t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</si>
  <si>
    <t>ギャップ: (1) 18:30-21:00に受付(名札セット配布100-120名)・MC・VIP対応・写真・バス誘導(Dorsett→公邸)が同時発生。受付2名(藤中・田中)＋吉田で名札配布、写真担当が空白。(2) 日中はDorsett到着対応と公邸設営準備が並行し、荒木田・池田は機材、児玉は公邸に張り付くため、Dorsettに残るのは藤中・田中の2名のみ。</t>
  </si>
  <si>
    <t>日本側サポート（神戸）※列はシンガポール時間、JSTは+1時間</t>
  </si>
  <si>
    <r>
      <rPr>
        <sz val="8"/>
        <rFont val="Arial"/>
        <family val="2"/>
        <charset val="1"/>
      </rPr>
      <t>AI</t>
    </r>
    <r>
      <rPr>
        <sz val="8"/>
        <rFont val="WenQuanYi Zen Hei"/>
        <family val="2"/>
      </rPr>
      <t xml:space="preserve">通訳ツール最終設定 </t>
    </r>
    <r>
      <rPr>
        <sz val="8"/>
        <rFont val="Arial"/>
        <family val="2"/>
        <charset val="1"/>
      </rPr>
      <t>(JST10-13)</t>
    </r>
  </si>
  <si>
    <t>接続テスト②: Webinar/Zoomホスト設定・現地(荒木田・池田)と接続 (JST14-17)</t>
  </si>
  <si>
    <t>接続テスト②参加・録画リハ</t>
  </si>
  <si>
    <r>
      <rPr>
        <sz val="8"/>
        <rFont val="Arial"/>
        <family val="2"/>
        <charset val="1"/>
      </rPr>
      <t>Webinar</t>
    </r>
    <r>
      <rPr>
        <sz val="8"/>
        <rFont val="WenQuanYi Zen Hei"/>
        <family val="2"/>
      </rPr>
      <t>設定・ホスト</t>
    </r>
    <r>
      <rPr>
        <sz val="8"/>
        <rFont val="Arial"/>
        <family val="2"/>
        <charset val="1"/>
      </rPr>
      <t>/</t>
    </r>
    <r>
      <rPr>
        <sz val="8"/>
        <rFont val="WenQuanYi Zen Hei"/>
        <family val="2"/>
      </rPr>
      <t>録画確認 ※仮置き</t>
    </r>
  </si>
  <si>
    <t>※寺坂・伊達はACDR2025の実績（録画日英2台・Webinarホスト確認）に基づく仮置き。WebinarとZoomはクラウド録画をバックアップとし、ローカルにも保存（2025年運用）。</t>
  </si>
  <si>
    <t>28 OCT 2026 (WED)  Day 1: Joint Opening / ACDR Opening / Roundtable / SC / Gala Dinner</t>
  </si>
  <si>
    <t>会場・NW最終テスト(演台・客席・事務局部屋)／事務局部屋立上げ／Hotel Mi→EXPO バス</t>
  </si>
  <si>
    <t>Joint Opening (Hall 3)</t>
  </si>
  <si>
    <r>
      <rPr>
        <sz val="8"/>
        <color rgb="FF000000"/>
        <rFont val="Arial"/>
        <family val="2"/>
        <charset val="1"/>
      </rPr>
      <t>VIP Tour(Japan Pavilion Opening)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  <charset val="1"/>
      </rPr>
      <t>11:15</t>
    </r>
    <r>
      <rPr>
        <sz val="8"/>
        <color rgb="FF000000"/>
        <rFont val="WenQuanYi Zen Hei"/>
        <family val="2"/>
      </rPr>
      <t>表敬</t>
    </r>
  </si>
  <si>
    <t>Lunch (Hall 3)</t>
  </si>
  <si>
    <t>ACDR Opening</t>
  </si>
  <si>
    <r>
      <rPr>
        <sz val="8"/>
        <color rgb="FF000000"/>
        <rFont val="Arial"/>
        <family val="2"/>
        <charset val="1"/>
      </rPr>
      <t>Roundtable (Peridot) SCDF</t>
    </r>
    <r>
      <rPr>
        <sz val="8"/>
        <color rgb="FF000000"/>
        <rFont val="WenQuanYi Zen Hei"/>
        <family val="2"/>
      </rPr>
      <t>モデレーター</t>
    </r>
    <r>
      <rPr>
        <sz val="8"/>
        <color rgb="FF000000"/>
        <rFont val="Arial"/>
        <family val="2"/>
        <charset val="1"/>
      </rPr>
      <t>+</t>
    </r>
    <r>
      <rPr>
        <sz val="8"/>
        <color rgb="FF000000"/>
        <rFont val="WenQuanYi Zen Hei"/>
        <family val="2"/>
      </rPr>
      <t>メンバー国</t>
    </r>
    <r>
      <rPr>
        <sz val="8"/>
        <color rgb="FF000000"/>
        <rFont val="Arial"/>
        <family val="2"/>
        <charset val="1"/>
      </rPr>
      <t>Co-Mod</t>
    </r>
  </si>
  <si>
    <t>Steering Committee</t>
  </si>
  <si>
    <r>
      <rPr>
        <sz val="8"/>
        <color rgb="FF000000"/>
        <rFont val="Arial"/>
        <family val="2"/>
        <charset val="1"/>
      </rPr>
      <t>Dorsett 17:30</t>
    </r>
    <r>
      <rPr>
        <sz val="8"/>
        <color rgb="FF000000"/>
        <rFont val="WenQuanYi Zen Hei"/>
        <family val="2"/>
      </rPr>
      <t>発→</t>
    </r>
    <r>
      <rPr>
        <sz val="8"/>
        <color rgb="FF000000"/>
        <rFont val="Arial"/>
        <family val="2"/>
        <charset val="1"/>
      </rPr>
      <t>Orchard Hotel</t>
    </r>
  </si>
  <si>
    <t>SIDEX Gala Dinner (Grand Ballroom)</t>
  </si>
  <si>
    <r>
      <rPr>
        <sz val="8"/>
        <color rgb="FF000000"/>
        <rFont val="Arial"/>
        <family val="2"/>
        <charset val="1"/>
      </rPr>
      <t xml:space="preserve">ACDR Opening </t>
    </r>
    <r>
      <rPr>
        <sz val="8"/>
        <color rgb="FF000000"/>
        <rFont val="WenQuanYi Zen Hei"/>
        <family val="2"/>
      </rPr>
      <t>挨拶</t>
    </r>
  </si>
  <si>
    <t>Roundtable</t>
  </si>
  <si>
    <t>SC</t>
  </si>
  <si>
    <t>Gala</t>
  </si>
  <si>
    <t>Opening/Roundtable</t>
  </si>
  <si>
    <t>内閣府随行(Opening/VIP Tour/表敬)</t>
  </si>
  <si>
    <r>
      <rPr>
        <sz val="8"/>
        <color rgb="FF000000"/>
        <rFont val="Arial"/>
        <family val="2"/>
        <charset val="1"/>
      </rPr>
      <t>Opening/RT(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</si>
  <si>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SC(</t>
    </r>
    <r>
      <rPr>
        <sz val="8"/>
        <color rgb="FF000000"/>
        <rFont val="WenQuanYi Zen Hei"/>
        <family val="2"/>
      </rPr>
      <t>議長</t>
    </r>
    <r>
      <rPr>
        <sz val="8"/>
        <color rgb="FF000000"/>
        <rFont val="Arial"/>
        <family val="2"/>
        <charset val="1"/>
      </rPr>
      <t>=</t>
    </r>
    <r>
      <rPr>
        <sz val="8"/>
        <color rgb="FF000000"/>
        <rFont val="WenQuanYi Zen Hei"/>
        <family val="2"/>
      </rPr>
      <t>内閣府 補佐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</si>
  <si>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Gala(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  <charset val="1"/>
      </rPr>
      <t>)</t>
    </r>
  </si>
  <si>
    <t>会場テスト/事務局部屋</t>
  </si>
  <si>
    <t>内閣府随行・VIP動線</t>
  </si>
  <si>
    <r>
      <rPr>
        <sz val="8"/>
        <color rgb="FF000000"/>
        <rFont val="Arial"/>
        <family val="2"/>
        <charset val="1"/>
      </rPr>
      <t>RT(</t>
    </r>
    <r>
      <rPr>
        <sz val="8"/>
        <color rgb="FF000000"/>
        <rFont val="WenQuanYi Zen Hei"/>
        <family val="2"/>
      </rPr>
      <t>バイ会談調整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</si>
  <si>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Gala</t>
    </r>
    <r>
      <rPr>
        <sz val="8"/>
        <color rgb="FF000000"/>
        <rFont val="WenQuanYi Zen Hei"/>
        <family val="2"/>
      </rPr>
      <t>引率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バス</t>
    </r>
    <r>
      <rPr>
        <sz val="8"/>
        <color rgb="FF000000"/>
        <rFont val="Arial"/>
        <family val="2"/>
        <charset val="1"/>
      </rPr>
      <t>)</t>
    </r>
  </si>
  <si>
    <t>会場・NW・Zoom・AI通訳テスト／日本側と接続確認</t>
  </si>
  <si>
    <r>
      <rPr>
        <sz val="8"/>
        <color rgb="FF000000"/>
        <rFont val="Arial"/>
        <family val="2"/>
        <charset val="1"/>
      </rPr>
      <t>Opening</t>
    </r>
    <r>
      <rPr>
        <sz val="8"/>
        <color rgb="FF000000"/>
        <rFont val="WenQuanYi Zen Hei"/>
        <family val="2"/>
      </rPr>
      <t>進行確認</t>
    </r>
    <r>
      <rPr>
        <sz val="8"/>
        <color rgb="FF000000"/>
        <rFont val="Arial"/>
        <family val="2"/>
        <charset val="1"/>
      </rPr>
      <t>/VIP Tour</t>
    </r>
    <r>
      <rPr>
        <sz val="8"/>
        <color rgb="FF000000"/>
        <rFont val="WenQuanYi Zen Hei"/>
        <family val="2"/>
      </rPr>
      <t>同行</t>
    </r>
  </si>
  <si>
    <r>
      <rPr>
        <sz val="8"/>
        <color rgb="FF000000"/>
        <rFont val="Arial"/>
        <family val="2"/>
        <charset val="1"/>
      </rPr>
      <t>ACDR Opening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</si>
  <si>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  <charset val="1"/>
      </rPr>
      <t>RT AV/Zoom</t>
    </r>
    <r>
      <rPr>
        <sz val="8"/>
        <color rgb="FF000000"/>
        <rFont val="WenQuanYi Zen Hei"/>
        <family val="2"/>
      </rPr>
      <t>運用</t>
    </r>
  </si>
  <si>
    <r>
      <rPr>
        <sz val="8"/>
        <color rgb="FF000000"/>
        <rFont val="Arial"/>
        <family val="2"/>
        <charset val="1"/>
      </rPr>
      <t>SC(</t>
    </r>
    <r>
      <rPr>
        <sz val="8"/>
        <color rgb="FF000000"/>
        <rFont val="WenQuanYi Zen Hei"/>
        <family val="2"/>
      </rPr>
      <t>記録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</si>
  <si>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準備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ステートメント・席札</t>
    </r>
    <r>
      <rPr>
        <sz val="8"/>
        <color rgb="FF000000"/>
        <rFont val="Arial"/>
        <family val="2"/>
        <charset val="1"/>
      </rPr>
      <t>)</t>
    </r>
  </si>
  <si>
    <t>参加者誘導(Hall3→昼食)</t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</si>
  <si>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  <charset val="1"/>
      </rPr>
      <t>(PIC)</t>
    </r>
  </si>
  <si>
    <r>
      <rPr>
        <sz val="8"/>
        <color rgb="FF000000"/>
        <rFont val="Arial"/>
        <family val="2"/>
        <charset val="1"/>
      </rPr>
      <t>SC</t>
    </r>
    <r>
      <rPr>
        <sz val="8"/>
        <color rgb="FF000000"/>
        <rFont val="WenQuanYi Zen Hei"/>
        <family val="2"/>
      </rPr>
      <t>補助</t>
    </r>
  </si>
  <si>
    <r>
      <rPr>
        <sz val="8"/>
        <color rgb="FF000000"/>
        <rFont val="Arial"/>
        <family val="2"/>
        <charset val="1"/>
      </rPr>
      <t>Gala</t>
    </r>
    <r>
      <rPr>
        <sz val="8"/>
        <color rgb="FF000000"/>
        <rFont val="WenQuanYi Zen Hei"/>
        <family val="2"/>
      </rPr>
      <t>引率</t>
    </r>
  </si>
  <si>
    <t>受付/RT</t>
  </si>
  <si>
    <r>
      <rPr>
        <sz val="8"/>
        <color rgb="FF000000"/>
        <rFont val="Arial"/>
        <family val="2"/>
        <charset val="1"/>
      </rPr>
      <t>SC</t>
    </r>
    <r>
      <rPr>
        <sz val="8"/>
        <color rgb="FF000000"/>
        <rFont val="WenQuanYi Zen Hei"/>
        <family val="2"/>
      </rPr>
      <t>事務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会計報告</t>
    </r>
    <r>
      <rPr>
        <sz val="8"/>
        <color rgb="FF000000"/>
        <rFont val="Arial"/>
        <family val="2"/>
        <charset val="1"/>
      </rPr>
      <t>)</t>
    </r>
  </si>
  <si>
    <t>受付</t>
  </si>
  <si>
    <r>
      <rPr>
        <sz val="8"/>
        <color rgb="FF000000"/>
        <rFont val="Arial"/>
        <family val="2"/>
        <charset val="1"/>
      </rPr>
      <t>Gala</t>
    </r>
    <r>
      <rPr>
        <sz val="8"/>
        <color rgb="FF000000"/>
        <rFont val="WenQuanYi Zen Hei"/>
        <family val="2"/>
      </rPr>
      <t>引率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名簿</t>
    </r>
    <r>
      <rPr>
        <sz val="8"/>
        <color rgb="FF000000"/>
        <rFont val="Arial"/>
        <family val="2"/>
        <charset val="1"/>
      </rPr>
      <t>)</t>
    </r>
  </si>
  <si>
    <t>会場AVテスト／日本側と接続確認</t>
  </si>
  <si>
    <r>
      <rPr>
        <sz val="8"/>
        <color rgb="FF000000"/>
        <rFont val="Arial"/>
        <family val="2"/>
        <charset val="1"/>
      </rPr>
      <t>Japan Pavilion</t>
    </r>
    <r>
      <rPr>
        <sz val="8"/>
        <color rgb="FF000000"/>
        <rFont val="WenQuanYi Zen Hei"/>
        <family val="2"/>
      </rPr>
      <t>連携</t>
    </r>
  </si>
  <si>
    <r>
      <rPr>
        <sz val="8"/>
        <color rgb="FF000000"/>
        <rFont val="Arial"/>
        <family val="2"/>
        <charset val="1"/>
      </rPr>
      <t>RT PC</t>
    </r>
    <r>
      <rPr>
        <sz val="8"/>
        <color rgb="FF000000"/>
        <rFont val="WenQuanYi Zen Hei"/>
        <family val="2"/>
      </rPr>
      <t>・スクリーン操作</t>
    </r>
  </si>
  <si>
    <t>SC(AV)</t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</si>
  <si>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共同運営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ノート</t>
    </r>
  </si>
  <si>
    <r>
      <rPr>
        <sz val="8"/>
        <color rgb="FF000000"/>
        <rFont val="Arial"/>
        <family val="2"/>
        <charset val="1"/>
      </rPr>
      <t>SC</t>
    </r>
    <r>
      <rPr>
        <sz val="8"/>
        <color rgb="FF000000"/>
        <rFont val="WenQuanYi Zen Hei"/>
        <family val="2"/>
      </rPr>
      <t>メモ</t>
    </r>
  </si>
  <si>
    <r>
      <rPr>
        <sz val="8"/>
        <color rgb="FF000000"/>
        <rFont val="Arial"/>
        <family val="2"/>
        <charset val="1"/>
      </rPr>
      <t>Draft Summary</t>
    </r>
    <r>
      <rPr>
        <sz val="8"/>
        <color rgb="FF000000"/>
        <rFont val="WenQuanYi Zen Hei"/>
        <family val="2"/>
      </rPr>
      <t>執筆</t>
    </r>
  </si>
  <si>
    <r>
      <rPr>
        <sz val="8"/>
        <color rgb="FF000000"/>
        <rFont val="Arial"/>
        <family val="2"/>
        <charset val="1"/>
      </rPr>
      <t>RT</t>
    </r>
    <r>
      <rPr>
        <sz val="8"/>
        <color rgb="FF000000"/>
        <rFont val="WenQuanYi Zen Hei"/>
        <family val="2"/>
      </rPr>
      <t>ノート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翌日登壇者対応</t>
    </r>
  </si>
  <si>
    <t>登壇者リハ調整</t>
  </si>
  <si>
    <t>【推奨】Zoom/AI翻訳セットアップ</t>
  </si>
  <si>
    <t>【推奨】写真/誘導</t>
  </si>
  <si>
    <t>【推奨】Zoom・AI翻訳オペ/写真</t>
  </si>
  <si>
    <t>【推奨】Gala(写真)</t>
  </si>
  <si>
    <t>【推奨】参加者誘導</t>
  </si>
  <si>
    <t>【推奨】RT記録</t>
  </si>
  <si>
    <t>【推奨】SC記録補助</t>
  </si>
  <si>
    <t>【推奨】Gala</t>
  </si>
  <si>
    <t>ギャップ: (1) 07:30-09:30 会場テストと同時にHotel Mi→EXPOバス・Dorsett出発対応が必要だが、機材担当(荒木田・池田)がテスト、児玉は内閣府対応で受付は藤中・田中のみ。(2) 10:00-11:45 Hall3(Opening/VIP Tour)とPeridot(受付・設営)に分かれ、VIP随行(宮木・児玉・荒木田)が抜ける間のPeridot側は藤中・田中・吉田のみ。(3) Roundtable中はAV/Zoom(荒木田・池田)、進行(吉田・Gerry)、ノート(Gerry・Mizan)、受付(藤中・田中)で全員が張り付き、写真・バイ会談・急病等の予備要員がゼロ。(4) Gala出発17:30はSC終了16:45の45分後で、撤収要員が不足。</t>
  </si>
  <si>
    <r>
      <rPr>
        <sz val="8"/>
        <rFont val="Arial"/>
        <family val="2"/>
        <charset val="1"/>
      </rPr>
      <t>Webinar</t>
    </r>
    <r>
      <rPr>
        <sz val="8"/>
        <rFont val="WenQuanYi Zen Hei"/>
        <family val="2"/>
      </rPr>
      <t>起動・</t>
    </r>
    <r>
      <rPr>
        <sz val="8"/>
        <rFont val="Arial"/>
        <family val="2"/>
        <charset val="1"/>
      </rPr>
      <t>AI</t>
    </r>
    <r>
      <rPr>
        <sz val="8"/>
        <rFont val="WenQuanYi Zen Hei"/>
        <family val="2"/>
      </rPr>
      <t xml:space="preserve">通訳・現地接続確認 </t>
    </r>
    <r>
      <rPr>
        <sz val="8"/>
        <rFont val="Arial"/>
        <family val="2"/>
        <charset val="1"/>
      </rPr>
      <t>(JST9-10:30)</t>
    </r>
  </si>
  <si>
    <r>
      <rPr>
        <sz val="8"/>
        <rFont val="Arial"/>
        <family val="2"/>
        <charset val="1"/>
      </rPr>
      <t>ACDR Opening/RT: Q&amp;A</t>
    </r>
    <r>
      <rPr>
        <sz val="8"/>
        <rFont val="WenQuanYi Zen Hei"/>
        <family val="2"/>
      </rPr>
      <t>・コメント確認・</t>
    </r>
    <r>
      <rPr>
        <sz val="8"/>
        <rFont val="Arial"/>
        <family val="2"/>
        <charset val="1"/>
      </rPr>
      <t>AI</t>
    </r>
    <r>
      <rPr>
        <sz val="8"/>
        <rFont val="WenQuanYi Zen Hei"/>
        <family val="2"/>
      </rPr>
      <t>通訳監視</t>
    </r>
  </si>
  <si>
    <r>
      <rPr>
        <sz val="8"/>
        <rFont val="Arial"/>
        <family val="2"/>
        <charset val="1"/>
      </rPr>
      <t>SC: Zoom</t>
    </r>
    <r>
      <rPr>
        <sz val="8"/>
        <rFont val="WenQuanYi Zen Hei"/>
        <family val="2"/>
      </rPr>
      <t>設定・</t>
    </r>
    <r>
      <rPr>
        <sz val="8"/>
        <rFont val="Arial"/>
        <family val="2"/>
        <charset val="1"/>
      </rPr>
      <t>Q&amp;A</t>
    </r>
    <r>
      <rPr>
        <sz val="8"/>
        <rFont val="WenQuanYi Zen Hei"/>
        <family val="2"/>
      </rPr>
      <t>確認</t>
    </r>
  </si>
  <si>
    <t>録画準備</t>
  </si>
  <si>
    <r>
      <rPr>
        <sz val="8"/>
        <rFont val="Arial"/>
        <family val="2"/>
        <charset val="1"/>
      </rPr>
      <t xml:space="preserve">Opening/RT </t>
    </r>
    <r>
      <rPr>
        <sz val="8"/>
        <rFont val="WenQuanYi Zen Hei"/>
        <family val="2"/>
      </rPr>
      <t>録画・オンライン質疑取次</t>
    </r>
  </si>
  <si>
    <r>
      <rPr>
        <sz val="8"/>
        <rFont val="Arial"/>
        <family val="2"/>
        <charset val="1"/>
      </rPr>
      <t xml:space="preserve">SC </t>
    </r>
    <r>
      <rPr>
        <sz val="8"/>
        <rFont val="WenQuanYi Zen Hei"/>
        <family val="2"/>
      </rPr>
      <t>録画</t>
    </r>
  </si>
  <si>
    <t>録画(日英2台)ローカル保存 ※仮置き</t>
  </si>
  <si>
    <r>
      <rPr>
        <sz val="8"/>
        <rFont val="Arial"/>
        <family val="2"/>
        <charset val="1"/>
      </rPr>
      <t>Webinar</t>
    </r>
    <r>
      <rPr>
        <sz val="8"/>
        <rFont val="WenQuanYi Zen Hei"/>
        <family val="2"/>
      </rPr>
      <t>ホスト・録画確認 ※仮置き</t>
    </r>
  </si>
  <si>
    <r>
      <rPr>
        <sz val="8"/>
        <rFont val="Arial"/>
        <family val="2"/>
        <charset val="1"/>
      </rPr>
      <t>SC Zoom</t>
    </r>
    <r>
      <rPr>
        <sz val="8"/>
        <rFont val="WenQuanYi Zen Hei"/>
        <family val="2"/>
      </rPr>
      <t>設定 ※仮置き</t>
    </r>
  </si>
  <si>
    <t>29 OCT 2026 (THU)  Day 2: Technical Session / Closing / Field Trip (CDA) / SCDF Parade &amp; Dinner</t>
  </si>
  <si>
    <t>会場準備(ステージ前方へ・テーブルマイク)／登壇者集合・接続確認</t>
  </si>
  <si>
    <t>Technical Session (Peridot) SCDF+ADRC Co-Chair</t>
  </si>
  <si>
    <t>Summary &amp; Closing</t>
  </si>
  <si>
    <t>Lunch</t>
  </si>
  <si>
    <r>
      <rPr>
        <sz val="8"/>
        <color rgb="FF000000"/>
        <rFont val="Arial"/>
        <family val="2"/>
        <charset val="1"/>
      </rPr>
      <t>Field Trip: Civil Defence Academy</t>
    </r>
    <r>
      <rPr>
        <sz val="8"/>
        <color rgb="FF000000"/>
        <rFont val="WenQuanYi Zen Hei"/>
        <family val="2"/>
      </rPr>
      <t>（</t>
    </r>
    <r>
      <rPr>
        <sz val="8"/>
        <color rgb="FF000000"/>
        <rFont val="Arial"/>
        <family val="2"/>
        <charset val="1"/>
      </rPr>
      <t>Flyer 8/26</t>
    </r>
    <r>
      <rPr>
        <sz val="8"/>
        <color rgb="FF000000"/>
        <rFont val="WenQuanYi Zen Hei"/>
        <family val="2"/>
      </rPr>
      <t>版は</t>
    </r>
    <r>
      <rPr>
        <sz val="8"/>
        <color rgb="FF000000"/>
        <rFont val="Arial"/>
        <family val="2"/>
        <charset val="1"/>
      </rPr>
      <t>13:00</t>
    </r>
    <r>
      <rPr>
        <sz val="8"/>
        <color rgb="FF000000"/>
        <rFont val="WenQuanYi Zen Hei"/>
        <family val="2"/>
      </rPr>
      <t>発）</t>
    </r>
  </si>
  <si>
    <t>SCDF Parade (Hall 4)</t>
  </si>
  <si>
    <t>Parade Dinner (Garnet Room)</t>
  </si>
  <si>
    <t>Field Trip</t>
  </si>
  <si>
    <t>Parade &amp; Dinner</t>
  </si>
  <si>
    <r>
      <rPr>
        <sz val="8"/>
        <color rgb="FF000000"/>
        <rFont val="Arial"/>
        <family val="2"/>
        <charset val="1"/>
      </rPr>
      <t>Field Trip(</t>
    </r>
    <r>
      <rPr>
        <sz val="8"/>
        <color rgb="FF000000"/>
        <rFont val="WenQuanYi Zen Hei"/>
        <family val="2"/>
      </rPr>
      <t>任意</t>
    </r>
    <r>
      <rPr>
        <sz val="8"/>
        <color rgb="FF000000"/>
        <rFont val="Arial"/>
        <family val="2"/>
        <charset val="1"/>
      </rPr>
      <t>)</t>
    </r>
  </si>
  <si>
    <r>
      <rPr>
        <sz val="8"/>
        <color rgb="FF000000"/>
        <rFont val="Arial"/>
        <family val="2"/>
        <charset val="1"/>
      </rPr>
      <t>Tech Session/Closing(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  <charset val="1"/>
      </rPr>
      <t>)</t>
    </r>
  </si>
  <si>
    <t>内閣府随行/バイ会談</t>
  </si>
  <si>
    <t>会場準備</t>
  </si>
  <si>
    <r>
      <rPr>
        <sz val="8"/>
        <color rgb="FF000000"/>
        <rFont val="Arial"/>
        <family val="2"/>
        <charset val="1"/>
      </rPr>
      <t>Tech Session(</t>
    </r>
    <r>
      <rPr>
        <sz val="8"/>
        <color rgb="FF000000"/>
        <rFont val="WenQuanYi Zen Hei"/>
        <family val="2"/>
      </rPr>
      <t>バイ会談調整</t>
    </r>
    <r>
      <rPr>
        <sz val="8"/>
        <color rgb="FF000000"/>
        <rFont val="Arial"/>
        <family val="2"/>
        <charset val="1"/>
      </rPr>
      <t>)</t>
    </r>
  </si>
  <si>
    <t>事務局撤収/Day3準備/バイ会談</t>
  </si>
  <si>
    <r>
      <rPr>
        <sz val="8"/>
        <color rgb="FF000000"/>
        <rFont val="Arial"/>
        <family val="2"/>
        <charset val="1"/>
      </rPr>
      <t>AV/Zoom</t>
    </r>
    <r>
      <rPr>
        <sz val="8"/>
        <color rgb="FF000000"/>
        <rFont val="WenQuanYi Zen Hei"/>
        <family val="2"/>
      </rPr>
      <t>準備・登壇者確認／日本側と接続確認</t>
    </r>
  </si>
  <si>
    <r>
      <rPr>
        <sz val="8"/>
        <color rgb="FF000000"/>
        <rFont val="Arial"/>
        <family val="2"/>
        <charset val="1"/>
      </rPr>
      <t>Tech Session AV/Zoom</t>
    </r>
    <r>
      <rPr>
        <sz val="8"/>
        <color rgb="FF000000"/>
        <rFont val="WenQuanYi Zen Hei"/>
        <family val="2"/>
      </rPr>
      <t>運用</t>
    </r>
  </si>
  <si>
    <r>
      <rPr>
        <sz val="8"/>
        <color rgb="FF000000"/>
        <rFont val="Arial"/>
        <family val="2"/>
        <charset val="1"/>
      </rPr>
      <t>Summary/Closing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</si>
  <si>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  <charset val="1"/>
      </rPr>
      <t>Field Trip</t>
    </r>
    <r>
      <rPr>
        <sz val="8"/>
        <color rgb="FF000000"/>
        <rFont val="WenQuanYi Zen Hei"/>
        <family val="2"/>
      </rPr>
      <t>引率</t>
    </r>
    <r>
      <rPr>
        <sz val="8"/>
        <color rgb="FF000000"/>
        <rFont val="Arial"/>
        <family val="2"/>
        <charset val="1"/>
      </rPr>
      <t>(</t>
    </r>
    <r>
      <rPr>
        <sz val="8"/>
        <color rgb="FF000000"/>
        <rFont val="WenQuanYi Zen Hei"/>
        <family val="2"/>
      </rPr>
      <t>バス</t>
    </r>
    <r>
      <rPr>
        <sz val="8"/>
        <color rgb="FF000000"/>
        <rFont val="Arial"/>
        <family val="2"/>
        <charset val="1"/>
      </rPr>
      <t>)</t>
    </r>
  </si>
  <si>
    <t>参加者誘導・Field Trip名簿</t>
  </si>
  <si>
    <r>
      <rPr>
        <sz val="8"/>
        <color rgb="FF000000"/>
        <rFont val="Arial"/>
        <family val="2"/>
        <charset val="1"/>
      </rPr>
      <t>Tech Session</t>
    </r>
    <r>
      <rPr>
        <sz val="8"/>
        <color rgb="FF000000"/>
        <rFont val="WenQuanYi Zen Hei"/>
        <family val="2"/>
      </rPr>
      <t>記録</t>
    </r>
  </si>
  <si>
    <t>受付デスク/支払・清算</t>
  </si>
  <si>
    <t>事務局撤収/ホテル・バス精算</t>
  </si>
  <si>
    <t>受付デスク/登壇者受付</t>
  </si>
  <si>
    <r>
      <rPr>
        <sz val="8"/>
        <color rgb="FF000000"/>
        <rFont val="Arial"/>
        <family val="2"/>
        <charset val="1"/>
      </rPr>
      <t>Field Trip</t>
    </r>
    <r>
      <rPr>
        <sz val="8"/>
        <color rgb="FF000000"/>
        <rFont val="WenQuanYi Zen Hei"/>
        <family val="2"/>
      </rPr>
      <t>名簿</t>
    </r>
    <r>
      <rPr>
        <sz val="8"/>
        <color rgb="FF000000"/>
        <rFont val="Arial"/>
        <family val="2"/>
        <charset val="1"/>
      </rPr>
      <t>/</t>
    </r>
    <r>
      <rPr>
        <sz val="8"/>
        <color rgb="FF000000"/>
        <rFont val="WenQuanYi Zen Hei"/>
        <family val="2"/>
      </rPr>
      <t>バス点呼</t>
    </r>
  </si>
  <si>
    <t>登壇者集合・スライド確認／日本側と接続確認</t>
  </si>
  <si>
    <r>
      <rPr>
        <sz val="8"/>
        <color rgb="FF000000"/>
        <rFont val="Arial"/>
        <family val="2"/>
        <charset val="1"/>
      </rPr>
      <t>SIDEX</t>
    </r>
    <r>
      <rPr>
        <sz val="8"/>
        <color rgb="FF000000"/>
        <rFont val="WenQuanYi Zen Hei"/>
        <family val="2"/>
      </rPr>
      <t>展示</t>
    </r>
    <r>
      <rPr>
        <sz val="8"/>
        <color rgb="FF000000"/>
        <rFont val="Arial"/>
        <family val="2"/>
        <charset val="1"/>
      </rPr>
      <t>/Japan Pavilion</t>
    </r>
    <r>
      <rPr>
        <sz val="8"/>
        <color rgb="FF000000"/>
        <rFont val="WenQuanYi Zen Hei"/>
        <family val="2"/>
      </rPr>
      <t>調整</t>
    </r>
  </si>
  <si>
    <r>
      <rPr>
        <sz val="8"/>
        <color rgb="FF000000"/>
        <rFont val="Arial"/>
        <family val="2"/>
        <charset val="1"/>
      </rPr>
      <t>Draft Summary</t>
    </r>
    <r>
      <rPr>
        <sz val="8"/>
        <color rgb="FF000000"/>
        <rFont val="WenQuanYi Zen Hei"/>
        <family val="2"/>
      </rPr>
      <t>仕上げ</t>
    </r>
  </si>
  <si>
    <r>
      <rPr>
        <sz val="8"/>
        <color rgb="FF000000"/>
        <rFont val="Arial"/>
        <family val="2"/>
        <charset val="1"/>
      </rPr>
      <t>Tech Session</t>
    </r>
    <r>
      <rPr>
        <sz val="8"/>
        <color rgb="FF000000"/>
        <rFont val="WenQuanYi Zen Hei"/>
        <family val="2"/>
      </rPr>
      <t>ノート</t>
    </r>
  </si>
  <si>
    <t>Summary</t>
  </si>
  <si>
    <t>登壇者対応・進行確認</t>
  </si>
  <si>
    <t>Tech Session ADRC Co-Chair</t>
  </si>
  <si>
    <t>【推奨】Zoom/AI翻訳準備</t>
  </si>
  <si>
    <t>【推奨】Field Trip写真 or 事務局撤収</t>
  </si>
  <si>
    <t>【推奨】Parade(写真)</t>
  </si>
  <si>
    <t>【推奨】登壇者(ウズベキスタン)対応</t>
  </si>
  <si>
    <t>【推奨】Tech Session記録/サマリー補助</t>
  </si>
  <si>
    <t>【推奨】Field Trip</t>
  </si>
  <si>
    <t>【推奨】Parade &amp; Dinner</t>
  </si>
  <si>
    <t>ギャップ: (1) Technical SessionはMizan=Co-Chair、池田=PIC、荒木田=AV/Zoomで、登壇者6名（JAXA・EOS-NTU/BRIN・DOST/ネパール・Google・ウズベキスタン・日本）の個別対応と時間管理を行う『フロア担当』が不在。(2) 11:45-12:00のSummary &amp; ClosingはRT(前日)の要約が前提で、Gerryが前夜〜当朝に単独で執筆する構造。塩見の記録補助があれば負荷分散できる。(3) Field Trip(13:00発)と事務局撤収・Day3準備・バイ会談が同時進行し、荒木田・吉田・田中が引率で抜けるため、会場に残るのは児玉・藤中・池田。</t>
  </si>
  <si>
    <r>
      <rPr>
        <sz val="8"/>
        <rFont val="Arial"/>
        <family val="2"/>
        <charset val="1"/>
      </rPr>
      <t>TS/Closing: Q&amp;A</t>
    </r>
    <r>
      <rPr>
        <sz val="8"/>
        <rFont val="WenQuanYi Zen Hei"/>
        <family val="2"/>
      </rPr>
      <t>・コメント確認・</t>
    </r>
    <r>
      <rPr>
        <sz val="8"/>
        <rFont val="Arial"/>
        <family val="2"/>
        <charset val="1"/>
      </rPr>
      <t>AI</t>
    </r>
    <r>
      <rPr>
        <sz val="8"/>
        <rFont val="WenQuanYi Zen Hei"/>
        <family val="2"/>
      </rPr>
      <t>通訳監視</t>
    </r>
  </si>
  <si>
    <r>
      <rPr>
        <sz val="8"/>
        <rFont val="Arial"/>
        <family val="2"/>
        <charset val="1"/>
      </rPr>
      <t>Webinar</t>
    </r>
    <r>
      <rPr>
        <sz val="8"/>
        <rFont val="WenQuanYi Zen Hei"/>
        <family val="2"/>
      </rPr>
      <t>終了処理・ログ回収</t>
    </r>
  </si>
  <si>
    <r>
      <rPr>
        <sz val="8"/>
        <rFont val="Arial"/>
        <family val="2"/>
        <charset val="1"/>
      </rPr>
      <t xml:space="preserve">TS/Closing </t>
    </r>
    <r>
      <rPr>
        <sz val="8"/>
        <rFont val="WenQuanYi Zen Hei"/>
        <family val="2"/>
      </rPr>
      <t>録画・オンライン質疑取次</t>
    </r>
  </si>
  <si>
    <r>
      <rPr>
        <b/>
        <sz val="12"/>
        <color rgb="FF1F4E78"/>
        <rFont val="Arial"/>
        <family val="2"/>
        <charset val="1"/>
      </rPr>
      <t xml:space="preserve">30 OCT 2026 (FRI)  Day 3: SIDEX-ACDR Keynote / Panels / Exhibition Tour / Closing / </t>
    </r>
    <r>
      <rPr>
        <b/>
        <sz val="12"/>
        <color rgb="FF1F4E78"/>
        <rFont val="WenQuanYi Zen Hei"/>
        <family val="2"/>
      </rPr>
      <t>出発</t>
    </r>
  </si>
  <si>
    <t>Keynote &amp; Panel 1 (Hall 3)</t>
  </si>
  <si>
    <t>Exhibition Tour</t>
  </si>
  <si>
    <t>Panel 2</t>
  </si>
  <si>
    <t>Closing Ceremony</t>
  </si>
  <si>
    <t>出発: 荒木田22:20/北本23:55/吉田23:15/アゼルバイジャン23:15/インドネシア22:40/モンゴル23:55、三浦・韓国は10/31 01:20-01:35</t>
  </si>
  <si>
    <t>Keynote/Panel1</t>
  </si>
  <si>
    <t>Exhibition Tour/Panel2/Closing</t>
  </si>
  <si>
    <t>空港へ(SQ656 01:20)</t>
  </si>
  <si>
    <t>空港へ(SQ638 23:55)</t>
  </si>
  <si>
    <r>
      <rPr>
        <sz val="8"/>
        <color rgb="FF000000"/>
        <rFont val="Arial"/>
        <family val="2"/>
        <charset val="1"/>
      </rPr>
      <t>Keynote/Panel1(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  <charset val="1"/>
      </rPr>
      <t>)</t>
    </r>
  </si>
  <si>
    <t>内閣府見送り/総括</t>
  </si>
  <si>
    <t>出発対応(Dorsett)・COSEM精算打合せ</t>
  </si>
  <si>
    <r>
      <rPr>
        <sz val="8"/>
        <color rgb="FF000000"/>
        <rFont val="Arial"/>
        <family val="2"/>
        <charset val="1"/>
      </rPr>
      <t>Keynote/Panel1(</t>
    </r>
    <r>
      <rPr>
        <sz val="8"/>
        <color rgb="FF000000"/>
        <rFont val="WenQuanYi Zen Hei"/>
        <family val="2"/>
      </rPr>
      <t>リソース対応</t>
    </r>
    <r>
      <rPr>
        <sz val="8"/>
        <color rgb="FF000000"/>
        <rFont val="Arial"/>
        <family val="2"/>
        <charset val="1"/>
      </rPr>
      <t>)</t>
    </r>
  </si>
  <si>
    <t>総括・引継ぎ</t>
  </si>
  <si>
    <t>空港へ(NH844 22:20)</t>
  </si>
  <si>
    <t>Exhibition Tour/Panel2</t>
  </si>
  <si>
    <t>参加者出発案内</t>
  </si>
  <si>
    <t>空港へ(TK55 23:15)</t>
  </si>
  <si>
    <t>受付/清算</t>
  </si>
  <si>
    <t>会場(受付)</t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</si>
  <si>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出発対応・支払</t>
    </r>
  </si>
  <si>
    <r>
      <rPr>
        <sz val="8"/>
        <color rgb="FF000000"/>
        <rFont val="Arial"/>
        <family val="2"/>
        <charset val="1"/>
      </rPr>
      <t>Dorsett</t>
    </r>
    <r>
      <rPr>
        <sz val="8"/>
        <color rgb="FF000000"/>
        <rFont val="WenQuanYi Zen Hei"/>
        <family val="2"/>
      </rPr>
      <t>出発対応・送迎確認</t>
    </r>
  </si>
  <si>
    <r>
      <rPr>
        <sz val="8"/>
        <color rgb="FF000000"/>
        <rFont val="Arial"/>
        <family val="2"/>
        <charset val="1"/>
      </rPr>
      <t>Exhibition Tour</t>
    </r>
    <r>
      <rPr>
        <sz val="8"/>
        <color rgb="FF000000"/>
        <rFont val="WenQuanYi Zen Hei"/>
        <family val="2"/>
      </rPr>
      <t>誘導</t>
    </r>
    <r>
      <rPr>
        <sz val="8"/>
        <color rgb="FF000000"/>
        <rFont val="Arial"/>
        <family val="2"/>
        <charset val="1"/>
      </rPr>
      <t>(Japan Pavilion)</t>
    </r>
  </si>
  <si>
    <t>Panel2/Closing</t>
  </si>
  <si>
    <t>機材撤収</t>
  </si>
  <si>
    <t>空港へ(01:30発)</t>
  </si>
  <si>
    <r>
      <rPr>
        <sz val="8"/>
        <color rgb="FF000000"/>
        <rFont val="Arial"/>
        <family val="2"/>
        <charset val="1"/>
      </rPr>
      <t>Keynote/Panel1/Summary</t>
    </r>
    <r>
      <rPr>
        <sz val="8"/>
        <color rgb="FF000000"/>
        <rFont val="WenQuanYi Zen Hei"/>
        <family val="2"/>
      </rPr>
      <t>最終化</t>
    </r>
  </si>
  <si>
    <t>【推奨】Exhibition Tour誘導/写真</t>
  </si>
  <si>
    <t>【推奨】出発対応</t>
  </si>
  <si>
    <t>【推奨】Keynote記録</t>
  </si>
  <si>
    <t>ギャップ: (1) 10/30夜〜10/31午前に出発が集中（メンバー国15組以上、役員3名）し、荒木田・吉田・北本・三浦が当夜に、池田・Gerryが深夜（01:30発）に、宮木・児玉が10/31早朝（06:35発）に離脱する。10/31朝の見送り・ホテル清算は藤中・田中の2名のみになる。(2) Exhibition Tour(13:50-14:50)でメンバー国参加者をJapan Pavilionへ誘導する担当が池田1名。</t>
  </si>
  <si>
    <t>（SIDEX配信はSCDF側）Webinar/Zoom終了処理・AI通訳ログ整理</t>
  </si>
  <si>
    <t>録画データ整理・保存（報告書・Highlights用）</t>
  </si>
  <si>
    <t>機能別 必要人数と充足状況（現時点の確定・見込メンバーでの判定）</t>
  </si>
  <si>
    <t>判定の前提: 役員3名（三浦・北本・宮木）はVIP／代表として扱い運営要員に数えない。MizanはCo-Chair前提で「見込」。SCDF/COSEMがMC・モデレーター・会場・バス・名札印刷・登録システムを担う（5月合同会議・8/6デマケ）。日本側（神戸）サポートは現地要員に数えない。</t>
  </si>
  <si>
    <t>機能</t>
  </si>
  <si>
    <t>ピーク時間帯</t>
  </si>
  <si>
    <t>必要人数(目安)</t>
  </si>
  <si>
    <t>現在の担当（確定・見込）</t>
  </si>
  <si>
    <t>充足</t>
  </si>
  <si>
    <t>ギャップ・リスク</t>
  </si>
  <si>
    <t>対応案（追加要員の配置）</t>
  </si>
  <si>
    <t>受付・参加者デスク（会場／公邸／ホテル）</t>
  </si>
  <si>
    <r>
      <rPr>
        <sz val="10"/>
        <color rgb="FF000000"/>
        <rFont val="Arial"/>
        <family val="2"/>
        <charset val="1"/>
      </rPr>
      <t>10/26</t>
    </r>
    <r>
      <rPr>
        <sz val="10"/>
        <color rgb="FF000000"/>
        <rFont val="WenQuanYi Zen Hei"/>
        <family val="2"/>
      </rPr>
      <t>夕〜</t>
    </r>
    <r>
      <rPr>
        <sz val="10"/>
        <color rgb="FF000000"/>
        <rFont val="Arial"/>
        <family val="2"/>
        <charset val="1"/>
      </rPr>
      <t>10/27</t>
    </r>
    <r>
      <rPr>
        <sz val="10"/>
        <color rgb="FF000000"/>
        <rFont val="WenQuanYi Zen Hei"/>
        <family val="2"/>
      </rPr>
      <t>（到着・名札配布）、</t>
    </r>
    <r>
      <rPr>
        <sz val="10"/>
        <color rgb="FF000000"/>
        <rFont val="Arial"/>
        <family val="2"/>
        <charset val="1"/>
      </rPr>
      <t>10/28-29</t>
    </r>
    <r>
      <rPr>
        <sz val="10"/>
        <color rgb="FF000000"/>
        <rFont val="WenQuanYi Zen Hei"/>
        <family val="2"/>
      </rPr>
      <t>終日</t>
    </r>
  </si>
  <si>
    <t>3</t>
  </si>
  <si>
    <t>藤中、田中（＋吉田は10/27夜・10/28午前のみ）</t>
  </si>
  <si>
    <t>△</t>
  </si>
  <si>
    <r>
      <rPr>
        <sz val="10"/>
        <color rgb="FF000000"/>
        <rFont val="Arial"/>
        <family val="2"/>
        <charset val="1"/>
      </rPr>
      <t>ACDR2023</t>
    </r>
    <r>
      <rPr>
        <sz val="10"/>
        <color rgb="FF000000"/>
        <rFont val="WenQuanYi Zen Hei"/>
        <family val="2"/>
      </rPr>
      <t>は</t>
    </r>
    <r>
      <rPr>
        <sz val="10"/>
        <color rgb="FF000000"/>
        <rFont val="Arial"/>
        <family val="2"/>
        <charset val="1"/>
      </rPr>
      <t>3</t>
    </r>
    <r>
      <rPr>
        <sz val="10"/>
        <color rgb="FF000000"/>
        <rFont val="WenQuanYi Zen Hei"/>
        <family val="2"/>
      </rPr>
      <t>名体制（堀池・藤中・田中）。今回は名札セットの</t>
    </r>
    <r>
      <rPr>
        <sz val="10"/>
        <color rgb="FF000000"/>
        <rFont val="Arial"/>
        <family val="2"/>
        <charset val="1"/>
      </rPr>
      <t>QR</t>
    </r>
    <r>
      <rPr>
        <sz val="10"/>
        <color rgb="FF000000"/>
        <rFont val="WenQuanYi Zen Hei"/>
        <family val="2"/>
      </rPr>
      <t>配布</t>
    </r>
    <r>
      <rPr>
        <sz val="10"/>
        <color rgb="FF000000"/>
        <rFont val="Arial"/>
        <family val="2"/>
        <charset val="1"/>
      </rPr>
      <t>(100-120</t>
    </r>
    <r>
      <rPr>
        <sz val="10"/>
        <color rgb="FF000000"/>
        <rFont val="WenQuanYi Zen Hei"/>
        <family val="2"/>
      </rPr>
      <t>名</t>
    </r>
    <r>
      <rPr>
        <sz val="10"/>
        <color rgb="FF000000"/>
        <rFont val="Arial"/>
        <family val="2"/>
        <charset val="1"/>
      </rPr>
      <t>)</t>
    </r>
    <r>
      <rPr>
        <sz val="10"/>
        <color rgb="FF000000"/>
        <rFont val="WenQuanYi Zen Hei"/>
        <family val="2"/>
      </rPr>
      <t>と宿泊</t>
    </r>
    <r>
      <rPr>
        <sz val="10"/>
        <color rgb="FF000000"/>
        <rFont val="Arial"/>
        <family val="2"/>
        <charset val="1"/>
      </rPr>
      <t>37</t>
    </r>
    <r>
      <rPr>
        <sz val="10"/>
        <color rgb="FF000000"/>
        <rFont val="WenQuanYi Zen Hei"/>
        <family val="2"/>
      </rPr>
      <t>室</t>
    </r>
    <r>
      <rPr>
        <sz val="10"/>
        <color rgb="FF000000"/>
        <rFont val="Arial"/>
        <family val="2"/>
        <charset val="1"/>
      </rPr>
      <t>/</t>
    </r>
    <r>
      <rPr>
        <sz val="10"/>
        <color rgb="FF000000"/>
        <rFont val="WenQuanYi Zen Hei"/>
        <family val="2"/>
      </rPr>
      <t>泊の対応が加わる。急病・遅延・ビザ問題が出ると即座に詰まる。</t>
    </r>
  </si>
  <si>
    <t>藤本を3人目として配置（本人8/7『アドミサポート・会議補助なら可』）。または寺坂（デマケ上のリスト出力担当）。</t>
  </si>
  <si>
    <r>
      <rPr>
        <sz val="10"/>
        <color rgb="FF000000"/>
        <rFont val="Arial"/>
        <family val="2"/>
        <charset val="1"/>
      </rPr>
      <t>AV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  <charset val="1"/>
      </rPr>
      <t>PC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  <charset val="1"/>
      </rPr>
      <t>Zoom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  <charset val="1"/>
      </rPr>
      <t>AI</t>
    </r>
    <r>
      <rPr>
        <sz val="10"/>
        <color rgb="FF000000"/>
        <rFont val="WenQuanYi Zen Hei"/>
        <family val="2"/>
      </rPr>
      <t>翻訳オペレーション（現地側）</t>
    </r>
  </si>
  <si>
    <r>
      <rPr>
        <sz val="10"/>
        <color rgb="FF000000"/>
        <rFont val="Arial"/>
        <family val="2"/>
        <charset val="1"/>
      </rPr>
      <t>10/28 07:30-16:45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  <charset val="1"/>
      </rPr>
      <t>10/29 08:00-12:00</t>
    </r>
  </si>
  <si>
    <r>
      <rPr>
        <sz val="10"/>
        <color rgb="FF000000"/>
        <rFont val="Arial"/>
        <family val="2"/>
        <charset val="1"/>
      </rPr>
      <t>2</t>
    </r>
    <r>
      <rPr>
        <sz val="10"/>
        <color rgb="FF000000"/>
        <rFont val="WenQuanYi Zen Hei"/>
        <family val="2"/>
      </rPr>
      <t>（うち</t>
    </r>
    <r>
      <rPr>
        <sz val="10"/>
        <color rgb="FF000000"/>
        <rFont val="Arial"/>
        <family val="2"/>
        <charset val="1"/>
      </rPr>
      <t>1</t>
    </r>
    <r>
      <rPr>
        <sz val="10"/>
        <color rgb="FF000000"/>
        <rFont val="WenQuanYi Zen Hei"/>
        <family val="2"/>
      </rPr>
      <t>名は現地専任）</t>
    </r>
  </si>
  <si>
    <t>現地: 荒木田、池田／日本側: 中村（Zoom・AI通訳設定・Q&amp;A確認）、山口（録画・オンライン質疑）</t>
  </si>
  <si>
    <t>Zoomホスト・AI通訳監視・Q&amp;A・録画は2025年同様に神戸側（中村・山口）で持てるため、現地の負荷は『会場AVとAI通訳端末の物理接続・トラブル一次対応』に絞られる。それでも荒木田はOpening/Closing進行・VIP同行、池田はTech Session PICで、セッション中に現地の一次対応者が不在になる時間帯が残る。</t>
  </si>
  <si>
    <t>現地の一次対応は藤本を推奨。会場AVはSCDF側スタッフに操作依頼できるか9月合同会議で確認。日本側と現地の連絡手段（WhatsApp等）と時差1時間の運用ルールを事前に決める。</t>
  </si>
  <si>
    <t>セッション運営（RT・Tech Session）</t>
  </si>
  <si>
    <r>
      <rPr>
        <sz val="10"/>
        <color rgb="FF000000"/>
        <rFont val="Arial"/>
        <family val="2"/>
        <charset val="1"/>
      </rPr>
      <t>10/28 13:00-15:30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  <charset val="1"/>
      </rPr>
      <t>10/29 09:30-12:00</t>
    </r>
  </si>
  <si>
    <r>
      <rPr>
        <sz val="10"/>
        <color rgb="FF000000"/>
        <rFont val="Arial"/>
        <family val="2"/>
        <charset val="1"/>
      </rPr>
      <t>3</t>
    </r>
    <r>
      <rPr>
        <sz val="10"/>
        <color rgb="FF000000"/>
        <rFont val="WenQuanYi Zen Hei"/>
        <family val="2"/>
      </rPr>
      <t>（</t>
    </r>
    <r>
      <rPr>
        <sz val="10"/>
        <color rgb="FF000000"/>
        <rFont val="Arial"/>
        <family val="2"/>
        <charset val="1"/>
      </rPr>
      <t>PIC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  <charset val="1"/>
      </rPr>
      <t>Co-Chair</t>
    </r>
    <r>
      <rPr>
        <sz val="10"/>
        <color rgb="FF000000"/>
        <rFont val="WenQuanYi Zen Hei"/>
        <family val="2"/>
      </rPr>
      <t>・フロア）</t>
    </r>
  </si>
  <si>
    <r>
      <rPr>
        <sz val="10"/>
        <color rgb="FF000000"/>
        <rFont val="Arial"/>
        <family val="2"/>
        <charset val="1"/>
      </rPr>
      <t xml:space="preserve">RT: </t>
    </r>
    <r>
      <rPr>
        <sz val="10"/>
        <color rgb="FF000000"/>
        <rFont val="WenQuanYi Zen Hei"/>
        <family val="2"/>
      </rPr>
      <t>吉田・</t>
    </r>
    <r>
      <rPr>
        <sz val="10"/>
        <color rgb="FF000000"/>
        <rFont val="Arial"/>
        <family val="2"/>
        <charset val="1"/>
      </rPr>
      <t>Gerry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  <charset val="1"/>
      </rPr>
      <t>TS: Mizan(Co-Chair)</t>
    </r>
    <r>
      <rPr>
        <sz val="10"/>
        <color rgb="FF000000"/>
        <rFont val="WenQuanYi Zen Hei"/>
        <family val="2"/>
      </rPr>
      <t>・池田</t>
    </r>
  </si>
  <si>
    <r>
      <rPr>
        <sz val="10"/>
        <color rgb="FF000000"/>
        <rFont val="Arial"/>
        <family val="2"/>
        <charset val="1"/>
      </rPr>
      <t>TS</t>
    </r>
    <r>
      <rPr>
        <sz val="10"/>
        <color rgb="FF000000"/>
        <rFont val="WenQuanYi Zen Hei"/>
        <family val="2"/>
      </rPr>
      <t>は</t>
    </r>
    <r>
      <rPr>
        <sz val="10"/>
        <color rgb="FF000000"/>
        <rFont val="Arial"/>
        <family val="2"/>
        <charset val="1"/>
      </rPr>
      <t>Mizan</t>
    </r>
    <r>
      <rPr>
        <sz val="10"/>
        <color rgb="FF000000"/>
        <rFont val="WenQuanYi Zen Hei"/>
        <family val="2"/>
      </rPr>
      <t>が登壇側に回ると、登壇者</t>
    </r>
    <r>
      <rPr>
        <sz val="10"/>
        <color rgb="FF000000"/>
        <rFont val="Arial"/>
        <family val="2"/>
        <charset val="1"/>
      </rPr>
      <t>6</t>
    </r>
    <r>
      <rPr>
        <sz val="10"/>
        <color rgb="FF000000"/>
        <rFont val="WenQuanYi Zen Hei"/>
        <family val="2"/>
      </rPr>
      <t>名の誘導・時間管理・</t>
    </r>
    <r>
      <rPr>
        <sz val="10"/>
        <color rgb="FF000000"/>
        <rFont val="Arial"/>
        <family val="2"/>
        <charset val="1"/>
      </rPr>
      <t>Q&amp;A</t>
    </r>
    <r>
      <rPr>
        <sz val="10"/>
        <color rgb="FF000000"/>
        <rFont val="WenQuanYi Zen Hei"/>
        <family val="2"/>
      </rPr>
      <t>取次を行うフロア担当が池田</t>
    </r>
    <r>
      <rPr>
        <sz val="10"/>
        <color rgb="FF000000"/>
        <rFont val="Arial"/>
        <family val="2"/>
        <charset val="1"/>
      </rPr>
      <t>1</t>
    </r>
    <r>
      <rPr>
        <sz val="10"/>
        <color rgb="FF000000"/>
        <rFont val="WenQuanYi Zen Hei"/>
        <family val="2"/>
      </rPr>
      <t>名。</t>
    </r>
    <r>
      <rPr>
        <sz val="10"/>
        <color rgb="FF000000"/>
        <rFont val="Arial"/>
        <family val="2"/>
        <charset val="1"/>
      </rPr>
      <t>Said Faisal</t>
    </r>
    <r>
      <rPr>
        <sz val="10"/>
        <color rgb="FF000000"/>
        <rFont val="WenQuanYi Zen Hei"/>
        <family val="2"/>
      </rPr>
      <t>辞退後の</t>
    </r>
    <r>
      <rPr>
        <sz val="10"/>
        <color rgb="FF000000"/>
        <rFont val="Arial"/>
        <family val="2"/>
        <charset val="1"/>
      </rPr>
      <t>SCDF</t>
    </r>
    <r>
      <rPr>
        <sz val="10"/>
        <color rgb="FF000000"/>
        <rFont val="WenQuanYi Zen Hei"/>
        <family val="2"/>
      </rPr>
      <t>側モデレーターも未確定。</t>
    </r>
  </si>
  <si>
    <t>塩見をRT/TSの記録・フロア補助に配置。SCDF側モデレーター確定をSylviaへ再確認。</t>
  </si>
  <si>
    <t>記録・Draft Summary・Closing要約</t>
  </si>
  <si>
    <r>
      <rPr>
        <sz val="10"/>
        <color rgb="FF000000"/>
        <rFont val="Arial"/>
        <family val="2"/>
        <charset val="1"/>
      </rPr>
      <t>10/28</t>
    </r>
    <r>
      <rPr>
        <sz val="10"/>
        <color rgb="FF000000"/>
        <rFont val="WenQuanYi Zen Hei"/>
        <family val="2"/>
      </rPr>
      <t>夜〜</t>
    </r>
    <r>
      <rPr>
        <sz val="10"/>
        <color rgb="FF000000"/>
        <rFont val="Arial"/>
        <family val="2"/>
        <charset val="1"/>
      </rPr>
      <t>10/29 11:45</t>
    </r>
  </si>
  <si>
    <t>2</t>
  </si>
  <si>
    <r>
      <rPr>
        <sz val="10"/>
        <color rgb="FF000000"/>
        <rFont val="Arial"/>
        <family val="2"/>
        <charset val="1"/>
      </rPr>
      <t>Gerry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  <charset val="1"/>
      </rPr>
      <t>Mizan</t>
    </r>
    <r>
      <rPr>
        <sz val="10"/>
        <color rgb="FF000000"/>
        <rFont val="WenQuanYi Zen Hei"/>
        <family val="2"/>
      </rPr>
      <t>（デマケ</t>
    </r>
    <r>
      <rPr>
        <sz val="10"/>
        <color rgb="FF000000"/>
        <rFont val="Arial"/>
        <family val="2"/>
        <charset val="1"/>
      </rPr>
      <t>: Draft Summary</t>
    </r>
    <r>
      <rPr>
        <sz val="10"/>
        <color rgb="FF000000"/>
        <rFont val="WenQuanYi Zen Hei"/>
        <family val="2"/>
      </rPr>
      <t>）</t>
    </r>
  </si>
  <si>
    <t>×</t>
  </si>
  <si>
    <r>
      <rPr>
        <sz val="10"/>
        <color rgb="FF000000"/>
        <rFont val="Arial"/>
        <family val="2"/>
        <charset val="1"/>
      </rPr>
      <t>Mizan</t>
    </r>
    <r>
      <rPr>
        <sz val="10"/>
        <color rgb="FF000000"/>
        <rFont val="WenQuanYi Zen Hei"/>
        <family val="2"/>
      </rPr>
      <t>が</t>
    </r>
    <r>
      <rPr>
        <sz val="10"/>
        <color rgb="FF000000"/>
        <rFont val="Arial"/>
        <family val="2"/>
        <charset val="1"/>
      </rPr>
      <t>Co-Chair</t>
    </r>
    <r>
      <rPr>
        <sz val="10"/>
        <color rgb="FF000000"/>
        <rFont val="WenQuanYi Zen Hei"/>
        <family val="2"/>
      </rPr>
      <t>なら実質</t>
    </r>
    <r>
      <rPr>
        <sz val="10"/>
        <color rgb="FF000000"/>
        <rFont val="Arial"/>
        <family val="2"/>
        <charset val="1"/>
      </rPr>
      <t>Gerry1</t>
    </r>
    <r>
      <rPr>
        <sz val="10"/>
        <color rgb="FF000000"/>
        <rFont val="WenQuanYi Zen Hei"/>
        <family val="2"/>
      </rPr>
      <t>名。</t>
    </r>
    <r>
      <rPr>
        <sz val="10"/>
        <color rgb="FF000000"/>
        <rFont val="Arial"/>
        <family val="2"/>
        <charset val="1"/>
      </rPr>
      <t>RT(2.5h)</t>
    </r>
    <r>
      <rPr>
        <sz val="10"/>
        <color rgb="FF000000"/>
        <rFont val="WenQuanYi Zen Hei"/>
        <family val="2"/>
      </rPr>
      <t>＋</t>
    </r>
    <r>
      <rPr>
        <sz val="10"/>
        <color rgb="FF000000"/>
        <rFont val="Arial"/>
        <family val="2"/>
        <charset val="1"/>
      </rPr>
      <t>TS(2h)</t>
    </r>
    <r>
      <rPr>
        <sz val="10"/>
        <color rgb="FF000000"/>
        <rFont val="WenQuanYi Zen Hei"/>
        <family val="2"/>
      </rPr>
      <t>の要約を当日昼までに出すことが難しい。</t>
    </r>
  </si>
  <si>
    <t>塩見を記録・サマリー補助に。</t>
  </si>
  <si>
    <r>
      <rPr>
        <sz val="10"/>
        <color rgb="FF000000"/>
        <rFont val="Arial"/>
        <family val="2"/>
        <charset val="1"/>
      </rPr>
      <t>VIP</t>
    </r>
    <r>
      <rPr>
        <sz val="10"/>
        <color rgb="FF000000"/>
        <rFont val="WenQuanYi Zen Hei"/>
        <family val="2"/>
      </rPr>
      <t>・内閣府随行（林統括官＋随行</t>
    </r>
    <r>
      <rPr>
        <sz val="10"/>
        <color rgb="FF000000"/>
        <rFont val="Arial"/>
        <family val="2"/>
        <charset val="1"/>
      </rPr>
      <t>2</t>
    </r>
    <r>
      <rPr>
        <sz val="10"/>
        <color rgb="FF000000"/>
        <rFont val="WenQuanYi Zen Hei"/>
        <family val="2"/>
      </rPr>
      <t>名）</t>
    </r>
  </si>
  <si>
    <r>
      <rPr>
        <sz val="10"/>
        <color rgb="FF000000"/>
        <rFont val="Arial"/>
        <family val="2"/>
        <charset val="1"/>
      </rPr>
      <t>10/27</t>
    </r>
    <r>
      <rPr>
        <sz val="10"/>
        <color rgb="FF000000"/>
        <rFont val="WenQuanYi Zen Hei"/>
        <family val="2"/>
      </rPr>
      <t>夕〜</t>
    </r>
    <r>
      <rPr>
        <sz val="10"/>
        <color rgb="FF000000"/>
        <rFont val="Arial"/>
        <family val="2"/>
        <charset val="1"/>
      </rPr>
      <t>10/30</t>
    </r>
    <r>
      <rPr>
        <sz val="10"/>
        <color rgb="FF000000"/>
        <rFont val="WenQuanYi Zen Hei"/>
        <family val="2"/>
      </rPr>
      <t>終日</t>
    </r>
  </si>
  <si>
    <r>
      <rPr>
        <sz val="10"/>
        <color rgb="FF000000"/>
        <rFont val="Arial"/>
        <family val="2"/>
        <charset val="1"/>
      </rPr>
      <t>1.5</t>
    </r>
    <r>
      <rPr>
        <sz val="10"/>
        <color rgb="FF000000"/>
        <rFont val="WenQuanYi Zen Hei"/>
        <family val="2"/>
      </rPr>
      <t>（常時</t>
    </r>
    <r>
      <rPr>
        <sz val="10"/>
        <color rgb="FF000000"/>
        <rFont val="Arial"/>
        <family val="2"/>
        <charset val="1"/>
      </rPr>
      <t>1</t>
    </r>
    <r>
      <rPr>
        <sz val="10"/>
        <color rgb="FF000000"/>
        <rFont val="WenQuanYi Zen Hei"/>
        <family val="2"/>
      </rPr>
      <t>名＋バイ会談時</t>
    </r>
    <r>
      <rPr>
        <sz val="10"/>
        <color rgb="FF000000"/>
        <rFont val="Arial"/>
        <family val="2"/>
        <charset val="1"/>
      </rPr>
      <t>+1</t>
    </r>
    <r>
      <rPr>
        <sz val="10"/>
        <color rgb="FF000000"/>
        <rFont val="WenQuanYi Zen Hei"/>
        <family val="2"/>
      </rPr>
      <t>）</t>
    </r>
  </si>
  <si>
    <t>宮木、児玉（デマケ: 内閣府連絡調整・Bi-meeting）</t>
  </si>
  <si>
    <t>林氏は『英語はすべて忘れた』（児玉8/28）。表敬・VIP Tour・バイ会談・Gala・SCDF Parade全てに日英サポートが必要で、もし児玉が張り付くと現場統括とレセプションMCが空く。</t>
  </si>
  <si>
    <t>内閣府対応を考慮し児玉を特定業務に配置せず、レセプションMCを吉田、現場統括の実務を藤中・田中に寄せる。Day0-1は通訳手配（内閣府側予算）も要検討。</t>
  </si>
  <si>
    <t>写真・動画記録（Highlight Movie含む）</t>
  </si>
  <si>
    <t>会期中全日</t>
  </si>
  <si>
    <t>1</t>
  </si>
  <si>
    <t>担当なし（デマケ: 広報=Gerry・藤本、撮影担当は5月チェックリストで『未対応』）</t>
  </si>
  <si>
    <t>公式記録写真・SNS・報告書用素材の撮影者が未定。COSEMカメラマンの有無も未確認。</t>
  </si>
  <si>
    <t>藤本が現地参加すれば写真担当を兼務。COSEMの公式カメラマン共有を9月に確認。</t>
  </si>
  <si>
    <r>
      <rPr>
        <sz val="10"/>
        <color rgb="FF000000"/>
        <rFont val="Arial"/>
        <family val="2"/>
        <charset val="1"/>
      </rPr>
      <t>SIDEX</t>
    </r>
    <r>
      <rPr>
        <sz val="10"/>
        <color rgb="FF000000"/>
        <rFont val="WenQuanYi Zen Hei"/>
        <family val="2"/>
      </rPr>
      <t>展示・</t>
    </r>
    <r>
      <rPr>
        <sz val="10"/>
        <color rgb="FF000000"/>
        <rFont val="Arial"/>
        <family val="2"/>
        <charset val="1"/>
      </rPr>
      <t>Japan Pavilion</t>
    </r>
    <r>
      <rPr>
        <sz val="10"/>
        <color rgb="FF000000"/>
        <rFont val="WenQuanYi Zen Hei"/>
        <family val="2"/>
      </rPr>
      <t>連携／参加者誘導（</t>
    </r>
    <r>
      <rPr>
        <sz val="10"/>
        <color rgb="FF000000"/>
        <rFont val="Arial"/>
        <family val="2"/>
        <charset val="1"/>
      </rPr>
      <t>Hall3⇔Peridot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</si>
  <si>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Arial"/>
        <family val="2"/>
        <charset val="1"/>
      </rPr>
      <t>10/28 10:30-12:45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  <charset val="1"/>
      </rPr>
      <t>10/29</t>
    </r>
    <r>
      <rPr>
        <sz val="10"/>
        <color rgb="FF000000"/>
        <rFont val="WenQuanYi Zen Hei"/>
        <family val="2"/>
      </rPr>
      <t>午後、</t>
    </r>
    <r>
      <rPr>
        <sz val="10"/>
        <color rgb="FF000000"/>
        <rFont val="Arial"/>
        <family val="2"/>
        <charset val="1"/>
      </rPr>
      <t>10/30 13:50-14:50</t>
    </r>
  </si>
  <si>
    <t>池田、Mizan（デマケ: SIDEX Exhibition）</t>
  </si>
  <si>
    <t>荒木田8/6『もう一人か二人必要』と認識済み。Mizanは10/29午前Co-Chair、池田はTS PICで同時間帯に動けない。</t>
  </si>
  <si>
    <t>藤本または塩見を誘導担当に。SCDFのリエゾン配置も要請。</t>
  </si>
  <si>
    <r>
      <rPr>
        <sz val="10"/>
        <color rgb="FF000000"/>
        <rFont val="Arial"/>
        <family val="2"/>
        <charset val="1"/>
      </rPr>
      <t>Field Trip</t>
    </r>
    <r>
      <rPr>
        <sz val="10"/>
        <color rgb="FF000000"/>
        <rFont val="WenQuanYi Zen Hei"/>
        <family val="2"/>
      </rPr>
      <t>引率（</t>
    </r>
    <r>
      <rPr>
        <sz val="10"/>
        <color rgb="FF000000"/>
        <rFont val="Arial"/>
        <family val="2"/>
        <charset val="1"/>
      </rPr>
      <t>CDA</t>
    </r>
    <r>
      <rPr>
        <sz val="10"/>
        <color rgb="FF000000"/>
        <rFont val="WenQuanYi Zen Hei"/>
        <family val="2"/>
      </rPr>
      <t>、バス点呼）</t>
    </r>
  </si>
  <si>
    <t>10/29 13:00-17:15</t>
  </si>
  <si>
    <t>2-3</t>
  </si>
  <si>
    <t>荒木田、吉田（デマケ）、田中（名簿）</t>
  </si>
  <si>
    <t>○</t>
  </si>
  <si>
    <t>引率自体は足りるが、同時刻に会場撤収・Day3準備・バイ会談が残る（児玉・藤中・池田）。</t>
  </si>
  <si>
    <t>現状維持。塩見参加で引率を1名追加可能。</t>
  </si>
  <si>
    <t>到着・出発対応（空港・ホテル）</t>
  </si>
  <si>
    <r>
      <rPr>
        <sz val="10"/>
        <color rgb="FF000000"/>
        <rFont val="Arial"/>
        <family val="2"/>
        <charset val="1"/>
      </rPr>
      <t>10/26 15:00-24:00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  <charset val="1"/>
      </rPr>
      <t>10/27</t>
    </r>
    <r>
      <rPr>
        <sz val="10"/>
        <color rgb="FF000000"/>
        <rFont val="WenQuanYi Zen Hei"/>
        <family val="2"/>
      </rPr>
      <t>午前、</t>
    </r>
    <r>
      <rPr>
        <sz val="10"/>
        <color rgb="FF000000"/>
        <rFont val="Arial"/>
        <family val="2"/>
        <charset val="1"/>
      </rPr>
      <t>10/30</t>
    </r>
    <r>
      <rPr>
        <sz val="10"/>
        <color rgb="FF000000"/>
        <rFont val="WenQuanYi Zen Hei"/>
        <family val="2"/>
      </rPr>
      <t>夜〜</t>
    </r>
    <r>
      <rPr>
        <sz val="10"/>
        <color rgb="FF000000"/>
        <rFont val="Arial"/>
        <family val="2"/>
        <charset val="1"/>
      </rPr>
      <t>10/31</t>
    </r>
    <r>
      <rPr>
        <sz val="10"/>
        <color rgb="FF000000"/>
        <rFont val="WenQuanYi Zen Hei"/>
        <family val="2"/>
      </rPr>
      <t>午前</t>
    </r>
  </si>
  <si>
    <t>藤中、田中（COSEMが空港送迎）</t>
  </si>
  <si>
    <r>
      <rPr>
        <sz val="10"/>
        <color rgb="FF000000"/>
        <rFont val="Arial"/>
        <family val="2"/>
        <charset val="1"/>
      </rPr>
      <t>10/26</t>
    </r>
    <r>
      <rPr>
        <sz val="10"/>
        <color rgb="FF000000"/>
        <rFont val="WenQuanYi Zen Hei"/>
        <family val="2"/>
      </rPr>
      <t>夕方は宮木・児玉・藤中・田中で</t>
    </r>
    <r>
      <rPr>
        <sz val="10"/>
        <color rgb="FF000000"/>
        <rFont val="Arial"/>
        <family val="2"/>
        <charset val="1"/>
      </rPr>
      <t>Dorsett</t>
    </r>
    <r>
      <rPr>
        <sz val="10"/>
        <color rgb="FF000000"/>
        <rFont val="WenQuanYi Zen Hei"/>
        <family val="2"/>
      </rPr>
      <t>対応。</t>
    </r>
    <r>
      <rPr>
        <sz val="10"/>
        <color rgb="FF000000"/>
        <rFont val="Arial"/>
        <family val="2"/>
        <charset val="1"/>
      </rPr>
      <t>10/31</t>
    </r>
    <r>
      <rPr>
        <sz val="10"/>
        <color rgb="FF000000"/>
        <rFont val="WenQuanYi Zen Hei"/>
        <family val="2"/>
      </rPr>
      <t>朝は藤本を残す（</t>
    </r>
    <r>
      <rPr>
        <sz val="10"/>
        <color rgb="FF000000"/>
        <rFont val="Arial"/>
        <family val="2"/>
        <charset val="1"/>
      </rPr>
      <t>11/1</t>
    </r>
    <r>
      <rPr>
        <sz val="10"/>
        <color rgb="FF000000"/>
        <rFont val="WenQuanYi Zen Hei"/>
        <family val="2"/>
      </rPr>
      <t>朝発に揃える）か、</t>
    </r>
    <r>
      <rPr>
        <sz val="10"/>
        <color rgb="FF000000"/>
        <rFont val="Arial"/>
        <family val="2"/>
        <charset val="1"/>
      </rPr>
      <t>COSEM</t>
    </r>
    <r>
      <rPr>
        <sz val="10"/>
        <color rgb="FF000000"/>
        <rFont val="WenQuanYi Zen Hei"/>
        <family val="2"/>
      </rPr>
      <t>送迎に見送りを委ねて藤中・田中は清算に専念する。</t>
    </r>
  </si>
  <si>
    <t>オンライン配信・録画・Q&amp;A（日本側）</t>
  </si>
  <si>
    <r>
      <rPr>
        <sz val="10"/>
        <color rgb="FF000000"/>
        <rFont val="Arial"/>
        <family val="2"/>
        <charset val="1"/>
      </rPr>
      <t>10/28 12:30-16:45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  <charset val="1"/>
      </rPr>
      <t>10/29 08:00-12:00</t>
    </r>
    <r>
      <rPr>
        <sz val="10"/>
        <color rgb="FF000000"/>
        <rFont val="WenQuanYi Zen Hei"/>
        <family val="2"/>
      </rPr>
      <t>（</t>
    </r>
    <r>
      <rPr>
        <sz val="10"/>
        <color rgb="FF000000"/>
        <rFont val="Arial"/>
        <family val="2"/>
        <charset val="1"/>
      </rPr>
      <t>SGT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</si>
  <si>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Arial"/>
        <family val="2"/>
        <charset val="1"/>
      </rPr>
      <t>2</t>
    </r>
    <r>
      <rPr>
        <sz val="10"/>
        <color rgb="FF000000"/>
        <rFont val="WenQuanYi Zen Hei"/>
        <family val="2"/>
      </rPr>
      <t>＋バックアップ</t>
    </r>
  </si>
  <si>
    <t>中村（Zoom Webinar/Meeting設定・ホスト、AI通訳設定・監視、Q&amp;A確認）、山口（録画クラウド＋ローカル、オンライン質疑）／バックアップ仮置き: 寺坂（録画日英）、伊達（ホスト確認）</t>
  </si>
  <si>
    <r>
      <rPr>
        <sz val="10"/>
        <color rgb="FF000000"/>
        <rFont val="Arial"/>
        <family val="2"/>
        <charset val="1"/>
      </rPr>
      <t>2025</t>
    </r>
    <r>
      <rPr>
        <sz val="10"/>
        <color rgb="FF000000"/>
        <rFont val="WenQuanYi Zen Hei"/>
        <family val="2"/>
      </rPr>
      <t>年は</t>
    </r>
    <r>
      <rPr>
        <sz val="10"/>
        <color rgb="FF000000"/>
        <rFont val="Arial"/>
        <family val="2"/>
        <charset val="1"/>
      </rPr>
      <t>SC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  <charset val="1"/>
      </rPr>
      <t>ACDR</t>
    </r>
    <r>
      <rPr>
        <sz val="10"/>
        <color rgb="FF000000"/>
        <rFont val="WenQuanYi Zen Hei"/>
        <family val="2"/>
      </rPr>
      <t>とも神戸側で</t>
    </r>
    <r>
      <rPr>
        <sz val="10"/>
        <color rgb="FF000000"/>
        <rFont val="Arial"/>
        <family val="2"/>
        <charset val="1"/>
      </rPr>
      <t>Webinar</t>
    </r>
    <r>
      <rPr>
        <sz val="10"/>
        <color rgb="FF000000"/>
        <rFont val="WenQuanYi Zen Hei"/>
        <family val="2"/>
      </rPr>
      <t>設定・録画・</t>
    </r>
    <r>
      <rPr>
        <sz val="10"/>
        <color rgb="FF000000"/>
        <rFont val="Arial"/>
        <family val="2"/>
        <charset val="1"/>
      </rPr>
      <t>Q&amp;A</t>
    </r>
    <r>
      <rPr>
        <sz val="10"/>
        <color rgb="FF000000"/>
        <rFont val="WenQuanYi Zen Hei"/>
        <family val="2"/>
      </rPr>
      <t>確認を行い問題なし。今回は</t>
    </r>
    <r>
      <rPr>
        <sz val="10"/>
        <color rgb="FF000000"/>
        <rFont val="Arial"/>
        <family val="2"/>
        <charset val="1"/>
      </rPr>
      <t>AI</t>
    </r>
    <r>
      <rPr>
        <sz val="10"/>
        <color rgb="FF000000"/>
        <rFont val="WenQuanYi Zen Hei"/>
        <family val="2"/>
      </rPr>
      <t>通訳が加わるため、事前リハーサル（</t>
    </r>
    <r>
      <rPr>
        <sz val="10"/>
        <color rgb="FF000000"/>
        <rFont val="Arial"/>
        <family val="2"/>
        <charset val="1"/>
      </rPr>
      <t>10/26-27</t>
    </r>
    <r>
      <rPr>
        <sz val="10"/>
        <color rgb="FF000000"/>
        <rFont val="WenQuanYi Zen Hei"/>
        <family val="2"/>
      </rPr>
      <t>）で現地端末との接続確認が必要。神戸は</t>
    </r>
    <r>
      <rPr>
        <sz val="10"/>
        <color rgb="FF000000"/>
        <rFont val="Arial"/>
        <family val="2"/>
        <charset val="1"/>
      </rPr>
      <t>10/28-29</t>
    </r>
    <r>
      <rPr>
        <sz val="10"/>
        <color rgb="FF000000"/>
        <rFont val="WenQuanYi Zen Hei"/>
        <family val="2"/>
      </rPr>
      <t>が平日のため</t>
    </r>
    <r>
      <rPr>
        <sz val="10"/>
        <color rgb="FF000000"/>
        <rFont val="Arial"/>
        <family val="2"/>
        <charset val="1"/>
      </rPr>
      <t>JST 9:30-17:45</t>
    </r>
    <r>
      <rPr>
        <sz val="10"/>
        <color rgb="FF000000"/>
        <rFont val="WenQuanYi Zen Hei"/>
        <family val="2"/>
      </rPr>
      <t>の勤務時間内に収まる。</t>
    </r>
  </si>
  <si>
    <r>
      <rPr>
        <sz val="10"/>
        <color rgb="FF000000"/>
        <rFont val="Arial"/>
        <family val="2"/>
        <charset val="1"/>
      </rPr>
      <t>10/26-27</t>
    </r>
    <r>
      <rPr>
        <sz val="10"/>
        <color rgb="FF000000"/>
        <rFont val="WenQuanYi Zen Hei"/>
        <family val="2"/>
      </rPr>
      <t>に中村・山口が現地（荒木田・池田）と接続テスト。寺坂・伊達のバックアップ要否を本人に確認。</t>
    </r>
  </si>
  <si>
    <t>結論（案）</t>
  </si>
  <si>
    <r>
      <rPr>
        <sz val="10"/>
        <color rgb="FF000000"/>
        <rFont val="Arial"/>
        <family val="2"/>
        <charset val="1"/>
      </rPr>
      <t xml:space="preserve">1. </t>
    </r>
    <r>
      <rPr>
        <sz val="10"/>
        <color rgb="FF000000"/>
        <rFont val="WenQuanYi Zen Hei"/>
        <family val="2"/>
      </rPr>
      <t>現時点の現地要員は役員</t>
    </r>
    <r>
      <rPr>
        <sz val="10"/>
        <color rgb="FF000000"/>
        <rFont val="Arial"/>
        <family val="2"/>
        <charset val="1"/>
      </rPr>
      <t>3</t>
    </r>
    <r>
      <rPr>
        <sz val="10"/>
        <color rgb="FF000000"/>
        <rFont val="WenQuanYi Zen Hei"/>
        <family val="2"/>
      </rPr>
      <t>名＋運営</t>
    </r>
    <r>
      <rPr>
        <sz val="10"/>
        <color rgb="FF000000"/>
        <rFont val="Arial"/>
        <family val="2"/>
        <charset val="1"/>
      </rPr>
      <t>8</t>
    </r>
    <r>
      <rPr>
        <sz val="10"/>
        <color rgb="FF000000"/>
        <rFont val="WenQuanYi Zen Hei"/>
        <family val="2"/>
      </rPr>
      <t>名（荒木田・児玉・吉田・藤中・田中・池田・</t>
    </r>
    <r>
      <rPr>
        <sz val="10"/>
        <color rgb="FF000000"/>
        <rFont val="Arial"/>
        <family val="2"/>
        <charset val="1"/>
      </rPr>
      <t>Gerry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  <charset val="1"/>
      </rPr>
      <t>Mizan</t>
    </r>
    <r>
      <rPr>
        <sz val="10"/>
        <color rgb="FF000000"/>
        <rFont val="WenQuanYi Zen Hei"/>
        <family val="2"/>
      </rPr>
      <t>）。</t>
    </r>
  </si>
  <si>
    <r>
      <rPr>
        <sz val="10"/>
        <color rgb="FF000000"/>
        <rFont val="Arial"/>
        <family val="2"/>
        <charset val="1"/>
      </rPr>
      <t xml:space="preserve">2. </t>
    </r>
    <r>
      <rPr>
        <sz val="10"/>
        <color rgb="FF000000"/>
        <rFont val="WenQuanYi Zen Hei"/>
        <family val="2"/>
      </rPr>
      <t>日本側（中村</t>
    </r>
    <r>
      <rPr>
        <sz val="10"/>
        <color rgb="FF000000"/>
        <rFont val="Arial"/>
        <family val="2"/>
        <charset val="1"/>
      </rPr>
      <t>: Zoom/AI</t>
    </r>
    <r>
      <rPr>
        <sz val="10"/>
        <color rgb="FF000000"/>
        <rFont val="WenQuanYi Zen Hei"/>
        <family val="2"/>
      </rPr>
      <t>通訳設定・</t>
    </r>
    <r>
      <rPr>
        <sz val="10"/>
        <color rgb="FF000000"/>
        <rFont val="Arial"/>
        <family val="2"/>
        <charset val="1"/>
      </rPr>
      <t>Q&amp;A</t>
    </r>
    <r>
      <rPr>
        <sz val="10"/>
        <color rgb="FF000000"/>
        <rFont val="WenQuanYi Zen Hei"/>
        <family val="2"/>
      </rPr>
      <t>確認、山口</t>
    </r>
    <r>
      <rPr>
        <sz val="10"/>
        <color rgb="FF000000"/>
        <rFont val="Arial"/>
        <family val="2"/>
        <charset val="1"/>
      </rPr>
      <t xml:space="preserve">: </t>
    </r>
    <r>
      <rPr>
        <sz val="10"/>
        <color rgb="FF000000"/>
        <rFont val="WenQuanYi Zen Hei"/>
        <family val="2"/>
      </rPr>
      <t>録画・オンライン質疑）で配信・録画・オンライン対応を持てば現地の負荷は下がるが、運営</t>
    </r>
    <r>
      <rPr>
        <sz val="10"/>
        <color rgb="FF000000"/>
        <rFont val="Arial"/>
        <family val="2"/>
        <charset val="1"/>
      </rPr>
      <t>8</t>
    </r>
    <r>
      <rPr>
        <sz val="10"/>
        <color rgb="FF000000"/>
        <rFont val="WenQuanYi Zen Hei"/>
        <family val="2"/>
      </rPr>
      <t>名でも受付</t>
    </r>
    <r>
      <rPr>
        <sz val="10"/>
        <color rgb="FF000000"/>
        <rFont val="Arial"/>
        <family val="2"/>
        <charset val="1"/>
      </rPr>
      <t>3</t>
    </r>
    <r>
      <rPr>
        <sz val="10"/>
        <color rgb="FF000000"/>
        <rFont val="WenQuanYi Zen Hei"/>
        <family val="2"/>
      </rPr>
      <t>人目・会場</t>
    </r>
    <r>
      <rPr>
        <sz val="10"/>
        <color rgb="FF000000"/>
        <rFont val="Arial"/>
        <family val="2"/>
        <charset val="1"/>
      </rPr>
      <t>AV</t>
    </r>
    <r>
      <rPr>
        <sz val="10"/>
        <color rgb="FF000000"/>
        <rFont val="WenQuanYi Zen Hei"/>
        <family val="2"/>
      </rPr>
      <t>一次対応・記録</t>
    </r>
    <r>
      <rPr>
        <sz val="10"/>
        <color rgb="FF000000"/>
        <rFont val="Arial"/>
        <family val="2"/>
        <charset val="1"/>
      </rPr>
      <t>/</t>
    </r>
    <r>
      <rPr>
        <sz val="10"/>
        <color rgb="FF000000"/>
        <rFont val="WenQuanYi Zen Hei"/>
        <family val="2"/>
      </rPr>
      <t>サマリー・写真・誘導の</t>
    </r>
    <r>
      <rPr>
        <sz val="10"/>
        <color rgb="FF000000"/>
        <rFont val="Arial"/>
        <family val="2"/>
        <charset val="1"/>
      </rPr>
      <t>5</t>
    </r>
    <r>
      <rPr>
        <sz val="10"/>
        <color rgb="FF000000"/>
        <rFont val="WenQuanYi Zen Hei"/>
        <family val="2"/>
      </rPr>
      <t>機能が同時に空くため、最低</t>
    </r>
    <r>
      <rPr>
        <sz val="10"/>
        <color rgb="FF000000"/>
        <rFont val="Arial"/>
        <family val="2"/>
        <charset val="1"/>
      </rPr>
      <t>1</t>
    </r>
    <r>
      <rPr>
        <sz val="10"/>
        <color rgb="FF000000"/>
        <rFont val="WenQuanYi Zen Hei"/>
        <family val="2"/>
      </rPr>
      <t>名、望ましくは</t>
    </r>
    <r>
      <rPr>
        <sz val="10"/>
        <color rgb="FF000000"/>
        <rFont val="Arial"/>
        <family val="2"/>
        <charset val="1"/>
      </rPr>
      <t>2</t>
    </r>
    <r>
      <rPr>
        <sz val="10"/>
        <color rgb="FF000000"/>
        <rFont val="WenQuanYi Zen Hei"/>
        <family val="2"/>
      </rPr>
      <t>名の追加が必要。</t>
    </r>
  </si>
  <si>
    <r>
      <rPr>
        <sz val="10"/>
        <color rgb="FF000000"/>
        <rFont val="Arial"/>
        <family val="2"/>
        <charset val="1"/>
      </rPr>
      <t xml:space="preserve">3. </t>
    </r>
    <r>
      <rPr>
        <sz val="10"/>
        <color rgb="FF000000"/>
        <rFont val="WenQuanYi Zen Hei"/>
        <family val="2"/>
      </rPr>
      <t xml:space="preserve">追加候補は </t>
    </r>
    <r>
      <rPr>
        <sz val="10"/>
        <color rgb="FF000000"/>
        <rFont val="Arial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>藤本：</t>
    </r>
    <r>
      <rPr>
        <sz val="10"/>
        <color rgb="FF000000"/>
        <rFont val="Arial"/>
        <family val="2"/>
        <charset val="1"/>
      </rPr>
      <t>Zoom</t>
    </r>
    <r>
      <rPr>
        <sz val="10"/>
        <color rgb="FF000000"/>
        <rFont val="WenQuanYi Zen Hei"/>
        <family val="2"/>
      </rPr>
      <t>設定・広報・リスト出力担当で受付</t>
    </r>
    <r>
      <rPr>
        <sz val="10"/>
        <color rgb="FF000000"/>
        <rFont val="Arial"/>
        <family val="2"/>
        <charset val="1"/>
      </rPr>
      <t>/AV/</t>
    </r>
    <r>
      <rPr>
        <sz val="10"/>
        <color rgb="FF000000"/>
        <rFont val="WenQuanYi Zen Hei"/>
        <family val="2"/>
      </rPr>
      <t>写真を兼務できる。</t>
    </r>
    <r>
      <rPr>
        <sz val="10"/>
        <color rgb="FF000000"/>
        <rFont val="Arial"/>
        <family val="2"/>
        <charset val="1"/>
      </rPr>
      <t xml:space="preserve">(b) </t>
    </r>
    <r>
      <rPr>
        <sz val="10"/>
        <color rgb="FF000000"/>
        <rFont val="WenQuanYi Zen Hei"/>
        <family val="2"/>
      </rPr>
      <t>塩見：サマリー担当、セッション補助。</t>
    </r>
  </si>
  <si>
    <r>
      <rPr>
        <sz val="10"/>
        <color rgb="FF000000"/>
        <rFont val="Arial"/>
        <family val="2"/>
        <charset val="1"/>
      </rPr>
      <t xml:space="preserve">4. </t>
    </r>
    <r>
      <rPr>
        <sz val="10"/>
        <color rgb="FF000000"/>
        <rFont val="WenQuanYi Zen Hei"/>
        <family val="2"/>
      </rPr>
      <t>追加</t>
    </r>
    <r>
      <rPr>
        <sz val="10"/>
        <color rgb="FF000000"/>
        <rFont val="Arial"/>
        <family val="2"/>
        <charset val="1"/>
      </rPr>
      <t>2</t>
    </r>
    <r>
      <rPr>
        <sz val="10"/>
        <color rgb="FF000000"/>
        <rFont val="WenQuanYi Zen Hei"/>
        <family val="2"/>
      </rPr>
      <t>名の概算増</t>
    </r>
    <r>
      <rPr>
        <sz val="10"/>
        <color rgb="FF000000"/>
        <rFont val="Arial"/>
        <family val="2"/>
        <charset val="1"/>
      </rPr>
      <t xml:space="preserve">: </t>
    </r>
    <r>
      <rPr>
        <sz val="10"/>
        <color rgb="FF000000"/>
        <rFont val="WenQuanYi Zen Hei"/>
        <family val="2"/>
      </rPr>
      <t>航空券（関空</t>
    </r>
    <r>
      <rPr>
        <sz val="10"/>
        <color rgb="FF000000"/>
        <rFont val="Arial"/>
        <family val="2"/>
        <charset val="1"/>
      </rPr>
      <t>LCC</t>
    </r>
    <r>
      <rPr>
        <sz val="10"/>
        <color rgb="FF000000"/>
        <rFont val="WenQuanYi Zen Hei"/>
        <family val="2"/>
      </rPr>
      <t>）約</t>
    </r>
    <r>
      <rPr>
        <sz val="10"/>
        <color rgb="FF000000"/>
        <rFont val="Arial"/>
        <family val="2"/>
        <charset val="1"/>
      </rPr>
      <t>15</t>
    </r>
    <r>
      <rPr>
        <sz val="10"/>
        <color rgb="FF000000"/>
        <rFont val="WenQuanYi Zen Hei"/>
        <family val="2"/>
      </rPr>
      <t>万円</t>
    </r>
    <r>
      <rPr>
        <sz val="10"/>
        <color rgb="FF000000"/>
        <rFont val="Arial"/>
        <family val="2"/>
        <charset val="1"/>
      </rPr>
      <t>×2</t>
    </r>
    <r>
      <rPr>
        <sz val="10"/>
        <color rgb="FF000000"/>
        <rFont val="WenQuanYi Zen Hei"/>
        <family val="2"/>
      </rPr>
      <t>＋</t>
    </r>
    <r>
      <rPr>
        <sz val="10"/>
        <color rgb="FF000000"/>
        <rFont val="Arial"/>
        <family val="2"/>
        <charset val="1"/>
      </rPr>
      <t>Hotel Mi 6</t>
    </r>
    <r>
      <rPr>
        <sz val="10"/>
        <color rgb="FF000000"/>
        <rFont val="WenQuanYi Zen Hei"/>
        <family val="2"/>
      </rPr>
      <t>泊約</t>
    </r>
    <r>
      <rPr>
        <sz val="10"/>
        <color rgb="FF000000"/>
        <rFont val="Arial"/>
        <family val="2"/>
        <charset val="1"/>
      </rPr>
      <t>10</t>
    </r>
    <r>
      <rPr>
        <sz val="10"/>
        <color rgb="FF000000"/>
        <rFont val="WenQuanYi Zen Hei"/>
        <family val="2"/>
      </rPr>
      <t>万円</t>
    </r>
    <r>
      <rPr>
        <sz val="10"/>
        <color rgb="FF000000"/>
        <rFont val="Arial"/>
        <family val="2"/>
        <charset val="1"/>
      </rPr>
      <t>×2</t>
    </r>
    <r>
      <rPr>
        <sz val="10"/>
        <color rgb="FF000000"/>
        <rFont val="WenQuanYi Zen Hei"/>
        <family val="2"/>
      </rPr>
      <t xml:space="preserve">＋日当 ≒ </t>
    </r>
    <r>
      <rPr>
        <sz val="10"/>
        <color rgb="FF000000"/>
        <rFont val="Arial"/>
        <family val="2"/>
        <charset val="1"/>
      </rPr>
      <t>55-60</t>
    </r>
    <r>
      <rPr>
        <sz val="10"/>
        <color rgb="FF000000"/>
        <rFont val="WenQuanYi Zen Hei"/>
        <family val="2"/>
      </rPr>
      <t>万円。</t>
    </r>
    <r>
      <rPr>
        <sz val="10"/>
        <color rgb="FF000000"/>
        <rFont val="Arial"/>
        <family val="2"/>
        <charset val="1"/>
      </rPr>
      <t>ACDR2026</t>
    </r>
    <r>
      <rPr>
        <sz val="10"/>
        <color rgb="FF000000"/>
        <rFont val="WenQuanYi Zen Hei"/>
        <family val="2"/>
      </rPr>
      <t>予算</t>
    </r>
    <r>
      <rPr>
        <sz val="10"/>
        <color rgb="FF000000"/>
        <rFont val="Arial"/>
        <family val="2"/>
        <charset val="1"/>
      </rPr>
      <t>.xlsx(8/21)</t>
    </r>
    <r>
      <rPr>
        <sz val="10"/>
        <color rgb="FF000000"/>
        <rFont val="WenQuanYi Zen Hei"/>
        <family val="2"/>
      </rPr>
      <t xml:space="preserve">の『スタッフ宿泊 </t>
    </r>
    <r>
      <rPr>
        <sz val="10"/>
        <color rgb="FF000000"/>
        <rFont val="Arial"/>
        <family val="2"/>
        <charset val="1"/>
      </rPr>
      <t>1,120,000</t>
    </r>
    <r>
      <rPr>
        <sz val="10"/>
        <color rgb="FF000000"/>
        <rFont val="WenQuanYi Zen Hei"/>
        <family val="2"/>
      </rPr>
      <t>円』は</t>
    </r>
    <r>
      <rPr>
        <sz val="10"/>
        <color rgb="FF000000"/>
        <rFont val="Arial"/>
        <family val="2"/>
        <charset val="1"/>
      </rPr>
      <t>70</t>
    </r>
    <r>
      <rPr>
        <sz val="10"/>
        <color rgb="FF000000"/>
        <rFont val="WenQuanYi Zen Hei"/>
        <family val="2"/>
      </rPr>
      <t>泊分で、現在の確定分（約</t>
    </r>
    <r>
      <rPr>
        <sz val="10"/>
        <color rgb="FF000000"/>
        <rFont val="Arial"/>
        <family val="2"/>
        <charset val="1"/>
      </rPr>
      <t>45</t>
    </r>
    <r>
      <rPr>
        <sz val="10"/>
        <color rgb="FF000000"/>
        <rFont val="WenQuanYi Zen Hei"/>
        <family val="2"/>
      </rPr>
      <t>泊）に対し余裕あり。一方、藤中は既に総額</t>
    </r>
    <r>
      <rPr>
        <sz val="10"/>
        <color rgb="FF000000"/>
        <rFont val="Arial"/>
        <family val="2"/>
        <charset val="1"/>
      </rPr>
      <t>1,695</t>
    </r>
    <r>
      <rPr>
        <sz val="10"/>
        <color rgb="FF000000"/>
        <rFont val="WenQuanYi Zen Hei"/>
        <family val="2"/>
      </rPr>
      <t>万円で</t>
    </r>
    <r>
      <rPr>
        <sz val="10"/>
        <color rgb="FF000000"/>
        <rFont val="Arial"/>
        <family val="2"/>
        <charset val="1"/>
      </rPr>
      <t>2</t>
    </r>
    <r>
      <rPr>
        <sz val="10"/>
        <color rgb="FF000000"/>
        <rFont val="WenQuanYi Zen Hei"/>
        <family val="2"/>
      </rPr>
      <t>月見積</t>
    </r>
    <r>
      <rPr>
        <sz val="10"/>
        <color rgb="FF000000"/>
        <rFont val="Arial"/>
        <family val="2"/>
        <charset val="1"/>
      </rPr>
      <t>(1,664</t>
    </r>
    <r>
      <rPr>
        <sz val="10"/>
        <color rgb="FF000000"/>
        <rFont val="WenQuanYi Zen Hei"/>
        <family val="2"/>
      </rPr>
      <t>万円</t>
    </r>
    <r>
      <rPr>
        <sz val="10"/>
        <color rgb="FF000000"/>
        <rFont val="Arial"/>
        <family val="2"/>
        <charset val="1"/>
      </rPr>
      <t>)</t>
    </r>
    <r>
      <rPr>
        <sz val="10"/>
        <color rgb="FF000000"/>
        <rFont val="WenQuanYi Zen Hei"/>
        <family val="2"/>
      </rPr>
      <t>超過を指摘しており、メンバー国参加が</t>
    </r>
    <r>
      <rPr>
        <sz val="10"/>
        <color rgb="FF000000"/>
        <rFont val="Arial"/>
        <family val="2"/>
        <charset val="1"/>
      </rPr>
      <t>20</t>
    </r>
    <r>
      <rPr>
        <sz val="10"/>
        <color rgb="FF000000"/>
        <rFont val="WenQuanYi Zen Hei"/>
        <family val="2"/>
      </rPr>
      <t>か国未満で収まるか（現状</t>
    </r>
    <r>
      <rPr>
        <sz val="10"/>
        <color rgb="FF000000"/>
        <rFont val="Arial"/>
        <family val="2"/>
        <charset val="1"/>
      </rPr>
      <t>17</t>
    </r>
    <r>
      <rPr>
        <sz val="10"/>
        <color rgb="FF000000"/>
        <rFont val="WenQuanYi Zen Hei"/>
        <family val="2"/>
      </rPr>
      <t>か国程度）が財源の鍵。</t>
    </r>
  </si>
  <si>
    <r>
      <rPr>
        <sz val="10"/>
        <color rgb="FF000000"/>
        <rFont val="Arial"/>
        <family val="2"/>
        <charset val="1"/>
      </rPr>
      <t xml:space="preserve">5. </t>
    </r>
    <r>
      <rPr>
        <sz val="10"/>
        <color rgb="FF000000"/>
        <rFont val="WenQuanYi Zen Hei"/>
        <family val="2"/>
      </rPr>
      <t>追加派遣を決める前に確認すべきこと</t>
    </r>
    <r>
      <rPr>
        <sz val="10"/>
        <color rgb="FF000000"/>
        <rFont val="Arial"/>
        <family val="2"/>
        <charset val="1"/>
      </rPr>
      <t>: ①</t>
    </r>
    <r>
      <rPr>
        <sz val="10"/>
        <color rgb="FF000000"/>
        <rFont val="WenQuanYi Zen Hei"/>
        <family val="2"/>
      </rPr>
      <t>宮木の宿泊先（</t>
    </r>
    <r>
      <rPr>
        <sz val="10"/>
        <color rgb="FF000000"/>
        <rFont val="Arial"/>
        <family val="2"/>
        <charset val="1"/>
      </rPr>
      <t>Dorsett/Hotel Mi</t>
    </r>
    <r>
      <rPr>
        <sz val="10"/>
        <color rgb="FF000000"/>
        <rFont val="WenQuanYi Zen Hei"/>
        <family val="2"/>
      </rPr>
      <t>の二重記載）と宮木・児玉の</t>
    </r>
    <r>
      <rPr>
        <sz val="10"/>
        <color rgb="FF000000"/>
        <rFont val="Arial"/>
        <family val="2"/>
        <charset val="1"/>
      </rPr>
      <t>10/25</t>
    </r>
    <r>
      <rPr>
        <sz val="10"/>
        <color rgb="FF000000"/>
        <rFont val="WenQuanYi Zen Hei"/>
        <family val="2"/>
      </rPr>
      <t>泊の追加、②池田・</t>
    </r>
    <r>
      <rPr>
        <sz val="10"/>
        <color rgb="FF000000"/>
        <rFont val="Arial"/>
        <family val="2"/>
        <charset val="1"/>
      </rPr>
      <t>Gerry</t>
    </r>
    <r>
      <rPr>
        <sz val="10"/>
        <color rgb="FF000000"/>
        <rFont val="WenQuanYi Zen Hei"/>
        <family val="2"/>
      </rPr>
      <t>の復路の便名表記（</t>
    </r>
    <r>
      <rPr>
        <sz val="10"/>
        <color rgb="FF000000"/>
        <rFont val="Arial"/>
        <family val="2"/>
        <charset val="1"/>
      </rPr>
      <t>SQ622</t>
    </r>
    <r>
      <rPr>
        <sz val="10"/>
        <color rgb="FF000000"/>
        <rFont val="WenQuanYi Zen Hei"/>
        <family val="2"/>
      </rPr>
      <t>は</t>
    </r>
    <r>
      <rPr>
        <sz val="10"/>
        <color rgb="FF000000"/>
        <rFont val="Arial"/>
        <family val="2"/>
        <charset val="1"/>
      </rPr>
      <t>14:25</t>
    </r>
    <r>
      <rPr>
        <sz val="10"/>
        <color rgb="FF000000"/>
        <rFont val="WenQuanYi Zen Hei"/>
        <family val="2"/>
      </rPr>
      <t>発、</t>
    </r>
    <r>
      <rPr>
        <sz val="10"/>
        <color rgb="FF000000"/>
        <rFont val="Arial"/>
        <family val="2"/>
        <charset val="1"/>
      </rPr>
      <t>01:30</t>
    </r>
    <r>
      <rPr>
        <sz val="10"/>
        <color rgb="FF000000"/>
        <rFont val="WenQuanYi Zen Hei"/>
        <family val="2"/>
      </rPr>
      <t>発は</t>
    </r>
    <r>
      <rPr>
        <sz val="10"/>
        <color rgb="FF000000"/>
        <rFont val="Arial"/>
        <family val="2"/>
        <charset val="1"/>
      </rPr>
      <t>SQ618</t>
    </r>
    <r>
      <rPr>
        <sz val="10"/>
        <color rgb="FF000000"/>
        <rFont val="WenQuanYi Zen Hei"/>
        <family val="2"/>
      </rPr>
      <t>）、③</t>
    </r>
    <r>
      <rPr>
        <sz val="10"/>
        <color rgb="FF000000"/>
        <rFont val="Arial"/>
        <family val="2"/>
        <charset val="1"/>
      </rPr>
      <t>Mizan</t>
    </r>
    <r>
      <rPr>
        <sz val="10"/>
        <color rgb="FF000000"/>
        <rFont val="WenQuanYi Zen Hei"/>
        <family val="2"/>
      </rPr>
      <t>の手配状況、④</t>
    </r>
    <r>
      <rPr>
        <sz val="10"/>
        <color rgb="FF000000"/>
        <rFont val="Arial"/>
        <family val="2"/>
        <charset val="1"/>
      </rPr>
      <t>SCDF</t>
    </r>
    <r>
      <rPr>
        <sz val="10"/>
        <color rgb="FF000000"/>
        <rFont val="WenQuanYi Zen Hei"/>
        <family val="2"/>
      </rPr>
      <t>側のモデレーター・カメラマン・</t>
    </r>
    <r>
      <rPr>
        <sz val="10"/>
        <color rgb="FF000000"/>
        <rFont val="Arial"/>
        <family val="2"/>
        <charset val="1"/>
      </rPr>
      <t>AV</t>
    </r>
    <r>
      <rPr>
        <sz val="10"/>
        <color rgb="FF000000"/>
        <rFont val="WenQuanYi Zen Hei"/>
        <family val="2"/>
      </rPr>
      <t>操作者の有無（</t>
    </r>
    <r>
      <rPr>
        <sz val="10"/>
        <color rgb="FF000000"/>
        <rFont val="Arial"/>
        <family val="2"/>
        <charset val="1"/>
      </rPr>
      <t>9</t>
    </r>
    <r>
      <rPr>
        <sz val="10"/>
        <color rgb="FF000000"/>
        <rFont val="WenQuanYi Zen Hei"/>
        <family val="2"/>
      </rPr>
      <t>月合同会議）、⑤森口の現地派遣の要否（予算</t>
    </r>
    <r>
      <rPr>
        <sz val="10"/>
        <color rgb="FF000000"/>
        <rFont val="Arial"/>
        <family val="2"/>
        <charset val="1"/>
      </rPr>
      <t>14</t>
    </r>
    <r>
      <rPr>
        <sz val="10"/>
        <color rgb="FF000000"/>
        <rFont val="WenQuanYi Zen Hei"/>
        <family val="2"/>
      </rPr>
      <t>名に含まれるが根拠なし）。</t>
    </r>
  </si>
  <si>
    <t>メンバー国等 到着・出発予定（ホテル部屋数検討用リスト_tt.xlsx Dorsettシート, as of 2026/8/25-28）</t>
  </si>
  <si>
    <r>
      <rPr>
        <i/>
        <sz val="9"/>
        <color rgb="FF555555"/>
        <rFont val="Arial"/>
        <family val="2"/>
        <charset val="1"/>
      </rPr>
      <t>※TBD</t>
    </r>
    <r>
      <rPr>
        <i/>
        <sz val="9"/>
        <color rgb="FF555555"/>
        <rFont val="WenQuanYi Zen Hei"/>
        <family val="2"/>
      </rPr>
      <t>は招待済みで人選未定。</t>
    </r>
    <r>
      <rPr>
        <i/>
        <sz val="9"/>
        <color rgb="FF555555"/>
        <rFont val="Arial"/>
        <family val="2"/>
        <charset val="1"/>
      </rPr>
      <t>DS=Dorsett</t>
    </r>
    <r>
      <rPr>
        <i/>
        <sz val="9"/>
        <color rgb="FF555555"/>
        <rFont val="WenQuanYi Zen Hei"/>
        <family val="2"/>
      </rPr>
      <t>自己負担。到着時刻は</t>
    </r>
    <r>
      <rPr>
        <i/>
        <sz val="9"/>
        <color rgb="FF555555"/>
        <rFont val="Arial"/>
        <family val="2"/>
        <charset val="1"/>
      </rPr>
      <t>COSEM</t>
    </r>
    <r>
      <rPr>
        <i/>
        <sz val="9"/>
        <color rgb="FF555555"/>
        <rFont val="WenQuanYi Zen Hei"/>
        <family val="2"/>
      </rPr>
      <t>送迎・</t>
    </r>
    <r>
      <rPr>
        <i/>
        <sz val="9"/>
        <color rgb="FF555555"/>
        <rFont val="Arial"/>
        <family val="2"/>
        <charset val="1"/>
      </rPr>
      <t>Dorsett</t>
    </r>
    <r>
      <rPr>
        <i/>
        <sz val="9"/>
        <color rgb="FF555555"/>
        <rFont val="WenQuanYi Zen Hei"/>
        <family val="2"/>
      </rPr>
      <t>受付配置の検討用。</t>
    </r>
  </si>
  <si>
    <t>国・組織</t>
  </si>
  <si>
    <t>到着日</t>
  </si>
  <si>
    <t>到着時刻</t>
  </si>
  <si>
    <t>出発日</t>
  </si>
  <si>
    <t>出発時刻</t>
  </si>
  <si>
    <t>便名(到着/出発)</t>
  </si>
  <si>
    <t>備考</t>
  </si>
  <si>
    <t>モルディブ</t>
  </si>
  <si>
    <t>Hassan Hisan (Chief Executive, NDMA)</t>
  </si>
  <si>
    <t>10/27</t>
  </si>
  <si>
    <t>07:15</t>
  </si>
  <si>
    <t>10/31</t>
  </si>
  <si>
    <t>10:25</t>
  </si>
  <si>
    <t>D</t>
  </si>
  <si>
    <t>Yes</t>
  </si>
  <si>
    <t>Halal</t>
  </si>
  <si>
    <t>アルメニア</t>
  </si>
  <si>
    <t>Syuzanna Vardazari Kakoyan</t>
  </si>
  <si>
    <t>08:45</t>
  </si>
  <si>
    <t>11/1</t>
  </si>
  <si>
    <t>TK208/TK209</t>
  </si>
  <si>
    <t>D(+10/31 DS)</t>
  </si>
  <si>
    <t>本人希望で1泊延長</t>
  </si>
  <si>
    <t>アゼルバイジャン</t>
  </si>
  <si>
    <t>Zamanov Niyazi</t>
  </si>
  <si>
    <t>10/26</t>
  </si>
  <si>
    <t>17:40</t>
  </si>
  <si>
    <t>10/30</t>
  </si>
  <si>
    <t>23:15</t>
  </si>
  <si>
    <t>TK335/TK54</t>
  </si>
  <si>
    <t>Rustamzade Kamran</t>
  </si>
  <si>
    <t>DS</t>
  </si>
  <si>
    <t>トルコ</t>
  </si>
  <si>
    <t>Pehlivan Ali Hamza (Governor/Head of AFAD)</t>
  </si>
  <si>
    <t>―/TK209</t>
  </si>
  <si>
    <t>Yaman Muhammet Maruf</t>
  </si>
  <si>
    <t>モンゴル</t>
  </si>
  <si>
    <t>Nyambayar Tsedev (Director, NEMA)</t>
  </si>
  <si>
    <t>21:55</t>
  </si>
  <si>
    <t>23:55</t>
  </si>
  <si>
    <t>CA969/CA970</t>
  </si>
  <si>
    <t>中国国際航空(北京経由)</t>
  </si>
  <si>
    <t>フィジー</t>
  </si>
  <si>
    <t>Naipolioni Dabea Boseiwaqa (Director, NDRMO)</t>
  </si>
  <si>
    <t>21:35</t>
  </si>
  <si>
    <t>13:40</t>
  </si>
  <si>
    <t>No</t>
  </si>
  <si>
    <t>スリランカ</t>
  </si>
  <si>
    <t>Maj.Gen.(Retd.) Kotuwegoda (DG, DMC)</t>
  </si>
  <si>
    <t>08:10</t>
  </si>
  <si>
    <t>09:40</t>
  </si>
  <si>
    <t>マレーシア</t>
  </si>
  <si>
    <t>Ezrin Rozani Bin Rosli (NADMA)</t>
  </si>
  <si>
    <t>12:20</t>
  </si>
  <si>
    <t>12:45</t>
  </si>
  <si>
    <t>D(10/27-)</t>
  </si>
  <si>
    <t>韓国</t>
  </si>
  <si>
    <t>Byungim So (MOIS)</t>
  </si>
  <si>
    <t>20:25</t>
  </si>
  <si>
    <t>01:35</t>
  </si>
  <si>
    <t>TBD ×2</t>
  </si>
  <si>
    <t>ベトナム</t>
  </si>
  <si>
    <r>
      <rPr>
        <b/>
        <sz val="10"/>
        <color rgb="FF000000"/>
        <rFont val="Arial"/>
        <family val="2"/>
        <charset val="1"/>
      </rPr>
      <t xml:space="preserve">Doan Thi Tuyet Nga </t>
    </r>
    <r>
      <rPr>
        <b/>
        <sz val="10"/>
        <color rgb="FF000000"/>
        <rFont val="WenQuanYi Zen Hei"/>
        <family val="2"/>
      </rPr>
      <t>ほか</t>
    </r>
    <r>
      <rPr>
        <b/>
        <sz val="10"/>
        <color rgb="FF000000"/>
        <rFont val="Arial"/>
        <family val="2"/>
        <charset val="1"/>
      </rPr>
      <t>TBD</t>
    </r>
  </si>
  <si>
    <t>17:20</t>
  </si>
  <si>
    <t>12:35</t>
  </si>
  <si>
    <t>D/DS</t>
  </si>
  <si>
    <r>
      <rPr>
        <b/>
        <sz val="10"/>
        <color rgb="FF000000"/>
        <rFont val="Arial"/>
        <family val="2"/>
        <charset val="1"/>
      </rPr>
      <t>8/27</t>
    </r>
    <r>
      <rPr>
        <b/>
        <sz val="10"/>
        <color rgb="FF000000"/>
        <rFont val="WenQuanYi Zen Hei"/>
        <family val="2"/>
      </rPr>
      <t>登録、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WenQuanYi Zen Hei"/>
        <family val="2"/>
      </rPr>
      <t>人目の可能性</t>
    </r>
  </si>
  <si>
    <t>ウズベキスタン</t>
  </si>
  <si>
    <r>
      <rPr>
        <b/>
        <sz val="10"/>
        <color rgb="FF000000"/>
        <rFont val="Arial"/>
        <family val="2"/>
        <charset val="1"/>
      </rPr>
      <t>TBD ×2</t>
    </r>
    <r>
      <rPr>
        <b/>
        <sz val="10"/>
        <color rgb="FF000000"/>
        <rFont val="WenQuanYi Zen Hei"/>
        <family val="2"/>
      </rPr>
      <t>（</t>
    </r>
    <r>
      <rPr>
        <b/>
        <sz val="10"/>
        <color rgb="FF000000"/>
        <rFont val="Arial"/>
        <family val="2"/>
        <charset val="1"/>
      </rPr>
      <t>1</t>
    </r>
    <r>
      <rPr>
        <b/>
        <sz val="10"/>
        <color rgb="FF000000"/>
        <rFont val="WenQuanYi Zen Hei"/>
        <family val="2"/>
      </rPr>
      <t>名は</t>
    </r>
    <r>
      <rPr>
        <b/>
        <sz val="10"/>
        <color rgb="FF000000"/>
        <rFont val="Arial"/>
        <family val="2"/>
        <charset val="1"/>
      </rPr>
      <t>TS</t>
    </r>
    <r>
      <rPr>
        <b/>
        <sz val="10"/>
        <color rgb="FF000000"/>
        <rFont val="WenQuanYi Zen Hei"/>
        <family val="2"/>
      </rPr>
      <t>スピーカー）</t>
    </r>
  </si>
  <si>
    <t>D×2</t>
  </si>
  <si>
    <t>宿泊負担の整理未了（田中8/31）</t>
  </si>
  <si>
    <t>フィリピン</t>
  </si>
  <si>
    <t>12:10</t>
  </si>
  <si>
    <t>ブルネイ</t>
  </si>
  <si>
    <t>14:30</t>
  </si>
  <si>
    <t>09:00</t>
  </si>
  <si>
    <t>ブータン</t>
  </si>
  <si>
    <t>TBD</t>
  </si>
  <si>
    <t>19:30</t>
  </si>
  <si>
    <t>12:30</t>
  </si>
  <si>
    <t>PNG</t>
  </si>
  <si>
    <t>20:40</t>
  </si>
  <si>
    <t>タイ</t>
  </si>
  <si>
    <t>14:50</t>
  </si>
  <si>
    <t>12:25</t>
  </si>
  <si>
    <t>カンボジア</t>
  </si>
  <si>
    <r>
      <rPr>
        <b/>
        <sz val="10"/>
        <color rgb="FF000000"/>
        <rFont val="Arial"/>
        <family val="2"/>
        <charset val="1"/>
      </rPr>
      <t>9/1</t>
    </r>
    <r>
      <rPr>
        <b/>
        <sz val="10"/>
        <color rgb="FF000000"/>
        <rFont val="WenQuanYi Zen Hei"/>
        <family val="2"/>
      </rPr>
      <t>登録あり</t>
    </r>
  </si>
  <si>
    <t>ミャンマー</t>
  </si>
  <si>
    <t>15:10</t>
  </si>
  <si>
    <t>13:45</t>
  </si>
  <si>
    <t>インドネシア</t>
  </si>
  <si>
    <t>11:20</t>
  </si>
  <si>
    <t>22:40</t>
  </si>
  <si>
    <t>パキスタン</t>
  </si>
  <si>
    <t>11:15</t>
  </si>
  <si>
    <t>インド</t>
  </si>
  <si>
    <r>
      <rPr>
        <b/>
        <sz val="10"/>
        <color rgb="FF000000"/>
        <rFont val="Arial"/>
        <family val="2"/>
        <charset val="1"/>
      </rPr>
      <t>3</t>
    </r>
    <r>
      <rPr>
        <b/>
        <sz val="10"/>
        <color rgb="FF000000"/>
        <rFont val="WenQuanYi Zen Hei"/>
        <family val="2"/>
      </rPr>
      <t>名（</t>
    </r>
    <r>
      <rPr>
        <b/>
        <sz val="10"/>
        <color rgb="FF000000"/>
        <rFont val="Arial"/>
        <family val="2"/>
        <charset val="1"/>
      </rPr>
      <t>8/28</t>
    </r>
    <r>
      <rPr>
        <b/>
        <sz val="10"/>
        <color rgb="FF000000"/>
        <rFont val="WenQuanYi Zen Hei"/>
        <family val="2"/>
      </rPr>
      <t>登録、</t>
    </r>
    <r>
      <rPr>
        <b/>
        <sz val="10"/>
        <color rgb="FF000000"/>
        <rFont val="Arial"/>
        <family val="2"/>
        <charset val="1"/>
      </rPr>
      <t>9/3</t>
    </r>
    <r>
      <rPr>
        <b/>
        <sz val="10"/>
        <color rgb="FF000000"/>
        <rFont val="WenQuanYi Zen Hei"/>
        <family val="2"/>
      </rPr>
      <t>に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WenQuanYi Zen Hei"/>
        <family val="2"/>
      </rPr>
      <t>人目確認）</t>
    </r>
  </si>
  <si>
    <t>16:40</t>
  </si>
  <si>
    <t>D+DS×2</t>
  </si>
  <si>
    <t>内閣府（日本）</t>
  </si>
  <si>
    <t>林 正道 政策統括官 ＋随行2名</t>
  </si>
  <si>
    <t>01:20</t>
  </si>
  <si>
    <r>
      <rPr>
        <b/>
        <sz val="10"/>
        <color rgb="FF000000"/>
        <rFont val="Arial"/>
        <family val="2"/>
        <charset val="1"/>
      </rPr>
      <t>DS×2(+</t>
    </r>
    <r>
      <rPr>
        <b/>
        <sz val="10"/>
        <color rgb="FF000000"/>
        <rFont val="WenQuanYi Zen Hei"/>
        <family val="2"/>
      </rPr>
      <t>林氏</t>
    </r>
    <r>
      <rPr>
        <b/>
        <sz val="10"/>
        <color rgb="FF000000"/>
        <rFont val="Arial"/>
        <family val="2"/>
        <charset val="1"/>
      </rPr>
      <t>)</t>
    </r>
  </si>
  <si>
    <r>
      <rPr>
        <b/>
        <sz val="10"/>
        <color rgb="FF000000"/>
        <rFont val="Arial"/>
        <family val="2"/>
        <charset val="1"/>
      </rPr>
      <t>CV</t>
    </r>
    <r>
      <rPr>
        <b/>
        <sz val="10"/>
        <color rgb="FF000000"/>
        <rFont val="WenQuanYi Zen Hei"/>
        <family val="2"/>
      </rPr>
      <t>準備中。英語サポート要</t>
    </r>
  </si>
  <si>
    <t>リソース</t>
  </si>
  <si>
    <r>
      <rPr>
        <b/>
        <sz val="10"/>
        <color rgb="FF000000"/>
        <rFont val="Arial"/>
        <family val="2"/>
        <charset val="1"/>
      </rPr>
      <t>TS</t>
    </r>
    <r>
      <rPr>
        <b/>
        <sz val="10"/>
        <color rgb="FF000000"/>
        <rFont val="WenQuanYi Zen Hei"/>
        <family val="2"/>
      </rPr>
      <t>スピーカー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WenQuanYi Zen Hei"/>
        <family val="2"/>
      </rPr>
      <t>名（海外）</t>
    </r>
  </si>
  <si>
    <r>
      <rPr>
        <b/>
        <sz val="10"/>
        <color rgb="FF000000"/>
        <rFont val="Arial"/>
        <family val="2"/>
        <charset val="1"/>
      </rPr>
      <t>JAXA</t>
    </r>
    <r>
      <rPr>
        <b/>
        <sz val="10"/>
        <color rgb="FF000000"/>
        <rFont val="WenQuanYi Zen Hei"/>
        <family val="2"/>
      </rPr>
      <t>川北氏確定、他調整中</t>
    </r>
  </si>
  <si>
    <t>観察者・一般</t>
  </si>
  <si>
    <r>
      <rPr>
        <b/>
        <sz val="10"/>
        <color rgb="FF000000"/>
        <rFont val="Arial"/>
        <family val="2"/>
        <charset val="1"/>
      </rPr>
      <t>ADPC 2</t>
    </r>
    <r>
      <rPr>
        <b/>
        <sz val="10"/>
        <color rgb="FF000000"/>
        <rFont val="WenQuanYi Zen Hei"/>
        <family val="2"/>
      </rPr>
      <t>名、</t>
    </r>
    <r>
      <rPr>
        <b/>
        <sz val="10"/>
        <color rgb="FF000000"/>
        <rFont val="Arial"/>
        <family val="2"/>
        <charset val="1"/>
      </rPr>
      <t>AHA Centre</t>
    </r>
    <r>
      <rPr>
        <b/>
        <sz val="10"/>
        <color rgb="FF000000"/>
        <rFont val="WenQuanYi Zen Hei"/>
        <family val="2"/>
      </rPr>
      <t>、</t>
    </r>
    <r>
      <rPr>
        <b/>
        <sz val="10"/>
        <color rgb="FF000000"/>
        <rFont val="Arial"/>
        <family val="2"/>
        <charset val="1"/>
      </rPr>
      <t>JICA</t>
    </r>
    <r>
      <rPr>
        <b/>
        <sz val="10"/>
        <color rgb="FF000000"/>
        <rFont val="WenQuanYi Zen Hei"/>
        <family val="2"/>
      </rPr>
      <t>フィジー、東北大小野教授、仙台市</t>
    </r>
    <r>
      <rPr>
        <b/>
        <sz val="10"/>
        <color rgb="FF000000"/>
        <rFont val="Arial"/>
        <family val="2"/>
        <charset val="1"/>
      </rPr>
      <t>3</t>
    </r>
    <r>
      <rPr>
        <b/>
        <sz val="10"/>
        <color rgb="FF000000"/>
        <rFont val="WenQuanYi Zen Hei"/>
        <family val="2"/>
      </rPr>
      <t>名、</t>
    </r>
    <r>
      <rPr>
        <b/>
        <sz val="10"/>
        <color rgb="FF000000"/>
        <rFont val="Arial"/>
        <family val="2"/>
        <charset val="1"/>
      </rPr>
      <t>Mercy Malaysia</t>
    </r>
    <r>
      <rPr>
        <b/>
        <sz val="10"/>
        <color rgb="FF000000"/>
        <rFont val="WenQuanYi Zen Hei"/>
        <family val="2"/>
      </rPr>
      <t>、大学関係 等</t>
    </r>
  </si>
  <si>
    <t>自己手配</t>
  </si>
  <si>
    <t>昼食提供対象</t>
  </si>
  <si>
    <r>
      <rPr>
        <sz val="9"/>
        <color rgb="FFC00000"/>
        <rFont val="Arial"/>
        <family val="2"/>
        <charset val="1"/>
      </rPr>
      <t>Dorsett</t>
    </r>
    <r>
      <rPr>
        <sz val="9"/>
        <color rgb="FFC00000"/>
        <rFont val="WenQuanYi Zen Hei"/>
        <family val="2"/>
      </rPr>
      <t>確保数（</t>
    </r>
    <r>
      <rPr>
        <sz val="9"/>
        <color rgb="FFC00000"/>
        <rFont val="Arial"/>
        <family val="2"/>
        <charset val="1"/>
      </rPr>
      <t>8/28</t>
    </r>
    <r>
      <rPr>
        <sz val="9"/>
        <color rgb="FFC00000"/>
        <rFont val="WenQuanYi Zen Hei"/>
        <family val="2"/>
      </rPr>
      <t>に</t>
    </r>
    <r>
      <rPr>
        <sz val="9"/>
        <color rgb="FFC00000"/>
        <rFont val="Arial"/>
        <family val="2"/>
        <charset val="1"/>
      </rPr>
      <t>COSEM</t>
    </r>
    <r>
      <rPr>
        <sz val="9"/>
        <color rgb="FFC00000"/>
        <rFont val="WenQuanYi Zen Hei"/>
        <family val="2"/>
      </rPr>
      <t>へ通知）</t>
    </r>
    <r>
      <rPr>
        <sz val="9"/>
        <color rgb="FFC00000"/>
        <rFont val="Arial"/>
        <family val="2"/>
        <charset val="1"/>
      </rPr>
      <t>: 10/26 29</t>
    </r>
    <r>
      <rPr>
        <sz val="9"/>
        <color rgb="FFC00000"/>
        <rFont val="WenQuanYi Zen Hei"/>
        <family val="2"/>
      </rPr>
      <t>室、</t>
    </r>
    <r>
      <rPr>
        <sz val="9"/>
        <color rgb="FFC00000"/>
        <rFont val="Arial"/>
        <family val="2"/>
        <charset val="1"/>
      </rPr>
      <t>10/27-30 37</t>
    </r>
    <r>
      <rPr>
        <sz val="9"/>
        <color rgb="FFC00000"/>
        <rFont val="WenQuanYi Zen Hei"/>
        <family val="2"/>
      </rPr>
      <t>室</t>
    </r>
    <r>
      <rPr>
        <sz val="9"/>
        <color rgb="FFC00000"/>
        <rFont val="Arial"/>
        <family val="2"/>
        <charset val="1"/>
      </rPr>
      <t>/</t>
    </r>
    <r>
      <rPr>
        <sz val="9"/>
        <color rgb="FFC00000"/>
        <rFont val="WenQuanYi Zen Hei"/>
        <family val="2"/>
      </rPr>
      <t>泊、</t>
    </r>
    <r>
      <rPr>
        <sz val="9"/>
        <color rgb="FFC00000"/>
        <rFont val="Arial"/>
        <family val="2"/>
        <charset val="1"/>
      </rPr>
      <t>10/31 2</t>
    </r>
    <r>
      <rPr>
        <sz val="9"/>
        <color rgb="FFC00000"/>
        <rFont val="WenQuanYi Zen Hei"/>
        <family val="2"/>
      </rPr>
      <t>室、計</t>
    </r>
    <r>
      <rPr>
        <sz val="9"/>
        <color rgb="FFC00000"/>
        <rFont val="Arial"/>
        <family val="2"/>
        <charset val="1"/>
      </rPr>
      <t>180 room nights</t>
    </r>
    <r>
      <rPr>
        <sz val="9"/>
        <color rgb="FFC00000"/>
        <rFont val="WenQuanYi Zen Hei"/>
        <family val="2"/>
      </rPr>
      <t>。</t>
    </r>
    <r>
      <rPr>
        <sz val="9"/>
        <color rgb="FFC00000"/>
        <rFont val="Arial"/>
        <family val="2"/>
        <charset val="1"/>
      </rPr>
      <t>9/28</t>
    </r>
    <r>
      <rPr>
        <sz val="9"/>
        <color rgb="FFC00000"/>
        <rFont val="WenQuanYi Zen Hei"/>
        <family val="2"/>
      </rPr>
      <t>に</t>
    </r>
    <r>
      <rPr>
        <sz val="9"/>
        <color rgb="FFC00000"/>
        <rFont val="Arial"/>
        <family val="2"/>
        <charset val="1"/>
      </rPr>
      <t>10%</t>
    </r>
    <r>
      <rPr>
        <sz val="9"/>
        <color rgb="FFC00000"/>
        <rFont val="WenQuanYi Zen Hei"/>
        <family val="2"/>
      </rPr>
      <t>リリース可、以後</t>
    </r>
    <r>
      <rPr>
        <sz val="9"/>
        <color rgb="FFC00000"/>
        <rFont val="Arial"/>
        <family val="2"/>
        <charset val="1"/>
      </rPr>
      <t>100%</t>
    </r>
    <r>
      <rPr>
        <sz val="9"/>
        <color rgb="FFC00000"/>
        <rFont val="WenQuanYi Zen Hei"/>
        <family val="2"/>
      </rPr>
      <t>課金。</t>
    </r>
  </si>
  <si>
    <t>出典と前提（本表は2026/9/4時点の一次資料から作成。未確認事項は各シートに明記）</t>
  </si>
  <si>
    <t>#</t>
  </si>
  <si>
    <t>資料</t>
  </si>
  <si>
    <t>本表での使用箇所</t>
  </si>
  <si>
    <r>
      <rPr>
        <b/>
        <sz val="10"/>
        <color rgb="FF000000"/>
        <rFont val="Arial"/>
        <family val="2"/>
        <charset val="1"/>
      </rPr>
      <t xml:space="preserve">Gmail: </t>
    </r>
    <r>
      <rPr>
        <b/>
        <sz val="10"/>
        <color rgb="FF000000"/>
        <rFont val="WenQuanYi Zen Hei"/>
        <family val="2"/>
      </rPr>
      <t xml:space="preserve">荒木田→研究部・事務局 </t>
    </r>
    <r>
      <rPr>
        <b/>
        <sz val="10"/>
        <color rgb="FF000000"/>
        <rFont val="Arial"/>
        <family val="2"/>
        <charset val="1"/>
      </rPr>
      <t>2026/9/2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  <charset val="1"/>
      </rPr>
      <t>ACDR2026</t>
    </r>
    <r>
      <rPr>
        <b/>
        <sz val="10"/>
        <color rgb="FF000000"/>
        <rFont val="WenQuanYi Zen Hei"/>
        <family val="2"/>
      </rPr>
      <t>打合せ」</t>
    </r>
    <r>
      <rPr>
        <b/>
        <sz val="10"/>
        <color rgb="FF000000"/>
        <rFont val="Arial"/>
        <family val="2"/>
        <charset val="1"/>
      </rPr>
      <t>(9/4 15-16</t>
    </r>
    <r>
      <rPr>
        <b/>
        <sz val="10"/>
        <color rgb="FF000000"/>
        <rFont val="WenQuanYi Zen Hei"/>
        <family val="2"/>
      </rPr>
      <t>時所内打合せ</t>
    </r>
    <r>
      <rPr>
        <b/>
        <sz val="10"/>
        <color rgb="FF000000"/>
        <rFont val="Arial"/>
        <family val="2"/>
        <charset val="1"/>
      </rPr>
      <t>)</t>
    </r>
  </si>
  <si>
    <t>児玉9/3『役割分担等再確認』の指示</t>
  </si>
  <si>
    <r>
      <rPr>
        <b/>
        <sz val="10"/>
        <color rgb="FF000000"/>
        <rFont val="Arial"/>
        <family val="2"/>
        <charset val="1"/>
      </rPr>
      <t xml:space="preserve">Gmail: </t>
    </r>
    <r>
      <rPr>
        <b/>
        <sz val="10"/>
        <color rgb="FF000000"/>
        <rFont val="WenQuanYi Zen Hei"/>
        <family val="2"/>
      </rPr>
      <t xml:space="preserve">荒木田→塩見 </t>
    </r>
    <r>
      <rPr>
        <b/>
        <sz val="10"/>
        <color rgb="FF000000"/>
        <rFont val="Arial"/>
        <family val="2"/>
        <charset val="1"/>
      </rPr>
      <t>2026/9/4</t>
    </r>
    <r>
      <rPr>
        <b/>
        <sz val="10"/>
        <color rgb="FF000000"/>
        <rFont val="WenQuanYi Zen Hei"/>
        <family val="2"/>
      </rPr>
      <t>「日程について」返信</t>
    </r>
  </si>
  <si>
    <t>塩見への現地参加打診（未回答）</t>
  </si>
  <si>
    <r>
      <rPr>
        <b/>
        <sz val="10"/>
        <color rgb="FF000000"/>
        <rFont val="Arial"/>
        <family val="2"/>
        <charset val="1"/>
      </rPr>
      <t xml:space="preserve">Gmail: </t>
    </r>
    <r>
      <rPr>
        <b/>
        <sz val="10"/>
        <color rgb="FF000000"/>
        <rFont val="WenQuanYi Zen Hei"/>
        <family val="2"/>
      </rPr>
      <t xml:space="preserve">荒木田→藤本 </t>
    </r>
    <r>
      <rPr>
        <b/>
        <sz val="10"/>
        <color rgb="FF000000"/>
        <rFont val="Arial"/>
        <family val="2"/>
        <charset val="1"/>
      </rPr>
      <t>2026/8/6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  <charset val="1"/>
      </rPr>
      <t>ACDR2026</t>
    </r>
    <r>
      <rPr>
        <b/>
        <sz val="10"/>
        <color rgb="FF000000"/>
        <rFont val="WenQuanYi Zen Hei"/>
        <family val="2"/>
      </rPr>
      <t xml:space="preserve">に行きませんか」／藤本 </t>
    </r>
    <r>
      <rPr>
        <b/>
        <sz val="10"/>
        <color rgb="FF000000"/>
        <rFont val="Arial"/>
        <family val="2"/>
        <charset val="1"/>
      </rPr>
      <t>8/7</t>
    </r>
    <r>
      <rPr>
        <b/>
        <sz val="10"/>
        <color rgb="FF000000"/>
        <rFont val="WenQuanYi Zen Hei"/>
        <family val="2"/>
      </rPr>
      <t>返信</t>
    </r>
  </si>
  <si>
    <t>追加要員1-2名の必要性、藤本の参加可否</t>
  </si>
  <si>
    <t>4</t>
  </si>
  <si>
    <r>
      <rPr>
        <b/>
        <sz val="10"/>
        <color rgb="FF000000"/>
        <rFont val="Arial"/>
        <family val="2"/>
        <charset val="1"/>
      </rPr>
      <t>Gmail</t>
    </r>
    <r>
      <rPr>
        <b/>
        <sz val="10"/>
        <color rgb="FF000000"/>
        <rFont val="WenQuanYi Zen Hei"/>
        <family val="2"/>
      </rPr>
      <t>添付</t>
    </r>
    <r>
      <rPr>
        <b/>
        <sz val="10"/>
        <color rgb="FF000000"/>
        <rFont val="Arial"/>
        <family val="2"/>
        <charset val="1"/>
      </rPr>
      <t>: ACDR2026_Demarcation_asof0805.pptx</t>
    </r>
    <r>
      <rPr>
        <b/>
        <sz val="10"/>
        <color rgb="FF000000"/>
        <rFont val="WenQuanYi Zen Hei"/>
        <family val="2"/>
      </rPr>
      <t xml:space="preserve">（荒木田→藤本 </t>
    </r>
    <r>
      <rPr>
        <b/>
        <sz val="10"/>
        <color rgb="FF000000"/>
        <rFont val="Arial"/>
        <family val="2"/>
        <charset val="1"/>
      </rPr>
      <t>8/6</t>
    </r>
    <r>
      <rPr>
        <b/>
        <sz val="10"/>
        <color rgb="FF000000"/>
        <rFont val="WenQuanYi Zen Hei"/>
        <family val="2"/>
      </rPr>
      <t>）</t>
    </r>
  </si>
  <si>
    <t>役割分担（8/6版）</t>
  </si>
  <si>
    <t>5</t>
  </si>
  <si>
    <r>
      <rPr>
        <b/>
        <sz val="10"/>
        <color rgb="FF000000"/>
        <rFont val="Arial"/>
        <family val="2"/>
        <charset val="1"/>
      </rPr>
      <t>Gmail</t>
    </r>
    <r>
      <rPr>
        <b/>
        <sz val="10"/>
        <color rgb="FF000000"/>
        <rFont val="WenQuanYi Zen Hei"/>
        <family val="2"/>
      </rPr>
      <t>添付</t>
    </r>
    <r>
      <rPr>
        <b/>
        <sz val="10"/>
        <color rgb="FF000000"/>
        <rFont val="Arial"/>
        <family val="2"/>
        <charset val="1"/>
      </rPr>
      <t xml:space="preserve">: </t>
    </r>
    <r>
      <rPr>
        <b/>
        <sz val="10"/>
        <color rgb="FF000000"/>
        <rFont val="WenQuanYi Zen Hei"/>
        <family val="2"/>
      </rPr>
      <t xml:space="preserve">ホテル部屋数検討用リスト </t>
    </r>
    <r>
      <rPr>
        <b/>
        <sz val="10"/>
        <color rgb="FF000000"/>
        <rFont val="Arial"/>
        <family val="2"/>
        <charset val="1"/>
      </rPr>
      <t>_tt.xlsx</t>
    </r>
    <r>
      <rPr>
        <b/>
        <sz val="10"/>
        <color rgb="FF000000"/>
        <rFont val="WenQuanYi Zen Hei"/>
        <family val="2"/>
      </rPr>
      <t xml:space="preserve">（田中→藤中・荒木田・児玉 </t>
    </r>
    <r>
      <rPr>
        <b/>
        <sz val="10"/>
        <color rgb="FF000000"/>
        <rFont val="Arial"/>
        <family val="2"/>
        <charset val="1"/>
      </rPr>
      <t>8/28</t>
    </r>
    <r>
      <rPr>
        <b/>
        <sz val="10"/>
        <color rgb="FF000000"/>
        <rFont val="WenQuanYi Zen Hei"/>
        <family val="2"/>
      </rPr>
      <t>）</t>
    </r>
  </si>
  <si>
    <t>スタッフ・参加者の到着/出発・宿泊</t>
  </si>
  <si>
    <t>6</t>
  </si>
  <si>
    <r>
      <rPr>
        <b/>
        <sz val="10"/>
        <color rgb="FF000000"/>
        <rFont val="Arial"/>
        <family val="2"/>
        <charset val="1"/>
      </rPr>
      <t xml:space="preserve">Gmail: </t>
    </r>
    <r>
      <rPr>
        <b/>
        <sz val="10"/>
        <color rgb="FF000000"/>
        <rFont val="WenQuanYi Zen Hei"/>
        <family val="2"/>
      </rPr>
      <t>事務局→</t>
    </r>
    <r>
      <rPr>
        <b/>
        <sz val="10"/>
        <color rgb="FF000000"/>
        <rFont val="Arial"/>
        <family val="2"/>
        <charset val="1"/>
      </rPr>
      <t>Sylvia(COSEM) 8/28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  <charset val="1"/>
      </rPr>
      <t>Hotel Guest Rooms as of 28 August</t>
    </r>
    <r>
      <rPr>
        <b/>
        <sz val="10"/>
        <color rgb="FF000000"/>
        <rFont val="WenQuanYi Zen Hei"/>
        <family val="2"/>
      </rPr>
      <t xml:space="preserve">」／藤中 </t>
    </r>
    <r>
      <rPr>
        <b/>
        <sz val="10"/>
        <color rgb="FF000000"/>
        <rFont val="Arial"/>
        <family val="2"/>
        <charset val="1"/>
      </rPr>
      <t>9/1</t>
    </r>
    <r>
      <rPr>
        <b/>
        <sz val="10"/>
        <color rgb="FF000000"/>
        <rFont val="WenQuanYi Zen Hei"/>
        <family val="2"/>
      </rPr>
      <t>返信</t>
    </r>
  </si>
  <si>
    <t>Dorsett 180 room nights</t>
  </si>
  <si>
    <t>7</t>
  </si>
  <si>
    <r>
      <rPr>
        <b/>
        <sz val="10"/>
        <color rgb="FF000000"/>
        <rFont val="Arial"/>
        <family val="2"/>
        <charset val="1"/>
      </rPr>
      <t>Gmail</t>
    </r>
    <r>
      <rPr>
        <b/>
        <sz val="10"/>
        <color rgb="FF000000"/>
        <rFont val="WenQuanYi Zen Hei"/>
        <family val="2"/>
      </rPr>
      <t>添付</t>
    </r>
    <r>
      <rPr>
        <b/>
        <sz val="10"/>
        <color rgb="FF000000"/>
        <rFont val="Arial"/>
        <family val="2"/>
        <charset val="1"/>
      </rPr>
      <t>: ACDR2026</t>
    </r>
    <r>
      <rPr>
        <b/>
        <sz val="10"/>
        <color rgb="FF000000"/>
        <rFont val="WenQuanYi Zen Hei"/>
        <family val="2"/>
      </rPr>
      <t>予算</t>
    </r>
    <r>
      <rPr>
        <b/>
        <sz val="10"/>
        <color rgb="FF000000"/>
        <rFont val="Arial"/>
        <family val="2"/>
        <charset val="1"/>
      </rPr>
      <t>.xlsx</t>
    </r>
    <r>
      <rPr>
        <b/>
        <sz val="10"/>
        <color rgb="FF000000"/>
        <rFont val="WenQuanYi Zen Hei"/>
        <family val="2"/>
      </rPr>
      <t xml:space="preserve">（藤中→荒木田・児玉 </t>
    </r>
    <r>
      <rPr>
        <b/>
        <sz val="10"/>
        <color rgb="FF000000"/>
        <rFont val="Arial"/>
        <family val="2"/>
        <charset val="1"/>
      </rPr>
      <t>8/21</t>
    </r>
    <r>
      <rPr>
        <b/>
        <sz val="10"/>
        <color rgb="FF000000"/>
        <rFont val="WenQuanYi Zen Hei"/>
        <family val="2"/>
      </rPr>
      <t>）</t>
    </r>
  </si>
  <si>
    <t>スタッフ14名リスト、旅費・宿泊予算、超過見込み</t>
  </si>
  <si>
    <t>8</t>
  </si>
  <si>
    <r>
      <rPr>
        <b/>
        <sz val="10"/>
        <color rgb="FF000000"/>
        <rFont val="Arial"/>
        <family val="2"/>
        <charset val="1"/>
      </rPr>
      <t>Gmail</t>
    </r>
    <r>
      <rPr>
        <b/>
        <sz val="10"/>
        <color rgb="FF000000"/>
        <rFont val="WenQuanYi Zen Hei"/>
        <family val="2"/>
      </rPr>
      <t>添付</t>
    </r>
    <r>
      <rPr>
        <b/>
        <sz val="10"/>
        <color rgb="FF000000"/>
        <rFont val="Arial"/>
        <family val="2"/>
        <charset val="1"/>
      </rPr>
      <t>: ACDR2026_Draft_Agenda_EN_0805r.docx</t>
    </r>
    <r>
      <rPr>
        <b/>
        <sz val="10"/>
        <color rgb="FF000000"/>
        <rFont val="WenQuanYi Zen Hei"/>
        <family val="2"/>
      </rPr>
      <t xml:space="preserve">（児玉 </t>
    </r>
    <r>
      <rPr>
        <b/>
        <sz val="10"/>
        <color rgb="FF000000"/>
        <rFont val="Arial"/>
        <family val="2"/>
        <charset val="1"/>
      </rPr>
      <t>8/5</t>
    </r>
    <r>
      <rPr>
        <b/>
        <sz val="10"/>
        <color rgb="FF000000"/>
        <rFont val="WenQuanYi Zen Hei"/>
        <family val="2"/>
      </rPr>
      <t>）＋</t>
    </r>
    <r>
      <rPr>
        <b/>
        <sz val="10"/>
        <color rgb="FF000000"/>
        <rFont val="Arial"/>
        <family val="2"/>
        <charset val="1"/>
      </rPr>
      <t>Flyer 8/26</t>
    </r>
    <r>
      <rPr>
        <b/>
        <sz val="10"/>
        <color rgb="FF000000"/>
        <rFont val="WenQuanYi Zen Hei"/>
        <family val="2"/>
      </rPr>
      <t>版（</t>
    </r>
    <r>
      <rPr>
        <b/>
        <sz val="10"/>
        <color rgb="FF000000"/>
        <rFont val="Arial"/>
        <family val="2"/>
        <charset val="1"/>
      </rPr>
      <t>Field Trip 13:00</t>
    </r>
    <r>
      <rPr>
        <b/>
        <sz val="10"/>
        <color rgb="FF000000"/>
        <rFont val="WenQuanYi Zen Hei"/>
        <family val="2"/>
      </rPr>
      <t>）</t>
    </r>
  </si>
  <si>
    <t>会期プログラム</t>
  </si>
  <si>
    <t>9</t>
  </si>
  <si>
    <r>
      <rPr>
        <b/>
        <sz val="10"/>
        <color rgb="FF000000"/>
        <rFont val="Arial"/>
        <family val="2"/>
        <charset val="1"/>
      </rPr>
      <t xml:space="preserve">Gmail: </t>
    </r>
    <r>
      <rPr>
        <b/>
        <sz val="10"/>
        <color rgb="FF000000"/>
        <rFont val="WenQuanYi Zen Hei"/>
        <family val="2"/>
      </rPr>
      <t xml:space="preserve">藤中 </t>
    </r>
    <r>
      <rPr>
        <b/>
        <sz val="10"/>
        <color rgb="FF000000"/>
        <rFont val="Arial"/>
        <family val="2"/>
        <charset val="1"/>
      </rPr>
      <t>7/15</t>
    </r>
    <r>
      <rPr>
        <b/>
        <sz val="10"/>
        <color rgb="FF000000"/>
        <rFont val="WenQuanYi Zen Hei"/>
        <family val="2"/>
      </rPr>
      <t>「三浦センター長のフライト」／</t>
    </r>
    <r>
      <rPr>
        <b/>
        <sz val="10"/>
        <color rgb="FF000000"/>
        <rFont val="Arial"/>
        <family val="2"/>
        <charset val="1"/>
      </rPr>
      <t>7/29-31</t>
    </r>
    <r>
      <rPr>
        <b/>
        <sz val="10"/>
        <color rgb="FF000000"/>
        <rFont val="WenQuanYi Zen Hei"/>
        <family val="2"/>
      </rPr>
      <t>「シンガポール行きのフライト【</t>
    </r>
    <r>
      <rPr>
        <b/>
        <sz val="10"/>
        <color rgb="FF000000"/>
        <rFont val="Arial"/>
        <family val="2"/>
        <charset val="1"/>
      </rPr>
      <t>ACDR2026</t>
    </r>
    <r>
      <rPr>
        <b/>
        <sz val="10"/>
        <color rgb="FF000000"/>
        <rFont val="WenQuanYi Zen Hei"/>
        <family val="2"/>
      </rPr>
      <t>】」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WenQuanYi Zen Hei"/>
        <family val="2"/>
      </rPr>
      <t>北本</t>
    </r>
    <r>
      <rPr>
        <b/>
        <sz val="10"/>
        <color rgb="FF000000"/>
        <rFont val="Arial"/>
        <family val="2"/>
        <charset val="1"/>
      </rPr>
      <t>)</t>
    </r>
    <r>
      <rPr>
        <b/>
        <sz val="10"/>
        <color rgb="FF000000"/>
        <rFont val="WenQuanYi Zen Hei"/>
        <family val="2"/>
      </rPr>
      <t>／</t>
    </r>
    <r>
      <rPr>
        <b/>
        <sz val="10"/>
        <color rgb="FF000000"/>
        <rFont val="Arial"/>
        <family val="2"/>
        <charset val="1"/>
      </rPr>
      <t>7/10</t>
    </r>
    <r>
      <rPr>
        <b/>
        <sz val="10"/>
        <color rgb="FF000000"/>
        <rFont val="WenQuanYi Zen Hei"/>
        <family val="2"/>
      </rPr>
      <t>「田中・藤中のフライト」／</t>
    </r>
    <r>
      <rPr>
        <b/>
        <sz val="10"/>
        <color rgb="FF000000"/>
        <rFont val="Arial"/>
        <family val="2"/>
        <charset val="1"/>
      </rPr>
      <t>7/21</t>
    </r>
    <r>
      <rPr>
        <b/>
        <sz val="10"/>
        <color rgb="FF000000"/>
        <rFont val="WenQuanYi Zen Hei"/>
        <family val="2"/>
      </rPr>
      <t>「スイス発着のフライト」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WenQuanYi Zen Hei"/>
        <family val="2"/>
      </rPr>
      <t>吉田</t>
    </r>
    <r>
      <rPr>
        <b/>
        <sz val="10"/>
        <color rgb="FF000000"/>
        <rFont val="Arial"/>
        <family val="2"/>
        <charset val="1"/>
      </rPr>
      <t>)</t>
    </r>
    <r>
      <rPr>
        <b/>
        <sz val="10"/>
        <color rgb="FF000000"/>
        <rFont val="WenQuanYi Zen Hei"/>
        <family val="2"/>
      </rPr>
      <t>／</t>
    </r>
    <r>
      <rPr>
        <b/>
        <sz val="10"/>
        <color rgb="FF000000"/>
        <rFont val="Arial"/>
        <family val="2"/>
        <charset val="1"/>
      </rPr>
      <t>7/29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  <charset val="1"/>
      </rPr>
      <t>Flight to Singapore for ACDR2026</t>
    </r>
    <r>
      <rPr>
        <b/>
        <sz val="10"/>
        <color rgb="FF000000"/>
        <rFont val="WenQuanYi Zen Hei"/>
        <family val="2"/>
      </rPr>
      <t>」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WenQuanYi Zen Hei"/>
        <family val="2"/>
      </rPr>
      <t>池田・</t>
    </r>
    <r>
      <rPr>
        <b/>
        <sz val="10"/>
        <color rgb="FF000000"/>
        <rFont val="Arial"/>
        <family val="2"/>
        <charset val="1"/>
      </rPr>
      <t>Gerry)</t>
    </r>
    <r>
      <rPr>
        <b/>
        <sz val="10"/>
        <color rgb="FF000000"/>
        <rFont val="WenQuanYi Zen Hei"/>
        <family val="2"/>
      </rPr>
      <t>／</t>
    </r>
    <r>
      <rPr>
        <b/>
        <sz val="10"/>
        <color rgb="FF000000"/>
        <rFont val="Arial"/>
        <family val="2"/>
        <charset val="1"/>
      </rPr>
      <t>7/31</t>
    </r>
    <r>
      <rPr>
        <b/>
        <sz val="10"/>
        <color rgb="FF000000"/>
        <rFont val="WenQuanYi Zen Hei"/>
        <family val="2"/>
      </rPr>
      <t>「池田さん、</t>
    </r>
    <r>
      <rPr>
        <b/>
        <sz val="10"/>
        <color rgb="FF000000"/>
        <rFont val="Arial"/>
        <family val="2"/>
        <charset val="1"/>
      </rPr>
      <t>Gerry</t>
    </r>
    <r>
      <rPr>
        <b/>
        <sz val="10"/>
        <color rgb="FF000000"/>
        <rFont val="WenQuanYi Zen Hei"/>
        <family val="2"/>
      </rPr>
      <t>さんのふらいとについて」</t>
    </r>
  </si>
  <si>
    <t>各人のフライト</t>
  </si>
  <si>
    <t>10</t>
  </si>
  <si>
    <r>
      <rPr>
        <b/>
        <sz val="10"/>
        <color rgb="FF000000"/>
        <rFont val="Arial"/>
        <family val="2"/>
        <charset val="1"/>
      </rPr>
      <t xml:space="preserve">Gmail: </t>
    </r>
    <r>
      <rPr>
        <b/>
        <sz val="10"/>
        <color rgb="FF000000"/>
        <rFont val="WenQuanYi Zen Hei"/>
        <family val="2"/>
      </rPr>
      <t xml:space="preserve">児玉→宮木・荒木田 </t>
    </r>
    <r>
      <rPr>
        <b/>
        <sz val="10"/>
        <color rgb="FF000000"/>
        <rFont val="Arial"/>
        <family val="2"/>
        <charset val="1"/>
      </rPr>
      <t>8/28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  <charset val="1"/>
      </rPr>
      <t xml:space="preserve">SIDEX-ACDR2026: </t>
    </r>
    <r>
      <rPr>
        <b/>
        <sz val="10"/>
        <color rgb="FF000000"/>
        <rFont val="WenQuanYi Zen Hei"/>
        <family val="2"/>
      </rPr>
      <t>日本（内閣府）からの出席者決定」</t>
    </r>
  </si>
  <si>
    <t>林正道氏出席、英語サポート要</t>
  </si>
  <si>
    <t>11</t>
  </si>
  <si>
    <r>
      <rPr>
        <b/>
        <sz val="10"/>
        <color rgb="FF000000"/>
        <rFont val="Arial"/>
        <family val="2"/>
        <charset val="1"/>
      </rPr>
      <t xml:space="preserve">Gmail: </t>
    </r>
    <r>
      <rPr>
        <b/>
        <sz val="10"/>
        <color rgb="FF000000"/>
        <rFont val="WenQuanYi Zen Hei"/>
        <family val="2"/>
      </rPr>
      <t>児玉→荒木田・池田・</t>
    </r>
    <r>
      <rPr>
        <b/>
        <sz val="10"/>
        <color rgb="FF000000"/>
        <rFont val="Arial"/>
        <family val="2"/>
        <charset val="1"/>
      </rPr>
      <t>Mizan 8/28</t>
    </r>
    <r>
      <rPr>
        <b/>
        <sz val="10"/>
        <color rgb="FF000000"/>
        <rFont val="WenQuanYi Zen Hei"/>
        <family val="2"/>
      </rPr>
      <t>／</t>
    </r>
    <r>
      <rPr>
        <b/>
        <sz val="10"/>
        <color rgb="FF000000"/>
        <rFont val="Arial"/>
        <family val="2"/>
        <charset val="1"/>
      </rPr>
      <t>Mizan 8/31</t>
    </r>
    <r>
      <rPr>
        <b/>
        <sz val="10"/>
        <color rgb="FF000000"/>
        <rFont val="WenQuanYi Zen Hei"/>
        <family val="2"/>
      </rPr>
      <t xml:space="preserve">／荒木田 </t>
    </r>
    <r>
      <rPr>
        <b/>
        <sz val="10"/>
        <color rgb="FF000000"/>
        <rFont val="Arial"/>
        <family val="2"/>
        <charset val="1"/>
      </rPr>
      <t>8/31</t>
    </r>
    <r>
      <rPr>
        <b/>
        <sz val="10"/>
        <color rgb="FF000000"/>
        <rFont val="WenQuanYi Zen Hei"/>
        <family val="2"/>
      </rPr>
      <t>「テクニカルセッション準備状況」</t>
    </r>
  </si>
  <si>
    <r>
      <rPr>
        <b/>
        <sz val="10"/>
        <color rgb="FF000000"/>
        <rFont val="Arial"/>
        <family val="2"/>
        <charset val="1"/>
      </rPr>
      <t>Co-Chair</t>
    </r>
    <r>
      <rPr>
        <b/>
        <sz val="10"/>
        <color rgb="FF000000"/>
        <rFont val="WenQuanYi Zen Hei"/>
        <family val="2"/>
      </rPr>
      <t>人選、登壇者状況、期限設定</t>
    </r>
  </si>
  <si>
    <t>12</t>
  </si>
  <si>
    <r>
      <rPr>
        <b/>
        <sz val="10"/>
        <color rgb="FF000000"/>
        <rFont val="Arial"/>
        <family val="2"/>
        <charset val="1"/>
      </rPr>
      <t>Google</t>
    </r>
    <r>
      <rPr>
        <b/>
        <sz val="10"/>
        <color rgb="FF000000"/>
        <rFont val="WenQuanYi Zen Hei"/>
        <family val="2"/>
      </rPr>
      <t>ドライブ</t>
    </r>
    <r>
      <rPr>
        <b/>
        <sz val="10"/>
        <color rgb="FF000000"/>
        <rFont val="Arial"/>
        <family val="2"/>
        <charset val="1"/>
      </rPr>
      <t>: ACDR2026</t>
    </r>
    <r>
      <rPr>
        <b/>
        <sz val="10"/>
        <color rgb="FF000000"/>
        <rFont val="WenQuanYi Zen Hei"/>
        <family val="2"/>
      </rPr>
      <t>シンガポール事前協議チェックリスト回答状況（</t>
    </r>
    <r>
      <rPr>
        <b/>
        <sz val="10"/>
        <color rgb="FF000000"/>
        <rFont val="Arial"/>
        <family val="2"/>
        <charset val="1"/>
      </rPr>
      <t>5/18</t>
    </r>
    <r>
      <rPr>
        <b/>
        <sz val="10"/>
        <color rgb="FF000000"/>
        <rFont val="WenQuanYi Zen Hei"/>
        <family val="2"/>
      </rPr>
      <t>）／</t>
    </r>
    <r>
      <rPr>
        <b/>
        <sz val="10"/>
        <color rgb="FF000000"/>
        <rFont val="Arial"/>
        <family val="2"/>
        <charset val="1"/>
      </rPr>
      <t xml:space="preserve">SIDEX-ACDR 2026 </t>
    </r>
    <r>
      <rPr>
        <b/>
        <sz val="10"/>
        <color rgb="FF000000"/>
        <rFont val="WenQuanYi Zen Hei"/>
        <family val="2"/>
      </rPr>
      <t>開催準備月次</t>
    </r>
    <r>
      <rPr>
        <b/>
        <sz val="10"/>
        <color rgb="FF000000"/>
        <rFont val="Arial"/>
        <family val="2"/>
        <charset val="1"/>
      </rPr>
      <t>ToDo</t>
    </r>
    <r>
      <rPr>
        <b/>
        <sz val="10"/>
        <color rgb="FF000000"/>
        <rFont val="WenQuanYi Zen Hei"/>
        <family val="2"/>
      </rPr>
      <t>リスト</t>
    </r>
    <r>
      <rPr>
        <b/>
        <sz val="10"/>
        <color rgb="FF000000"/>
        <rFont val="Arial"/>
        <family val="2"/>
        <charset val="1"/>
      </rPr>
      <t>_V1</t>
    </r>
    <r>
      <rPr>
        <b/>
        <sz val="10"/>
        <color rgb="FF000000"/>
        <rFont val="WenQuanYi Zen Hei"/>
        <family val="2"/>
      </rPr>
      <t>（</t>
    </r>
    <r>
      <rPr>
        <b/>
        <sz val="10"/>
        <color rgb="FF000000"/>
        <rFont val="Arial"/>
        <family val="2"/>
        <charset val="1"/>
      </rPr>
      <t>5/19</t>
    </r>
    <r>
      <rPr>
        <b/>
        <sz val="10"/>
        <color rgb="FF000000"/>
        <rFont val="WenQuanYi Zen Hei"/>
        <family val="2"/>
      </rPr>
      <t>）／</t>
    </r>
    <r>
      <rPr>
        <b/>
        <sz val="10"/>
        <color rgb="FF000000"/>
        <rFont val="Arial"/>
        <family val="2"/>
        <charset val="1"/>
      </rPr>
      <t>ACDR 2026 Mission to Singapore Checklist</t>
    </r>
  </si>
  <si>
    <t>レセプション運営（16:00設営・18:30開始・受付ADRC）、未対応事項</t>
  </si>
  <si>
    <t>13</t>
  </si>
  <si>
    <r>
      <rPr>
        <b/>
        <sz val="10"/>
        <color rgb="FF000000"/>
        <rFont val="Arial"/>
        <family val="2"/>
        <charset val="1"/>
      </rPr>
      <t>Google</t>
    </r>
    <r>
      <rPr>
        <b/>
        <sz val="10"/>
        <color rgb="FF000000"/>
        <rFont val="WenQuanYi Zen Hei"/>
        <family val="2"/>
      </rPr>
      <t>ドライブ</t>
    </r>
    <r>
      <rPr>
        <b/>
        <sz val="10"/>
        <color rgb="FF000000"/>
        <rFont val="Arial"/>
        <family val="2"/>
        <charset val="1"/>
      </rPr>
      <t xml:space="preserve">: </t>
    </r>
    <r>
      <rPr>
        <b/>
        <sz val="10"/>
        <color rgb="FF000000"/>
        <rFont val="WenQuanYi Zen Hei"/>
        <family val="2"/>
      </rPr>
      <t xml:space="preserve">動態表 </t>
    </r>
    <r>
      <rPr>
        <b/>
        <sz val="10"/>
        <color rgb="FF000000"/>
        <rFont val="Arial"/>
        <family val="2"/>
        <charset val="1"/>
      </rPr>
      <t>ACDR2023 as of 17 Oct.xlsx</t>
    </r>
  </si>
  <si>
    <t>書式（日別AM/PM＋時間帯別）と2023年の人員配置の比較基準</t>
  </si>
  <si>
    <t>14</t>
  </si>
  <si>
    <r>
      <rPr>
        <b/>
        <sz val="10"/>
        <color rgb="FF000000"/>
        <rFont val="Arial"/>
        <family val="2"/>
        <charset val="1"/>
      </rPr>
      <t>Google</t>
    </r>
    <r>
      <rPr>
        <b/>
        <sz val="10"/>
        <color rgb="FF000000"/>
        <rFont val="WenQuanYi Zen Hei"/>
        <family val="2"/>
      </rPr>
      <t>ドライブ</t>
    </r>
    <r>
      <rPr>
        <b/>
        <sz val="10"/>
        <color rgb="FF000000"/>
        <rFont val="Arial"/>
        <family val="2"/>
        <charset val="1"/>
      </rPr>
      <t>: ACDR2026_General Information (UNDRR).pdf</t>
    </r>
  </si>
  <si>
    <t>日程・会場・AI翻訳ツール試行・登録期限9/20</t>
  </si>
  <si>
    <t>15</t>
  </si>
  <si>
    <t>アップロード: ACDR2025動態表 as of 11/26（16-19 DEC 2025, 三田）</t>
  </si>
  <si>
    <t>日本側サポート体制の前例（中村: Webinar/Zoom設定・Q&amp;A確認、寺坂: 録画日英、伊達: Webinarホスト確認、山口: 現地Photo/CAM）</t>
  </si>
  <si>
    <t>16</t>
  </si>
  <si>
    <t>荒木田 2026/9/4 指示（本セッション）</t>
  </si>
  <si>
    <t>中村＝日本でAI通訳設定等を担当、山口＝日本側サポート（録画・オンライン質疑）</t>
  </si>
  <si>
    <t>17</t>
  </si>
  <si>
    <t>児玉 2026/9/4 修正版（動態表 v1_2）</t>
  </si>
  <si>
    <t>宮木・児玉のフライト（10/25 NH2178/NH803、10/31 NH802）、池田・Gerryの便名（SQ619/SQ622）、Gerry＝研究部次長</t>
  </si>
  <si>
    <t>前提・限界</t>
  </si>
  <si>
    <t>・指定されたDropboxフォルダ（C:\Users\arakida\Dropbox\araarashare\JOB\ADRC\ACDR\）およびダウンロードフォルダは、この作業環境（クラウド上のLinuxコンテナ）から参照できないため未使用。同フォルダにある最新のデマケ・動態表があれば本表と突合が必要。</t>
  </si>
  <si>
    <t>・宮木・児玉の航空券は個人メールに記録がなく（管理部手配の可能性）、到着日は8/28リストの記載（10/27）をそのまま載せた。</t>
  </si>
  <si>
    <t>・時間帯別シートの担当割当は、8/6デマケと2023年の動態表を基にした『第1案』であり、所内打合せで調整する前提。</t>
  </si>
  <si>
    <t>・藤本・塩見の行は追加推奨の仮置きで、本人の承諾・手配は未了。</t>
  </si>
  <si>
    <t>・稼働人数の自動計算は、結合セルの先頭列のみを数える簡易指標。</t>
  </si>
  <si>
    <t>・日本側サポートの担当時間はJST勤務時間内を想定し、シンガポール時間の列に置いた（JST = SGT + 1時間）。寺坂・伊達は本人未確認の仮置き。 接続テストは①10/26午後(JST15-17, 荒木田・中村・山口、池田は到着後合流)、②10/27午後(JST14-17, 荒木田・池田・中村・山口＋仮置きの寺坂・伊達)の2回を想定。</t>
  </si>
  <si>
    <r>
      <t>10/26</t>
    </r>
    <r>
      <rPr>
        <sz val="10"/>
        <color rgb="FF000000"/>
        <rFont val="ＭＳ ゴシック"/>
        <family val="3"/>
        <charset val="128"/>
      </rPr>
      <t>は宮木・児玉が前日（</t>
    </r>
    <r>
      <rPr>
        <sz val="10"/>
        <color rgb="FF000000"/>
        <rFont val="Arial"/>
        <family val="2"/>
        <charset val="1"/>
      </rPr>
      <t>10/25</t>
    </r>
    <r>
      <rPr>
        <sz val="10"/>
        <color rgb="FF000000"/>
        <rFont val="ＭＳ ゴシック"/>
        <family val="3"/>
        <charset val="128"/>
      </rPr>
      <t>夜）入りしているため</t>
    </r>
    <r>
      <rPr>
        <sz val="10"/>
        <color rgb="FF000000"/>
        <rFont val="Arial"/>
        <family val="2"/>
        <charset val="1"/>
      </rPr>
      <t>Dorsett</t>
    </r>
    <r>
      <rPr>
        <sz val="10"/>
        <color rgb="FF000000"/>
        <rFont val="ＭＳ ゴシック"/>
        <family val="3"/>
        <charset val="128"/>
      </rPr>
      <t>到着対応を分担できる。一方</t>
    </r>
    <r>
      <rPr>
        <sz val="10"/>
        <color rgb="FF000000"/>
        <rFont val="Arial"/>
        <family val="2"/>
        <charset val="1"/>
      </rPr>
      <t>10/31</t>
    </r>
    <r>
      <rPr>
        <sz val="10"/>
        <color rgb="FF000000"/>
        <rFont val="ＭＳ ゴシック"/>
        <family val="3"/>
        <charset val="128"/>
      </rPr>
      <t>朝は宮木・児玉（</t>
    </r>
    <r>
      <rPr>
        <sz val="10"/>
        <color rgb="FF000000"/>
        <rFont val="Arial"/>
        <family val="2"/>
        <charset val="1"/>
      </rPr>
      <t>06:35</t>
    </r>
    <r>
      <rPr>
        <sz val="10"/>
        <color rgb="FF000000"/>
        <rFont val="ＭＳ ゴシック"/>
        <family val="3"/>
        <charset val="128"/>
      </rPr>
      <t>発）、池田・</t>
    </r>
    <r>
      <rPr>
        <sz val="10"/>
        <color rgb="FF000000"/>
        <rFont val="Arial"/>
        <family val="2"/>
        <charset val="1"/>
      </rPr>
      <t>Gerry</t>
    </r>
    <r>
      <rPr>
        <sz val="10"/>
        <color rgb="FF000000"/>
        <rFont val="ＭＳ ゴシック"/>
        <family val="3"/>
        <charset val="128"/>
      </rPr>
      <t>（深夜発）も帰国し、見送り・清算は藤中・田中の</t>
    </r>
    <r>
      <rPr>
        <sz val="10"/>
        <color rgb="FF000000"/>
        <rFont val="Arial"/>
        <family val="2"/>
        <charset val="1"/>
      </rPr>
      <t>2</t>
    </r>
    <r>
      <rPr>
        <sz val="10"/>
        <color rgb="FF000000"/>
        <rFont val="ＭＳ ゴシック"/>
        <family val="3"/>
        <charset val="128"/>
      </rPr>
      <t>名のみ。</t>
    </r>
    <rPh sb="85" eb="87">
      <t>キコク</t>
    </rPh>
    <phoneticPr fontId="3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</si>
</sst>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charset val="1"/>
    </font>
    <font>
      <b/>
      <sz val="14"/>
      <color rgb="FF1F4E78"/>
      <name val="Arial"/>
      <family val="2"/>
      <charset val="1"/>
    </font>
    <font>
      <b/>
      <sz val="14"/>
      <color rgb="FF1F4E78"/>
      <name val="WenQuanYi Zen Hei"/>
      <family val="2"/>
    </font>
    <font>
      <i/>
      <sz val="9"/>
      <color rgb="FF555555"/>
      <name val="WenQuanYi Zen Hei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WenQuanYi Zen He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WenQuanYi Zen Hei"/>
      <family val="2"/>
    </font>
    <font>
      <sz val="10"/>
      <color rgb="FF000000"/>
      <name val="WenQuanYi Zen Hei"/>
      <family val="3"/>
      <charset val="128"/>
    </font>
    <font>
      <b/>
      <sz val="10"/>
      <color rgb="FF000000"/>
      <name val="WenQuanYi Zen Hei"/>
      <family val="2"/>
      <charset val="1"/>
    </font>
    <font>
      <sz val="11"/>
      <color theme="1"/>
      <name val="WenQuanYi Zen Hei"/>
      <family val="2"/>
      <charset val="1"/>
    </font>
    <font>
      <b/>
      <sz val="10"/>
      <color rgb="FF0000FF"/>
      <name val="Arial"/>
      <family val="2"/>
      <charset val="1"/>
    </font>
    <font>
      <i/>
      <sz val="9"/>
      <color rgb="FF555555"/>
      <name val="Arial"/>
      <family val="2"/>
      <charset val="1"/>
    </font>
    <font>
      <i/>
      <sz val="9"/>
      <color rgb="FF555555"/>
      <name val="WenQuanYi Zen Hei"/>
      <family val="2"/>
    </font>
    <font>
      <sz val="9"/>
      <color rgb="FF000000"/>
      <name val="WenQuanYi Zen Hei"/>
      <family val="2"/>
      <charset val="1"/>
    </font>
    <font>
      <b/>
      <sz val="12"/>
      <color rgb="FF1F4E78"/>
      <name val="Arial"/>
      <family val="2"/>
      <charset val="1"/>
    </font>
    <font>
      <b/>
      <sz val="12"/>
      <color rgb="FF1F4E78"/>
      <name val="WenQuanYi Zen Hei"/>
      <family val="2"/>
    </font>
    <font>
      <b/>
      <sz val="10"/>
      <color rgb="FF000000"/>
      <name val="Arial"/>
      <family val="2"/>
      <charset val="1"/>
    </font>
    <font>
      <b/>
      <sz val="10"/>
      <color rgb="FF000000"/>
      <name val="WenQuanYi Zen Hei"/>
      <family val="2"/>
    </font>
    <font>
      <sz val="8"/>
      <color rgb="FF000000"/>
      <name val="Arial"/>
      <family val="2"/>
      <charset val="1"/>
    </font>
    <font>
      <sz val="8"/>
      <color rgb="FF000000"/>
      <name val="WenQuanYi Zen Hei"/>
      <family val="2"/>
      <charset val="1"/>
    </font>
    <font>
      <sz val="8"/>
      <color rgb="FF000000"/>
      <name val="WenQuanYi Zen Hei"/>
      <family val="2"/>
    </font>
    <font>
      <b/>
      <sz val="10"/>
      <color rgb="FFC0000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9"/>
      <color rgb="FF000000"/>
      <name val="WenQuanYi Zen Hei"/>
      <family val="2"/>
      <charset val="1"/>
    </font>
    <font>
      <i/>
      <sz val="8"/>
      <color rgb="FF555555"/>
      <name val="WenQuanYi Zen Hei"/>
      <family val="2"/>
      <charset val="1"/>
    </font>
    <font>
      <sz val="9"/>
      <color rgb="FFC00000"/>
      <name val="WenQuanYi Zen Hei"/>
      <family val="2"/>
      <charset val="1"/>
    </font>
    <font>
      <b/>
      <sz val="9"/>
      <color rgb="FFFFFFFF"/>
      <name val="WenQuanYi Zen Hei"/>
      <family val="2"/>
      <charset val="1"/>
    </font>
    <font>
      <sz val="8"/>
      <name val="Arial"/>
      <family val="2"/>
      <charset val="1"/>
    </font>
    <font>
      <sz val="8"/>
      <name val="WenQuanYi Zen Hei"/>
      <family val="2"/>
    </font>
    <font>
      <sz val="8"/>
      <name val="WenQuanYi Zen Hei"/>
      <family val="2"/>
      <charset val="1"/>
    </font>
    <font>
      <b/>
      <sz val="12"/>
      <color rgb="FF1F4E78"/>
      <name val="WenQuanYi Zen Hei"/>
      <family val="2"/>
      <charset val="1"/>
    </font>
    <font>
      <b/>
      <sz val="11"/>
      <color rgb="FF1F4E78"/>
      <name val="WenQuanYi Zen Hei"/>
      <family val="2"/>
      <charset val="1"/>
    </font>
    <font>
      <sz val="9"/>
      <color rgb="FFC00000"/>
      <name val="Arial"/>
      <family val="2"/>
      <charset val="1"/>
    </font>
    <font>
      <sz val="9"/>
      <color rgb="FFC00000"/>
      <name val="WenQuanYi Zen Hei"/>
      <family val="2"/>
    </font>
    <font>
      <sz val="6"/>
      <name val="ＭＳ Ｐゴシック"/>
      <family val="3"/>
      <charset val="128"/>
    </font>
    <font>
      <sz val="10"/>
      <color rgb="FF000000"/>
      <name val="ＭＳ ゴシック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F2F2F2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9" fillId="15" borderId="1" xfId="0" applyFont="1" applyFill="1" applyBorder="1" applyAlignment="1">
      <alignment vertical="center"/>
    </xf>
    <xf numFmtId="0" fontId="28" fillId="2" borderId="0" xfId="0" applyFont="1" applyFill="1"/>
    <xf numFmtId="0" fontId="27" fillId="0" borderId="0" xfId="0" applyFont="1" applyAlignment="1">
      <alignment vertical="top" wrapText="1"/>
    </xf>
    <xf numFmtId="0" fontId="20" fillId="14" borderId="1" xfId="0" applyFont="1" applyFill="1" applyBorder="1" applyAlignment="1">
      <alignment vertical="center"/>
    </xf>
    <xf numFmtId="0" fontId="21" fillId="14" borderId="1" xfId="0" applyFont="1" applyFill="1" applyBorder="1" applyAlignment="1">
      <alignment vertical="center"/>
    </xf>
    <xf numFmtId="0" fontId="20" fillId="11" borderId="1" xfId="0" applyFont="1" applyFill="1" applyBorder="1" applyAlignment="1">
      <alignment vertical="center"/>
    </xf>
    <xf numFmtId="0" fontId="20" fillId="15" borderId="1" xfId="0" applyFont="1" applyFill="1" applyBorder="1" applyAlignment="1">
      <alignment vertical="center"/>
    </xf>
    <xf numFmtId="0" fontId="21" fillId="15" borderId="1" xfId="0" applyFont="1" applyFill="1" applyBorder="1" applyAlignment="1">
      <alignment vertical="center"/>
    </xf>
    <xf numFmtId="0" fontId="21" fillId="11" borderId="1" xfId="0" applyFont="1" applyFill="1" applyBorder="1" applyAlignment="1">
      <alignment vertical="center"/>
    </xf>
    <xf numFmtId="0" fontId="21" fillId="13" borderId="1" xfId="0" applyFont="1" applyFill="1" applyBorder="1" applyAlignment="1">
      <alignment vertical="center"/>
    </xf>
    <xf numFmtId="0" fontId="21" fillId="9" borderId="1" xfId="0" applyFont="1" applyFill="1" applyBorder="1" applyAlignment="1">
      <alignment vertical="center"/>
    </xf>
    <xf numFmtId="0" fontId="5" fillId="2" borderId="0" xfId="0" applyFont="1" applyFill="1"/>
    <xf numFmtId="0" fontId="18" fillId="8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0" borderId="0" xfId="0" applyFont="1"/>
    <xf numFmtId="0" fontId="0" fillId="3" borderId="0" xfId="0" applyFill="1"/>
    <xf numFmtId="0" fontId="15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6" fillId="7" borderId="0" xfId="0" applyFont="1" applyFill="1"/>
    <xf numFmtId="0" fontId="18" fillId="7" borderId="0" xfId="0" applyFont="1" applyFill="1"/>
    <xf numFmtId="0" fontId="0" fillId="0" borderId="0" xfId="0" applyAlignment="1">
      <alignment horizontal="center" vertical="center" wrapText="1"/>
    </xf>
    <xf numFmtId="0" fontId="20" fillId="7" borderId="0" xfId="0" applyFont="1" applyFill="1" applyAlignment="1">
      <alignment vertical="top" wrapText="1"/>
    </xf>
    <xf numFmtId="0" fontId="21" fillId="9" borderId="0" xfId="0" applyFont="1" applyFill="1" applyAlignment="1">
      <alignment vertical="top" wrapText="1"/>
    </xf>
    <xf numFmtId="0" fontId="20" fillId="9" borderId="0" xfId="0" applyFont="1" applyFill="1" applyAlignment="1">
      <alignment vertical="top" wrapText="1"/>
    </xf>
    <xf numFmtId="0" fontId="10" fillId="7" borderId="1" xfId="0" applyFont="1" applyFill="1" applyBorder="1" applyAlignment="1">
      <alignment wrapText="1"/>
    </xf>
    <xf numFmtId="0" fontId="20" fillId="0" borderId="1" xfId="0" applyFont="1" applyBorder="1" applyAlignment="1">
      <alignment vertical="top" wrapText="1"/>
    </xf>
    <xf numFmtId="0" fontId="20" fillId="10" borderId="1" xfId="0" applyFont="1" applyFill="1" applyBorder="1" applyAlignment="1">
      <alignment vertical="top" wrapText="1"/>
    </xf>
    <xf numFmtId="0" fontId="20" fillId="11" borderId="1" xfId="0" applyFont="1" applyFill="1" applyBorder="1" applyAlignment="1">
      <alignment vertical="top" wrapText="1"/>
    </xf>
    <xf numFmtId="0" fontId="21" fillId="11" borderId="1" xfId="0" applyFont="1" applyFill="1" applyBorder="1" applyAlignment="1">
      <alignment vertical="top" wrapText="1"/>
    </xf>
    <xf numFmtId="0" fontId="21" fillId="9" borderId="1" xfId="0" applyFont="1" applyFill="1" applyBorder="1" applyAlignment="1">
      <alignment vertical="top" wrapText="1"/>
    </xf>
    <xf numFmtId="0" fontId="20" fillId="12" borderId="1" xfId="0" applyFont="1" applyFill="1" applyBorder="1" applyAlignment="1">
      <alignment vertical="top" wrapText="1"/>
    </xf>
    <xf numFmtId="0" fontId="20" fillId="9" borderId="1" xfId="0" applyFont="1" applyFill="1" applyBorder="1" applyAlignment="1">
      <alignment vertical="top" wrapText="1"/>
    </xf>
    <xf numFmtId="0" fontId="21" fillId="13" borderId="1" xfId="0" applyFont="1" applyFill="1" applyBorder="1" applyAlignment="1">
      <alignment vertical="top" wrapText="1"/>
    </xf>
    <xf numFmtId="0" fontId="20" fillId="14" borderId="1" xfId="0" applyFont="1" applyFill="1" applyBorder="1" applyAlignment="1">
      <alignment vertical="top" wrapText="1"/>
    </xf>
    <xf numFmtId="0" fontId="21" fillId="10" borderId="1" xfId="0" applyFont="1" applyFill="1" applyBorder="1" applyAlignment="1">
      <alignment vertical="top" wrapText="1"/>
    </xf>
    <xf numFmtId="0" fontId="21" fillId="14" borderId="1" xfId="0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top" wrapText="1"/>
    </xf>
    <xf numFmtId="0" fontId="10" fillId="7" borderId="0" xfId="0" applyFont="1" applyFill="1"/>
    <xf numFmtId="0" fontId="1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" fillId="7" borderId="0" xfId="0" applyFont="1" applyFill="1"/>
    <xf numFmtId="0" fontId="10" fillId="6" borderId="1" xfId="0" applyFont="1" applyFill="1" applyBorder="1" applyAlignment="1">
      <alignment wrapText="1"/>
    </xf>
    <xf numFmtId="0" fontId="20" fillId="15" borderId="1" xfId="0" applyFont="1" applyFill="1" applyBorder="1" applyAlignment="1">
      <alignment vertical="top" wrapText="1"/>
    </xf>
    <xf numFmtId="0" fontId="21" fillId="15" borderId="1" xfId="0" applyFont="1" applyFill="1" applyBorder="1" applyAlignment="1">
      <alignment vertical="top" wrapText="1"/>
    </xf>
    <xf numFmtId="0" fontId="21" fillId="4" borderId="1" xfId="0" applyFont="1" applyFill="1" applyBorder="1" applyAlignment="1">
      <alignment vertical="top" wrapText="1"/>
    </xf>
    <xf numFmtId="0" fontId="16" fillId="0" borderId="0" xfId="0" applyFont="1"/>
    <xf numFmtId="0" fontId="24" fillId="0" borderId="0" xfId="0" applyFont="1" applyAlignment="1">
      <alignment horizontal="left"/>
    </xf>
    <xf numFmtId="0" fontId="18" fillId="0" borderId="0" xfId="0" applyFont="1"/>
    <xf numFmtId="0" fontId="21" fillId="9" borderId="1" xfId="0" applyFont="1" applyFill="1" applyBorder="1" applyAlignment="1">
      <alignment vertical="center"/>
    </xf>
    <xf numFmtId="0" fontId="21" fillId="9" borderId="0" xfId="0" applyFont="1" applyFill="1" applyAlignment="1">
      <alignment vertical="center"/>
    </xf>
    <xf numFmtId="0" fontId="25" fillId="7" borderId="1" xfId="0" applyFont="1" applyFill="1" applyBorder="1" applyAlignment="1">
      <alignment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/>
    <xf numFmtId="0" fontId="20" fillId="9" borderId="1" xfId="0" applyFont="1" applyFill="1" applyBorder="1" applyAlignment="1">
      <alignment vertical="center"/>
    </xf>
    <xf numFmtId="0" fontId="20" fillId="9" borderId="0" xfId="0" applyFont="1" applyFill="1" applyAlignment="1">
      <alignment vertical="center"/>
    </xf>
    <xf numFmtId="0" fontId="20" fillId="12" borderId="1" xfId="0" applyFont="1" applyFill="1" applyBorder="1" applyAlignment="1">
      <alignment vertical="center"/>
    </xf>
    <xf numFmtId="0" fontId="32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3" fillId="0" borderId="0" xfId="0" applyFont="1"/>
    <xf numFmtId="0" fontId="10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34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31" fillId="15" borderId="1" xfId="0" applyFont="1" applyFill="1" applyBorder="1" applyAlignment="1">
      <alignment vertical="center"/>
    </xf>
    <xf numFmtId="0" fontId="31" fillId="4" borderId="1" xfId="0" applyFont="1" applyFill="1" applyBorder="1" applyAlignment="1">
      <alignment vertical="center"/>
    </xf>
    <xf numFmtId="0" fontId="2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vertical="center"/>
    </xf>
    <xf numFmtId="0" fontId="20" fillId="13" borderId="1" xfId="0" applyFont="1" applyFill="1" applyBorder="1" applyAlignment="1">
      <alignment vertical="center"/>
    </xf>
    <xf numFmtId="0" fontId="20" fillId="12" borderId="1" xfId="0" applyFont="1" applyFill="1" applyBorder="1" applyAlignment="1">
      <alignment vertical="center"/>
    </xf>
    <xf numFmtId="0" fontId="21" fillId="12" borderId="1" xfId="0" applyFont="1" applyFill="1" applyBorder="1" applyAlignment="1">
      <alignment vertical="center"/>
    </xf>
    <xf numFmtId="0" fontId="20" fillId="16" borderId="1" xfId="0" applyFont="1" applyFill="1" applyBorder="1" applyAlignment="1">
      <alignment vertical="center"/>
    </xf>
    <xf numFmtId="0" fontId="21" fillId="16" borderId="1" xfId="0" applyFont="1" applyFill="1" applyBorder="1" applyAlignment="1">
      <alignment vertical="center"/>
    </xf>
    <xf numFmtId="0" fontId="21" fillId="10" borderId="1" xfId="0" applyFont="1" applyFill="1" applyBorder="1" applyAlignment="1">
      <alignment vertical="center"/>
    </xf>
    <xf numFmtId="0" fontId="31" fillId="10" borderId="1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0" sqref="G10"/>
    </sheetView>
  </sheetViews>
  <sheetFormatPr defaultColWidth="8.5546875" defaultRowHeight="14.4"/>
  <cols>
    <col min="1" max="1" width="5" customWidth="1"/>
    <col min="2" max="2" width="12" customWidth="1"/>
    <col min="3" max="3" width="18" customWidth="1"/>
    <col min="4" max="4" width="15.5546875" customWidth="1"/>
    <col min="5" max="5" width="13.109375" customWidth="1"/>
    <col min="6" max="7" width="24.6640625" customWidth="1"/>
    <col min="8" max="8" width="19" customWidth="1"/>
    <col min="9" max="9" width="36" customWidth="1"/>
    <col min="10" max="10" width="44" customWidth="1"/>
    <col min="11" max="11" width="32" customWidth="1"/>
  </cols>
  <sheetData>
    <row r="1" spans="1:12" ht="17.25" customHeight="1">
      <c r="A1" s="15" t="s">
        <v>0</v>
      </c>
    </row>
    <row r="2" spans="1:12" ht="30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26.25" customHeight="1">
      <c r="A4" s="16" t="s">
        <v>2</v>
      </c>
      <c r="B4" s="17" t="s">
        <v>3</v>
      </c>
      <c r="C4" s="16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7" t="s">
        <v>12</v>
      </c>
    </row>
    <row r="5" spans="1:12" ht="39" customHeight="1">
      <c r="A5" s="18">
        <v>1</v>
      </c>
      <c r="B5" s="19" t="s">
        <v>13</v>
      </c>
      <c r="C5" s="18" t="s">
        <v>14</v>
      </c>
      <c r="D5" s="19" t="s">
        <v>15</v>
      </c>
      <c r="E5" s="20" t="s">
        <v>16</v>
      </c>
      <c r="F5" s="18" t="s">
        <v>17</v>
      </c>
      <c r="G5" s="18" t="s">
        <v>18</v>
      </c>
      <c r="H5" s="18" t="s">
        <v>19</v>
      </c>
      <c r="I5" s="18" t="s">
        <v>20</v>
      </c>
      <c r="J5" s="18" t="s">
        <v>21</v>
      </c>
      <c r="K5" s="19" t="s">
        <v>22</v>
      </c>
    </row>
    <row r="6" spans="1:12" ht="26.25" customHeight="1">
      <c r="A6" s="18">
        <v>2</v>
      </c>
      <c r="B6" s="19" t="s">
        <v>23</v>
      </c>
      <c r="C6" s="18" t="s">
        <v>24</v>
      </c>
      <c r="D6" s="19" t="s">
        <v>25</v>
      </c>
      <c r="E6" s="20" t="s">
        <v>16</v>
      </c>
      <c r="F6" s="18" t="s">
        <v>26</v>
      </c>
      <c r="G6" s="18" t="s">
        <v>27</v>
      </c>
      <c r="H6" s="18" t="s">
        <v>19</v>
      </c>
      <c r="I6" s="19" t="s">
        <v>28</v>
      </c>
      <c r="J6" s="18" t="s">
        <v>29</v>
      </c>
      <c r="K6" s="19" t="s">
        <v>30</v>
      </c>
    </row>
    <row r="7" spans="1:12" ht="52.5" customHeight="1">
      <c r="A7" s="18">
        <v>3</v>
      </c>
      <c r="B7" s="19" t="s">
        <v>31</v>
      </c>
      <c r="C7" s="18" t="s">
        <v>32</v>
      </c>
      <c r="D7" s="19" t="s">
        <v>33</v>
      </c>
      <c r="E7" s="20" t="s">
        <v>34</v>
      </c>
      <c r="F7" s="18" t="s">
        <v>35</v>
      </c>
      <c r="G7" s="18" t="s">
        <v>36</v>
      </c>
      <c r="H7" s="19" t="s">
        <v>37</v>
      </c>
      <c r="I7" s="19" t="s">
        <v>38</v>
      </c>
      <c r="J7" s="19" t="s">
        <v>39</v>
      </c>
      <c r="K7" s="21" t="s">
        <v>40</v>
      </c>
    </row>
    <row r="8" spans="1:12" ht="39" customHeight="1">
      <c r="A8" s="18">
        <v>4</v>
      </c>
      <c r="B8" s="19" t="s">
        <v>41</v>
      </c>
      <c r="C8" s="18" t="s">
        <v>42</v>
      </c>
      <c r="D8" s="19" t="s">
        <v>43</v>
      </c>
      <c r="E8" s="20" t="s">
        <v>34</v>
      </c>
      <c r="F8" s="18" t="s">
        <v>35</v>
      </c>
      <c r="G8" s="18" t="s">
        <v>44</v>
      </c>
      <c r="H8" s="18" t="s">
        <v>45</v>
      </c>
      <c r="I8" s="18" t="s">
        <v>46</v>
      </c>
      <c r="J8" s="19" t="s">
        <v>47</v>
      </c>
      <c r="K8" s="19" t="s">
        <v>48</v>
      </c>
    </row>
    <row r="9" spans="1:12" ht="39" customHeight="1">
      <c r="A9" s="18">
        <v>5</v>
      </c>
      <c r="B9" s="19" t="s">
        <v>49</v>
      </c>
      <c r="C9" s="18" t="s">
        <v>50</v>
      </c>
      <c r="D9" s="19" t="s">
        <v>51</v>
      </c>
      <c r="E9" s="20" t="s">
        <v>16</v>
      </c>
      <c r="F9" s="18" t="s">
        <v>52</v>
      </c>
      <c r="G9" s="18" t="s">
        <v>53</v>
      </c>
      <c r="H9" s="18" t="s">
        <v>54</v>
      </c>
      <c r="I9" s="19" t="s">
        <v>55</v>
      </c>
      <c r="J9" s="19" t="s">
        <v>56</v>
      </c>
      <c r="K9" s="18" t="s">
        <v>57</v>
      </c>
    </row>
    <row r="10" spans="1:12" ht="39" customHeight="1">
      <c r="A10" s="18">
        <v>6</v>
      </c>
      <c r="B10" s="21" t="s">
        <v>58</v>
      </c>
      <c r="C10" s="18" t="s">
        <v>59</v>
      </c>
      <c r="D10" s="19" t="s">
        <v>60</v>
      </c>
      <c r="E10" s="20" t="s">
        <v>16</v>
      </c>
      <c r="F10" s="18" t="s">
        <v>61</v>
      </c>
      <c r="G10" s="18" t="s">
        <v>62</v>
      </c>
      <c r="H10" s="18" t="s">
        <v>54</v>
      </c>
      <c r="I10" s="18" t="s">
        <v>63</v>
      </c>
      <c r="J10" s="18" t="s">
        <v>64</v>
      </c>
      <c r="K10" s="19" t="s">
        <v>65</v>
      </c>
    </row>
    <row r="11" spans="1:12" ht="39" customHeight="1">
      <c r="A11" s="18">
        <v>7</v>
      </c>
      <c r="B11" s="19" t="s">
        <v>66</v>
      </c>
      <c r="C11" s="18" t="s">
        <v>67</v>
      </c>
      <c r="D11" s="19" t="s">
        <v>68</v>
      </c>
      <c r="E11" s="20" t="s">
        <v>16</v>
      </c>
      <c r="F11" s="18" t="s">
        <v>69</v>
      </c>
      <c r="G11" s="18" t="s">
        <v>70</v>
      </c>
      <c r="H11" s="18" t="s">
        <v>71</v>
      </c>
      <c r="I11" s="19" t="s">
        <v>72</v>
      </c>
      <c r="J11" s="19" t="s">
        <v>73</v>
      </c>
      <c r="K11" s="19" t="s">
        <v>74</v>
      </c>
    </row>
    <row r="12" spans="1:12" ht="39" customHeight="1">
      <c r="A12" s="18">
        <v>8</v>
      </c>
      <c r="B12" s="19" t="s">
        <v>75</v>
      </c>
      <c r="C12" s="18" t="s">
        <v>76</v>
      </c>
      <c r="D12" s="19" t="s">
        <v>77</v>
      </c>
      <c r="E12" s="20" t="s">
        <v>16</v>
      </c>
      <c r="F12" s="18" t="s">
        <v>69</v>
      </c>
      <c r="G12" s="18" t="s">
        <v>70</v>
      </c>
      <c r="H12" s="18" t="s">
        <v>71</v>
      </c>
      <c r="I12" s="18" t="s">
        <v>78</v>
      </c>
      <c r="J12" s="19" t="s">
        <v>79</v>
      </c>
      <c r="K12" s="19" t="s">
        <v>80</v>
      </c>
    </row>
    <row r="13" spans="1:12" ht="52.5" customHeight="1">
      <c r="A13" s="18">
        <v>9</v>
      </c>
      <c r="B13" s="19" t="s">
        <v>81</v>
      </c>
      <c r="C13" s="18" t="s">
        <v>82</v>
      </c>
      <c r="D13" s="19" t="s">
        <v>83</v>
      </c>
      <c r="E13" s="20" t="s">
        <v>84</v>
      </c>
      <c r="F13" s="18" t="s">
        <v>85</v>
      </c>
      <c r="G13" s="18" t="s">
        <v>86</v>
      </c>
      <c r="H13" s="18" t="s">
        <v>87</v>
      </c>
      <c r="I13" s="18" t="s">
        <v>88</v>
      </c>
      <c r="J13" s="18" t="s">
        <v>89</v>
      </c>
      <c r="K13" s="19" t="s">
        <v>90</v>
      </c>
    </row>
    <row r="14" spans="1:12" ht="64.5" customHeight="1">
      <c r="A14" s="18">
        <v>10</v>
      </c>
      <c r="B14" s="19" t="s">
        <v>91</v>
      </c>
      <c r="C14" s="18" t="s">
        <v>92</v>
      </c>
      <c r="D14" s="19" t="s">
        <v>93</v>
      </c>
      <c r="E14" s="20" t="s">
        <v>84</v>
      </c>
      <c r="F14" s="18" t="s">
        <v>85</v>
      </c>
      <c r="G14" s="18" t="s">
        <v>86</v>
      </c>
      <c r="H14" s="18" t="s">
        <v>87</v>
      </c>
      <c r="I14" s="19" t="s">
        <v>94</v>
      </c>
      <c r="J14" s="18" t="s">
        <v>95</v>
      </c>
      <c r="K14" s="19" t="s">
        <v>90</v>
      </c>
    </row>
    <row r="15" spans="1:12" ht="39" customHeight="1">
      <c r="A15" s="18">
        <v>11</v>
      </c>
      <c r="B15" s="19" t="s">
        <v>96</v>
      </c>
      <c r="C15" s="18" t="s">
        <v>97</v>
      </c>
      <c r="D15" s="19" t="s">
        <v>98</v>
      </c>
      <c r="E15" s="22" t="s">
        <v>99</v>
      </c>
      <c r="F15" s="19" t="s">
        <v>100</v>
      </c>
      <c r="G15" s="19" t="s">
        <v>100</v>
      </c>
      <c r="H15" s="18" t="s">
        <v>87</v>
      </c>
      <c r="I15" s="18" t="s">
        <v>101</v>
      </c>
      <c r="J15" s="18" t="s">
        <v>102</v>
      </c>
      <c r="K15" s="21" t="s">
        <v>103</v>
      </c>
    </row>
    <row r="16" spans="1:12" ht="52.5" customHeight="1">
      <c r="A16" s="18">
        <v>12</v>
      </c>
      <c r="B16" s="19" t="s">
        <v>104</v>
      </c>
      <c r="C16" s="18" t="s">
        <v>105</v>
      </c>
      <c r="D16" s="19" t="s">
        <v>106</v>
      </c>
      <c r="E16" s="22" t="s">
        <v>107</v>
      </c>
      <c r="F16" s="19" t="s">
        <v>108</v>
      </c>
      <c r="G16" s="19" t="s">
        <v>108</v>
      </c>
      <c r="H16" s="18" t="s">
        <v>109</v>
      </c>
      <c r="I16" s="19" t="s">
        <v>110</v>
      </c>
      <c r="J16" s="19" t="s">
        <v>111</v>
      </c>
      <c r="K16" s="18" t="s">
        <v>112</v>
      </c>
    </row>
    <row r="17" spans="1:11" ht="39" customHeight="1">
      <c r="A17" s="18">
        <v>13</v>
      </c>
      <c r="B17" s="19" t="s">
        <v>113</v>
      </c>
      <c r="C17" s="18" t="s">
        <v>114</v>
      </c>
      <c r="D17" s="19" t="s">
        <v>83</v>
      </c>
      <c r="E17" s="22" t="s">
        <v>107</v>
      </c>
      <c r="F17" s="19" t="s">
        <v>108</v>
      </c>
      <c r="G17" s="19" t="s">
        <v>108</v>
      </c>
      <c r="H17" s="18" t="s">
        <v>109</v>
      </c>
      <c r="I17" s="19" t="s">
        <v>115</v>
      </c>
      <c r="J17" s="19" t="s">
        <v>116</v>
      </c>
      <c r="K17" s="18"/>
    </row>
    <row r="18" spans="1:11" ht="39" customHeight="1">
      <c r="A18" s="18">
        <v>14</v>
      </c>
      <c r="B18" s="19" t="s">
        <v>117</v>
      </c>
      <c r="C18" s="18" t="s">
        <v>118</v>
      </c>
      <c r="D18" s="19" t="s">
        <v>119</v>
      </c>
      <c r="E18" s="23" t="s">
        <v>120</v>
      </c>
      <c r="F18" s="19" t="s">
        <v>108</v>
      </c>
      <c r="G18" s="19" t="s">
        <v>108</v>
      </c>
      <c r="H18" s="18" t="s">
        <v>121</v>
      </c>
      <c r="I18" s="19" t="s">
        <v>122</v>
      </c>
      <c r="J18" s="19" t="s">
        <v>123</v>
      </c>
      <c r="K18" s="19" t="s">
        <v>124</v>
      </c>
    </row>
    <row r="19" spans="1:11" ht="51.75" customHeight="1">
      <c r="A19" s="18">
        <v>15</v>
      </c>
      <c r="B19" s="19" t="s">
        <v>125</v>
      </c>
      <c r="C19" s="18" t="s">
        <v>126</v>
      </c>
      <c r="D19" s="19" t="s">
        <v>127</v>
      </c>
      <c r="E19" s="24" t="s">
        <v>128</v>
      </c>
      <c r="F19" s="18" t="s">
        <v>121</v>
      </c>
      <c r="G19" s="18" t="s">
        <v>121</v>
      </c>
      <c r="H19" s="19" t="s">
        <v>129</v>
      </c>
      <c r="I19" s="19" t="s">
        <v>130</v>
      </c>
      <c r="J19" s="19" t="s">
        <v>131</v>
      </c>
      <c r="K19" s="19" t="s">
        <v>132</v>
      </c>
    </row>
    <row r="20" spans="1:11" ht="51.75" customHeight="1">
      <c r="A20" s="18">
        <v>16</v>
      </c>
      <c r="B20" s="19" t="s">
        <v>133</v>
      </c>
      <c r="C20" s="18" t="s">
        <v>134</v>
      </c>
      <c r="D20" s="19" t="s">
        <v>127</v>
      </c>
      <c r="E20" s="24" t="s">
        <v>128</v>
      </c>
      <c r="F20" s="18" t="s">
        <v>121</v>
      </c>
      <c r="G20" s="18" t="s">
        <v>121</v>
      </c>
      <c r="H20" s="19" t="s">
        <v>129</v>
      </c>
      <c r="I20" s="19" t="s">
        <v>130</v>
      </c>
      <c r="J20" s="19" t="s">
        <v>135</v>
      </c>
      <c r="K20" s="19" t="s">
        <v>136</v>
      </c>
    </row>
    <row r="21" spans="1:11" ht="26.25" customHeight="1">
      <c r="A21" s="18">
        <v>17</v>
      </c>
      <c r="B21" s="19" t="s">
        <v>137</v>
      </c>
      <c r="C21" s="18" t="s">
        <v>138</v>
      </c>
      <c r="D21" s="18" t="s">
        <v>121</v>
      </c>
      <c r="E21" s="24" t="s">
        <v>139</v>
      </c>
      <c r="F21" s="18" t="s">
        <v>121</v>
      </c>
      <c r="G21" s="18" t="s">
        <v>121</v>
      </c>
      <c r="H21" s="18" t="s">
        <v>121</v>
      </c>
      <c r="I21" s="18" t="s">
        <v>140</v>
      </c>
      <c r="J21" s="19" t="s">
        <v>141</v>
      </c>
      <c r="K21" s="18" t="s">
        <v>142</v>
      </c>
    </row>
    <row r="22" spans="1:11" ht="39" customHeight="1">
      <c r="A22" s="18">
        <v>18</v>
      </c>
      <c r="B22" s="19" t="s">
        <v>143</v>
      </c>
      <c r="C22" s="18" t="s">
        <v>144</v>
      </c>
      <c r="D22" s="19" t="s">
        <v>145</v>
      </c>
      <c r="E22" s="24" t="s">
        <v>146</v>
      </c>
      <c r="F22" s="18" t="s">
        <v>121</v>
      </c>
      <c r="G22" s="18" t="s">
        <v>121</v>
      </c>
      <c r="H22" s="18" t="s">
        <v>121</v>
      </c>
      <c r="I22" s="19" t="s">
        <v>147</v>
      </c>
      <c r="J22" s="19" t="s">
        <v>148</v>
      </c>
      <c r="K22" s="19" t="s">
        <v>149</v>
      </c>
    </row>
    <row r="23" spans="1:11" ht="26.25" customHeight="1">
      <c r="A23" s="18">
        <v>19</v>
      </c>
      <c r="B23" s="19" t="s">
        <v>150</v>
      </c>
      <c r="C23" s="18" t="s">
        <v>151</v>
      </c>
      <c r="D23" s="19" t="s">
        <v>68</v>
      </c>
      <c r="E23" s="24" t="s">
        <v>146</v>
      </c>
      <c r="F23" s="18" t="s">
        <v>121</v>
      </c>
      <c r="G23" s="18" t="s">
        <v>121</v>
      </c>
      <c r="H23" s="18" t="s">
        <v>121</v>
      </c>
      <c r="I23" s="19" t="s">
        <v>152</v>
      </c>
      <c r="J23" s="19" t="s">
        <v>153</v>
      </c>
      <c r="K23" s="18" t="s">
        <v>121</v>
      </c>
    </row>
    <row r="24" spans="1:11" ht="39" customHeight="1">
      <c r="A24" s="18">
        <v>20</v>
      </c>
      <c r="B24" s="19" t="s">
        <v>154</v>
      </c>
      <c r="C24" s="18" t="s">
        <v>155</v>
      </c>
      <c r="D24" s="19" t="s">
        <v>98</v>
      </c>
      <c r="E24" s="24" t="s">
        <v>146</v>
      </c>
      <c r="F24" s="18" t="s">
        <v>121</v>
      </c>
      <c r="G24" s="18" t="s">
        <v>121</v>
      </c>
      <c r="H24" s="18" t="s">
        <v>121</v>
      </c>
      <c r="I24" s="19"/>
      <c r="J24" s="19" t="s">
        <v>156</v>
      </c>
      <c r="K24" s="25" t="s">
        <v>157</v>
      </c>
    </row>
    <row r="26" spans="1:11" ht="14.25" customHeight="1">
      <c r="B26" s="26" t="s">
        <v>158</v>
      </c>
    </row>
    <row r="27" spans="1:11" ht="14.25" customHeight="1">
      <c r="B27" s="27" t="s">
        <v>159</v>
      </c>
      <c r="E27" s="26">
        <f>COUNTIF(E5:E24,"確定*")</f>
        <v>10</v>
      </c>
    </row>
    <row r="28" spans="1:11" ht="14.25" customHeight="1">
      <c r="B28" s="27" t="s">
        <v>160</v>
      </c>
      <c r="E28" s="26">
        <f>COUNTIF(E5:E24,"見込*")+COUNTIF(E5:E24,"候補*")</f>
        <v>3</v>
      </c>
    </row>
    <row r="29" spans="1:11" ht="14.25" customHeight="1">
      <c r="B29" s="27" t="s">
        <v>120</v>
      </c>
      <c r="E29" s="26">
        <f>COUNTIF(E5:E24,"未定*")</f>
        <v>1</v>
      </c>
    </row>
    <row r="30" spans="1:11" ht="14.25" customHeight="1">
      <c r="B30" s="27" t="s">
        <v>161</v>
      </c>
      <c r="E30" s="28">
        <v>3</v>
      </c>
    </row>
    <row r="31" spans="1:11" ht="14.25" customHeight="1">
      <c r="B31" s="27" t="s">
        <v>162</v>
      </c>
      <c r="E31" s="26">
        <f>E27+COUNTIF(E5:E24,"見込*")-E30</f>
        <v>8</v>
      </c>
      <c r="F31" s="29" t="s">
        <v>163</v>
      </c>
    </row>
    <row r="32" spans="1:11" ht="14.25" customHeight="1">
      <c r="B32" s="27" t="s">
        <v>164</v>
      </c>
      <c r="E32" s="28">
        <f>E31+2</f>
        <v>10</v>
      </c>
      <c r="F32" s="30" t="s">
        <v>165</v>
      </c>
    </row>
    <row r="33" spans="2:5" ht="14.25" customHeight="1">
      <c r="B33" s="27" t="s">
        <v>166</v>
      </c>
      <c r="E33" s="28">
        <f>COUNTIF(E5:E24,"国内サポート（確定）")</f>
        <v>2</v>
      </c>
    </row>
    <row r="34" spans="2:5" ht="14.25" customHeight="1">
      <c r="B34" s="26" t="s">
        <v>167</v>
      </c>
    </row>
    <row r="35" spans="2:5" ht="14.25" customHeight="1">
      <c r="B35" s="31"/>
      <c r="C35" s="32" t="s">
        <v>168</v>
      </c>
    </row>
    <row r="36" spans="2:5" ht="14.25" customHeight="1">
      <c r="B36" s="33"/>
      <c r="C36" s="32" t="s">
        <v>169</v>
      </c>
    </row>
    <row r="37" spans="2:5" ht="14.25" customHeight="1">
      <c r="B37" s="34"/>
      <c r="C37" s="32" t="s">
        <v>170</v>
      </c>
    </row>
    <row r="38" spans="2:5" ht="14.25" customHeight="1">
      <c r="B38" s="35"/>
      <c r="C38" s="32" t="s">
        <v>171</v>
      </c>
    </row>
  </sheetData>
  <mergeCells count="1">
    <mergeCell ref="A2:L2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"/>
  <sheetViews>
    <sheetView zoomScaleNormal="100" workbookViewId="0">
      <pane xSplit="1" ySplit="5" topLeftCell="E12" activePane="bottomRight" state="frozen"/>
      <selection pane="topRight" activeCell="E1" sqref="E1"/>
      <selection pane="bottomLeft" activeCell="A6" sqref="A6"/>
      <selection pane="bottomRight" activeCell="O11" sqref="O11"/>
    </sheetView>
  </sheetViews>
  <sheetFormatPr defaultColWidth="8.5546875" defaultRowHeight="14.4"/>
  <cols>
    <col min="1" max="1" width="14" style="36" customWidth="1"/>
    <col min="2" max="19" width="16" customWidth="1"/>
  </cols>
  <sheetData>
    <row r="1" spans="1:19" ht="15" customHeight="1">
      <c r="A1" s="37" t="s">
        <v>172</v>
      </c>
    </row>
    <row r="3" spans="1:19" ht="15" customHeight="1">
      <c r="A3" s="38" t="s">
        <v>173</v>
      </c>
      <c r="B3" s="13" t="s">
        <v>174</v>
      </c>
      <c r="C3" s="13"/>
      <c r="D3" s="13" t="s">
        <v>175</v>
      </c>
      <c r="E3" s="13"/>
      <c r="F3" s="13" t="s">
        <v>176</v>
      </c>
      <c r="G3" s="13"/>
      <c r="H3" s="13" t="s">
        <v>177</v>
      </c>
      <c r="I3" s="13"/>
      <c r="J3" s="13" t="s">
        <v>178</v>
      </c>
      <c r="K3" s="13"/>
      <c r="L3" s="13" t="s">
        <v>179</v>
      </c>
      <c r="M3" s="13"/>
      <c r="N3" s="13" t="s">
        <v>180</v>
      </c>
      <c r="O3" s="13"/>
      <c r="P3" s="13" t="s">
        <v>181</v>
      </c>
      <c r="Q3" s="13"/>
      <c r="R3" s="13" t="s">
        <v>182</v>
      </c>
      <c r="S3" s="13"/>
    </row>
    <row r="4" spans="1:19" ht="14.25" customHeight="1">
      <c r="B4" s="39" t="s">
        <v>183</v>
      </c>
      <c r="C4" s="39" t="s">
        <v>184</v>
      </c>
      <c r="D4" s="39" t="s">
        <v>183</v>
      </c>
      <c r="E4" s="39" t="s">
        <v>184</v>
      </c>
      <c r="F4" s="39" t="s">
        <v>183</v>
      </c>
      <c r="G4" s="39" t="s">
        <v>184</v>
      </c>
      <c r="H4" s="39" t="s">
        <v>183</v>
      </c>
      <c r="I4" s="39" t="s">
        <v>184</v>
      </c>
      <c r="J4" s="39" t="s">
        <v>183</v>
      </c>
      <c r="K4" s="39" t="s">
        <v>184</v>
      </c>
      <c r="L4" s="39" t="s">
        <v>183</v>
      </c>
      <c r="M4" s="39" t="s">
        <v>184</v>
      </c>
      <c r="N4" s="39" t="s">
        <v>183</v>
      </c>
      <c r="O4" s="39" t="s">
        <v>184</v>
      </c>
      <c r="P4" s="39" t="s">
        <v>183</v>
      </c>
      <c r="Q4" s="39" t="s">
        <v>184</v>
      </c>
      <c r="R4" s="39" t="s">
        <v>183</v>
      </c>
      <c r="S4" s="39" t="s">
        <v>184</v>
      </c>
    </row>
    <row r="5" spans="1:19" ht="48" customHeight="1">
      <c r="A5" s="38" t="s">
        <v>185</v>
      </c>
      <c r="B5" s="40"/>
      <c r="C5" s="40"/>
      <c r="D5" s="40"/>
      <c r="E5" s="40"/>
      <c r="F5" s="41" t="s">
        <v>186</v>
      </c>
      <c r="G5" s="41" t="s">
        <v>187</v>
      </c>
      <c r="H5" s="41" t="s">
        <v>188</v>
      </c>
      <c r="I5" s="42" t="s">
        <v>189</v>
      </c>
      <c r="J5" s="42" t="s">
        <v>190</v>
      </c>
      <c r="K5" s="42" t="s">
        <v>191</v>
      </c>
      <c r="L5" s="42" t="s">
        <v>192</v>
      </c>
      <c r="M5" s="42" t="s">
        <v>193</v>
      </c>
      <c r="N5" s="42" t="s">
        <v>194</v>
      </c>
      <c r="O5" s="42" t="s">
        <v>195</v>
      </c>
      <c r="P5" s="41" t="s">
        <v>196</v>
      </c>
      <c r="Q5" s="41" t="s">
        <v>197</v>
      </c>
      <c r="R5" s="40"/>
      <c r="S5" s="40"/>
    </row>
    <row r="6" spans="1:19" ht="39.75" customHeight="1">
      <c r="A6" s="43" t="str">
        <f>人員一覧・判定!B5</f>
        <v>三浦 房紀</v>
      </c>
      <c r="B6" s="44"/>
      <c r="C6" s="44"/>
      <c r="D6" s="44"/>
      <c r="E6" s="44"/>
      <c r="F6" s="45" t="s">
        <v>198</v>
      </c>
      <c r="G6" s="46" t="s">
        <v>199</v>
      </c>
      <c r="H6" s="47" t="s">
        <v>200</v>
      </c>
      <c r="I6" s="48" t="s">
        <v>201</v>
      </c>
      <c r="J6" s="49" t="s">
        <v>202</v>
      </c>
      <c r="K6" s="50" t="s">
        <v>203</v>
      </c>
      <c r="L6" s="49" t="s">
        <v>204</v>
      </c>
      <c r="M6" s="50" t="s">
        <v>205</v>
      </c>
      <c r="N6" s="49" t="s">
        <v>206</v>
      </c>
      <c r="O6" s="46" t="s">
        <v>207</v>
      </c>
      <c r="P6" s="45" t="s">
        <v>208</v>
      </c>
      <c r="Q6" s="44"/>
      <c r="R6" s="44"/>
      <c r="S6" s="44"/>
    </row>
    <row r="7" spans="1:19" ht="39.75" customHeight="1">
      <c r="A7" s="43" t="str">
        <f>人員一覧・判定!B6</f>
        <v>北本 政行</v>
      </c>
      <c r="B7" s="44"/>
      <c r="C7" s="44"/>
      <c r="D7" s="44"/>
      <c r="E7" s="44"/>
      <c r="F7" s="45" t="s">
        <v>209</v>
      </c>
      <c r="G7" s="46" t="s">
        <v>210</v>
      </c>
      <c r="H7" s="47" t="s">
        <v>211</v>
      </c>
      <c r="I7" s="48" t="s">
        <v>201</v>
      </c>
      <c r="J7" s="49" t="s">
        <v>202</v>
      </c>
      <c r="K7" s="50" t="s">
        <v>212</v>
      </c>
      <c r="L7" s="49" t="s">
        <v>204</v>
      </c>
      <c r="M7" s="50" t="s">
        <v>205</v>
      </c>
      <c r="N7" s="49" t="s">
        <v>206</v>
      </c>
      <c r="O7" s="45" t="s">
        <v>213</v>
      </c>
      <c r="P7" s="49" t="s">
        <v>214</v>
      </c>
      <c r="Q7" s="44"/>
      <c r="R7" s="44"/>
      <c r="S7" s="44"/>
    </row>
    <row r="8" spans="1:19" ht="39.75" customHeight="1">
      <c r="A8" s="43" t="str">
        <f>人員一覧・判定!B7</f>
        <v>宮木 一寛</v>
      </c>
      <c r="B8" s="44"/>
      <c r="C8" s="44"/>
      <c r="D8" s="44"/>
      <c r="E8" s="45" t="s">
        <v>215</v>
      </c>
      <c r="F8" s="47" t="s">
        <v>216</v>
      </c>
      <c r="G8" s="51" t="s">
        <v>217</v>
      </c>
      <c r="H8" s="47" t="s">
        <v>218</v>
      </c>
      <c r="I8" s="48" t="s">
        <v>219</v>
      </c>
      <c r="J8" s="49" t="s">
        <v>220</v>
      </c>
      <c r="K8" s="50" t="s">
        <v>221</v>
      </c>
      <c r="L8" s="49" t="s">
        <v>204</v>
      </c>
      <c r="M8" s="50" t="s">
        <v>222</v>
      </c>
      <c r="N8" s="49" t="s">
        <v>223</v>
      </c>
      <c r="O8" s="46" t="s">
        <v>207</v>
      </c>
      <c r="P8" s="45" t="s">
        <v>224</v>
      </c>
      <c r="Q8" s="44"/>
      <c r="R8" s="44"/>
      <c r="S8" s="44"/>
    </row>
    <row r="9" spans="1:19" ht="39.75" customHeight="1">
      <c r="A9" s="43" t="str">
        <f>人員一覧・判定!B8</f>
        <v>児玉 美樹</v>
      </c>
      <c r="B9" s="44"/>
      <c r="C9" s="44"/>
      <c r="D9" s="44"/>
      <c r="E9" s="45" t="s">
        <v>215</v>
      </c>
      <c r="F9" s="46" t="s">
        <v>225</v>
      </c>
      <c r="G9" s="52" t="s">
        <v>226</v>
      </c>
      <c r="H9" s="48" t="s">
        <v>227</v>
      </c>
      <c r="I9" s="46" t="s">
        <v>228</v>
      </c>
      <c r="J9" s="49" t="s">
        <v>229</v>
      </c>
      <c r="K9" s="50" t="s">
        <v>230</v>
      </c>
      <c r="L9" s="49" t="s">
        <v>204</v>
      </c>
      <c r="M9" s="48" t="s">
        <v>231</v>
      </c>
      <c r="N9" s="49" t="s">
        <v>206</v>
      </c>
      <c r="O9" s="46" t="s">
        <v>232</v>
      </c>
      <c r="P9" s="53" t="s">
        <v>233</v>
      </c>
      <c r="Q9" s="44"/>
      <c r="R9" s="44"/>
      <c r="S9" s="44"/>
    </row>
    <row r="10" spans="1:19" ht="39.75" customHeight="1">
      <c r="A10" s="43" t="str">
        <f>人員一覧・判定!B9</f>
        <v>荒木田 勝</v>
      </c>
      <c r="B10" s="44"/>
      <c r="C10" s="44"/>
      <c r="D10" s="44"/>
      <c r="E10" s="44"/>
      <c r="F10" s="46" t="s">
        <v>234</v>
      </c>
      <c r="G10" s="52" t="s">
        <v>235</v>
      </c>
      <c r="H10" s="47" t="s">
        <v>236</v>
      </c>
      <c r="I10" s="48" t="s">
        <v>237</v>
      </c>
      <c r="J10" s="49" t="s">
        <v>238</v>
      </c>
      <c r="K10" s="50" t="s">
        <v>239</v>
      </c>
      <c r="L10" s="49" t="s">
        <v>240</v>
      </c>
      <c r="M10" s="50" t="s">
        <v>241</v>
      </c>
      <c r="N10" s="49" t="s">
        <v>242</v>
      </c>
      <c r="O10" s="45" t="s">
        <v>243</v>
      </c>
      <c r="P10" s="46" t="s">
        <v>244</v>
      </c>
      <c r="Q10" s="44"/>
      <c r="R10" s="44"/>
      <c r="S10" s="44"/>
    </row>
    <row r="11" spans="1:19" ht="39.75" customHeight="1">
      <c r="A11" s="43" t="str">
        <f>人員一覧・判定!B10</f>
        <v>吉田 真紀</v>
      </c>
      <c r="B11" s="44"/>
      <c r="C11" s="44"/>
      <c r="D11" s="45" t="s">
        <v>245</v>
      </c>
      <c r="E11" s="45" t="s">
        <v>246</v>
      </c>
      <c r="F11" s="46" t="s">
        <v>247</v>
      </c>
      <c r="G11" s="52" t="s">
        <v>248</v>
      </c>
      <c r="H11" s="49" t="s">
        <v>249</v>
      </c>
      <c r="I11" s="54" t="s">
        <v>250</v>
      </c>
      <c r="J11" s="49" t="s">
        <v>251</v>
      </c>
      <c r="K11" s="50" t="s">
        <v>252</v>
      </c>
      <c r="L11" s="49" t="s">
        <v>253</v>
      </c>
      <c r="M11" s="50" t="s">
        <v>241</v>
      </c>
      <c r="N11" s="49" t="s">
        <v>206</v>
      </c>
      <c r="O11" s="45" t="s">
        <v>254</v>
      </c>
      <c r="P11" s="46" t="s">
        <v>255</v>
      </c>
      <c r="Q11" s="44"/>
      <c r="R11" s="44"/>
      <c r="S11" s="44"/>
    </row>
    <row r="12" spans="1:19" ht="39.75" customHeight="1">
      <c r="A12" s="43" t="str">
        <f>人員一覧・判定!B11</f>
        <v>藤中 純子</v>
      </c>
      <c r="B12" s="44"/>
      <c r="C12" s="44"/>
      <c r="D12" s="45" t="s">
        <v>256</v>
      </c>
      <c r="E12" s="46" t="s">
        <v>257</v>
      </c>
      <c r="F12" s="52" t="s">
        <v>258</v>
      </c>
      <c r="G12" s="52" t="s">
        <v>259</v>
      </c>
      <c r="H12" s="52" t="s">
        <v>260</v>
      </c>
      <c r="I12" s="54" t="s">
        <v>261</v>
      </c>
      <c r="J12" s="54" t="s">
        <v>262</v>
      </c>
      <c r="K12" s="54" t="s">
        <v>263</v>
      </c>
      <c r="L12" s="54" t="s">
        <v>264</v>
      </c>
      <c r="M12" s="48" t="s">
        <v>265</v>
      </c>
      <c r="N12" s="52" t="s">
        <v>266</v>
      </c>
      <c r="O12" s="47" t="s">
        <v>267</v>
      </c>
      <c r="P12" s="47" t="s">
        <v>268</v>
      </c>
      <c r="Q12" s="45" t="s">
        <v>269</v>
      </c>
      <c r="R12" s="45" t="s">
        <v>270</v>
      </c>
      <c r="S12" s="46" t="s">
        <v>271</v>
      </c>
    </row>
    <row r="13" spans="1:19" ht="39.75" customHeight="1">
      <c r="A13" s="43" t="str">
        <f>人員一覧・判定!B12</f>
        <v>田中 智美</v>
      </c>
      <c r="B13" s="44"/>
      <c r="C13" s="44"/>
      <c r="D13" s="45" t="s">
        <v>256</v>
      </c>
      <c r="E13" s="46" t="s">
        <v>257</v>
      </c>
      <c r="F13" s="47" t="s">
        <v>272</v>
      </c>
      <c r="G13" s="52" t="s">
        <v>259</v>
      </c>
      <c r="H13" s="52" t="s">
        <v>273</v>
      </c>
      <c r="I13" s="54" t="s">
        <v>261</v>
      </c>
      <c r="J13" s="54" t="s">
        <v>262</v>
      </c>
      <c r="K13" s="54" t="s">
        <v>274</v>
      </c>
      <c r="L13" s="54" t="s">
        <v>275</v>
      </c>
      <c r="M13" s="50" t="s">
        <v>276</v>
      </c>
      <c r="N13" s="52" t="s">
        <v>277</v>
      </c>
      <c r="O13" s="47" t="s">
        <v>278</v>
      </c>
      <c r="P13" s="47" t="s">
        <v>279</v>
      </c>
      <c r="Q13" s="45" t="s">
        <v>269</v>
      </c>
      <c r="R13" s="45" t="s">
        <v>270</v>
      </c>
      <c r="S13" s="46" t="s">
        <v>271</v>
      </c>
    </row>
    <row r="14" spans="1:19" ht="39.75" customHeight="1">
      <c r="A14" s="43" t="str">
        <f>人員一覧・判定!B13</f>
        <v>池田　誠</v>
      </c>
      <c r="B14" s="44"/>
      <c r="C14" s="44"/>
      <c r="D14" s="44"/>
      <c r="E14" s="44"/>
      <c r="F14" s="45" t="s">
        <v>280</v>
      </c>
      <c r="G14" s="46" t="s">
        <v>281</v>
      </c>
      <c r="H14" s="47" t="s">
        <v>282</v>
      </c>
      <c r="I14" s="48" t="s">
        <v>283</v>
      </c>
      <c r="J14" s="46" t="s">
        <v>284</v>
      </c>
      <c r="K14" s="50" t="s">
        <v>285</v>
      </c>
      <c r="L14" s="49" t="s">
        <v>286</v>
      </c>
      <c r="M14" s="50" t="s">
        <v>287</v>
      </c>
      <c r="N14" s="49" t="s">
        <v>206</v>
      </c>
      <c r="O14" s="46" t="s">
        <v>288</v>
      </c>
      <c r="P14" s="45" t="s">
        <v>289</v>
      </c>
      <c r="Q14" s="44"/>
      <c r="R14" s="44"/>
      <c r="S14" s="44"/>
    </row>
    <row r="15" spans="1:19" ht="39.75" customHeight="1">
      <c r="A15" s="43" t="str">
        <f>人員一覧・判定!C14</f>
        <v>Gerald Ejem Potutan</v>
      </c>
      <c r="B15" s="44"/>
      <c r="C15" s="44"/>
      <c r="D15" s="44"/>
      <c r="E15" s="44"/>
      <c r="F15" s="45" t="s">
        <v>280</v>
      </c>
      <c r="G15" s="46" t="s">
        <v>290</v>
      </c>
      <c r="H15" s="49" t="s">
        <v>291</v>
      </c>
      <c r="I15" s="48" t="s">
        <v>292</v>
      </c>
      <c r="J15" s="49" t="s">
        <v>293</v>
      </c>
      <c r="K15" s="50" t="s">
        <v>294</v>
      </c>
      <c r="L15" s="49" t="s">
        <v>295</v>
      </c>
      <c r="M15" s="50" t="s">
        <v>205</v>
      </c>
      <c r="N15" s="49" t="s">
        <v>296</v>
      </c>
      <c r="O15" s="46" t="s">
        <v>207</v>
      </c>
      <c r="P15" s="45" t="s">
        <v>289</v>
      </c>
      <c r="Q15" s="44"/>
      <c r="R15" s="44"/>
      <c r="S15" s="44"/>
    </row>
    <row r="16" spans="1:19" ht="39.75" customHeight="1">
      <c r="A16" s="43" t="str">
        <f>人員一覧・判定!C15</f>
        <v>Mizan Bisri</v>
      </c>
      <c r="B16" s="44"/>
      <c r="C16" s="44"/>
      <c r="D16" s="44"/>
      <c r="E16" s="44"/>
      <c r="F16" s="55" t="s">
        <v>297</v>
      </c>
      <c r="G16" s="55" t="s">
        <v>297</v>
      </c>
      <c r="H16" s="47" t="s">
        <v>298</v>
      </c>
      <c r="I16" s="48" t="s">
        <v>292</v>
      </c>
      <c r="J16" s="49" t="s">
        <v>293</v>
      </c>
      <c r="K16" s="50" t="s">
        <v>299</v>
      </c>
      <c r="L16" s="49" t="s">
        <v>300</v>
      </c>
      <c r="M16" s="50" t="s">
        <v>205</v>
      </c>
      <c r="N16" s="49" t="s">
        <v>206</v>
      </c>
      <c r="O16" s="46" t="s">
        <v>207</v>
      </c>
      <c r="P16" s="55" t="s">
        <v>297</v>
      </c>
      <c r="Q16" s="44"/>
      <c r="R16" s="44"/>
      <c r="S16" s="44"/>
    </row>
    <row r="17" spans="1:19" ht="39.75" customHeight="1">
      <c r="A17" s="43" t="str">
        <f>人員一覧・判定!B16</f>
        <v>藤本 絢子</v>
      </c>
      <c r="B17" s="44"/>
      <c r="C17" s="44"/>
      <c r="D17" s="44"/>
      <c r="E17" s="44"/>
      <c r="F17" s="53" t="s">
        <v>301</v>
      </c>
      <c r="G17" s="52" t="s">
        <v>302</v>
      </c>
      <c r="H17" s="54" t="s">
        <v>303</v>
      </c>
      <c r="I17" s="54" t="s">
        <v>304</v>
      </c>
      <c r="J17" s="46" t="s">
        <v>305</v>
      </c>
      <c r="K17" s="54" t="s">
        <v>306</v>
      </c>
      <c r="L17" s="46" t="s">
        <v>305</v>
      </c>
      <c r="M17" s="46" t="s">
        <v>307</v>
      </c>
      <c r="N17" s="49" t="s">
        <v>308</v>
      </c>
      <c r="O17" s="46" t="s">
        <v>309</v>
      </c>
      <c r="P17" s="47" t="s">
        <v>310</v>
      </c>
      <c r="Q17" s="44"/>
      <c r="R17" s="44"/>
      <c r="S17" s="44"/>
    </row>
    <row r="18" spans="1:19" ht="39.75" customHeight="1">
      <c r="A18" s="43" t="str">
        <f>人員一覧・判定!B17</f>
        <v>塩見 有美</v>
      </c>
      <c r="B18" s="44"/>
      <c r="C18" s="44"/>
      <c r="D18" s="44"/>
      <c r="E18" s="44"/>
      <c r="F18" s="53" t="s">
        <v>301</v>
      </c>
      <c r="G18" s="52" t="s">
        <v>302</v>
      </c>
      <c r="H18" s="47" t="s">
        <v>311</v>
      </c>
      <c r="I18" s="54" t="s">
        <v>312</v>
      </c>
      <c r="J18" s="49" t="s">
        <v>251</v>
      </c>
      <c r="K18" s="50" t="s">
        <v>313</v>
      </c>
      <c r="L18" s="49" t="s">
        <v>314</v>
      </c>
      <c r="M18" s="50" t="s">
        <v>205</v>
      </c>
      <c r="N18" s="49" t="s">
        <v>315</v>
      </c>
      <c r="O18" s="46" t="s">
        <v>207</v>
      </c>
      <c r="P18" s="47" t="s">
        <v>316</v>
      </c>
      <c r="Q18" s="44"/>
      <c r="R18" s="44"/>
      <c r="S18" s="44"/>
    </row>
    <row r="19" spans="1:19" ht="14.25" customHeight="1">
      <c r="A19" s="56" t="s">
        <v>317</v>
      </c>
      <c r="B19" s="57">
        <f t="shared" ref="B19:S19" si="0">COUNTA(B6:B16)-COUNTIF(B6:B16,"*未手配*")-COUNTIF(B6:B16,"*要確認*")-COUNTIF(B6:B16,"*NRT着*")-COUNTIF(B6:B16,"*HND着*")-COUNTIF(B6:B16,"*KIX着*")-COUNTIF(B6:B16,"*GVA着*")</f>
        <v>0</v>
      </c>
      <c r="C19" s="57">
        <f t="shared" si="0"/>
        <v>0</v>
      </c>
      <c r="D19" s="57">
        <f t="shared" si="0"/>
        <v>3</v>
      </c>
      <c r="E19" s="57">
        <f t="shared" si="0"/>
        <v>5</v>
      </c>
      <c r="F19" s="57">
        <f t="shared" si="0"/>
        <v>10</v>
      </c>
      <c r="G19" s="57">
        <f t="shared" si="0"/>
        <v>10</v>
      </c>
      <c r="H19" s="57">
        <f t="shared" si="0"/>
        <v>11</v>
      </c>
      <c r="I19" s="57">
        <f t="shared" si="0"/>
        <v>11</v>
      </c>
      <c r="J19" s="57">
        <f t="shared" si="0"/>
        <v>11</v>
      </c>
      <c r="K19" s="57">
        <f t="shared" si="0"/>
        <v>11</v>
      </c>
      <c r="L19" s="57">
        <f t="shared" si="0"/>
        <v>11</v>
      </c>
      <c r="M19" s="57">
        <f t="shared" si="0"/>
        <v>11</v>
      </c>
      <c r="N19" s="57">
        <f t="shared" si="0"/>
        <v>11</v>
      </c>
      <c r="O19" s="57">
        <f t="shared" si="0"/>
        <v>11</v>
      </c>
      <c r="P19" s="57">
        <f t="shared" si="0"/>
        <v>5</v>
      </c>
      <c r="Q19" s="57">
        <f t="shared" si="0"/>
        <v>2</v>
      </c>
      <c r="R19" s="57">
        <f t="shared" si="0"/>
        <v>2</v>
      </c>
      <c r="S19" s="57">
        <f t="shared" si="0"/>
        <v>0</v>
      </c>
    </row>
    <row r="20" spans="1:19" ht="14.25" customHeight="1">
      <c r="A20" s="56" t="s">
        <v>318</v>
      </c>
      <c r="B20" s="58">
        <f t="shared" ref="B20:S20" si="1">B19+COUNTA(B17:B18)-COUNTIF(B17:B18,"*未手配*")-COUNTIF(B17:B18,"*要確認*")-COUNTIF(B17:B18,"*NRT着*")-COUNTIF(B17:B18,"*HND着*")-COUNTIF(B17:B18,"*KIX着*")-COUNTIF(B17:B18,"*GVA着*")</f>
        <v>0</v>
      </c>
      <c r="C20" s="58">
        <f t="shared" si="1"/>
        <v>0</v>
      </c>
      <c r="D20" s="58">
        <f t="shared" si="1"/>
        <v>3</v>
      </c>
      <c r="E20" s="58">
        <f t="shared" si="1"/>
        <v>5</v>
      </c>
      <c r="F20" s="58">
        <f t="shared" si="1"/>
        <v>12</v>
      </c>
      <c r="G20" s="58">
        <f t="shared" si="1"/>
        <v>12</v>
      </c>
      <c r="H20" s="58">
        <f t="shared" si="1"/>
        <v>13</v>
      </c>
      <c r="I20" s="58">
        <f t="shared" si="1"/>
        <v>13</v>
      </c>
      <c r="J20" s="58">
        <f t="shared" si="1"/>
        <v>13</v>
      </c>
      <c r="K20" s="58">
        <f t="shared" si="1"/>
        <v>13</v>
      </c>
      <c r="L20" s="58">
        <f t="shared" si="1"/>
        <v>13</v>
      </c>
      <c r="M20" s="58">
        <f t="shared" si="1"/>
        <v>13</v>
      </c>
      <c r="N20" s="58">
        <f t="shared" si="1"/>
        <v>13</v>
      </c>
      <c r="O20" s="58">
        <f t="shared" si="1"/>
        <v>13</v>
      </c>
      <c r="P20" s="58">
        <f t="shared" si="1"/>
        <v>7</v>
      </c>
      <c r="Q20" s="58">
        <f t="shared" si="1"/>
        <v>2</v>
      </c>
      <c r="R20" s="58">
        <f t="shared" si="1"/>
        <v>2</v>
      </c>
      <c r="S20" s="58">
        <f t="shared" si="1"/>
        <v>0</v>
      </c>
    </row>
    <row r="21" spans="1:19" ht="14.25" customHeight="1">
      <c r="A21" s="59" t="s">
        <v>319</v>
      </c>
    </row>
    <row r="23" spans="1:19" ht="14.25" customHeight="1">
      <c r="A23" s="12" t="s">
        <v>320</v>
      </c>
      <c r="B23" s="12"/>
      <c r="C23" s="12"/>
      <c r="D23" s="12"/>
      <c r="E23" s="12"/>
      <c r="F23" s="12"/>
      <c r="G23" s="12"/>
    </row>
    <row r="24" spans="1:19" ht="39.75" customHeight="1">
      <c r="A24" s="60" t="str">
        <f>人員一覧・判定!B19</f>
        <v>中村</v>
      </c>
      <c r="B24" s="44"/>
      <c r="C24" s="44"/>
      <c r="D24" s="44"/>
      <c r="E24" s="44"/>
      <c r="F24" s="61" t="s">
        <v>321</v>
      </c>
      <c r="G24" s="62" t="s">
        <v>322</v>
      </c>
      <c r="H24" s="61" t="s">
        <v>323</v>
      </c>
      <c r="I24" s="61" t="s">
        <v>324</v>
      </c>
      <c r="J24" s="61" t="s">
        <v>325</v>
      </c>
      <c r="K24" s="61" t="s">
        <v>326</v>
      </c>
      <c r="L24" s="61" t="s">
        <v>327</v>
      </c>
      <c r="M24" s="62" t="s">
        <v>328</v>
      </c>
      <c r="N24" s="62" t="s">
        <v>329</v>
      </c>
      <c r="O24" s="61" t="s">
        <v>330</v>
      </c>
      <c r="P24" s="44"/>
      <c r="Q24" s="44"/>
      <c r="R24" s="44"/>
      <c r="S24" s="44"/>
    </row>
    <row r="25" spans="1:19" ht="39.75" customHeight="1">
      <c r="A25" s="60" t="str">
        <f>人員一覧・判定!B20</f>
        <v>山口</v>
      </c>
      <c r="B25" s="44"/>
      <c r="C25" s="44"/>
      <c r="D25" s="44"/>
      <c r="E25" s="44"/>
      <c r="F25" s="62" t="s">
        <v>331</v>
      </c>
      <c r="G25" s="44"/>
      <c r="H25" s="62" t="s">
        <v>332</v>
      </c>
      <c r="I25" s="62" t="s">
        <v>333</v>
      </c>
      <c r="J25" s="61" t="s">
        <v>334</v>
      </c>
      <c r="K25" s="61" t="s">
        <v>335</v>
      </c>
      <c r="L25" s="61" t="s">
        <v>336</v>
      </c>
      <c r="M25" s="62" t="s">
        <v>337</v>
      </c>
      <c r="N25" s="44"/>
      <c r="O25" s="62" t="s">
        <v>337</v>
      </c>
      <c r="P25" s="44"/>
      <c r="Q25" s="44"/>
      <c r="R25" s="44"/>
      <c r="S25" s="44"/>
    </row>
    <row r="26" spans="1:19" ht="39.75" customHeight="1">
      <c r="A26" s="60" t="str">
        <f>人員一覧・判定!B22</f>
        <v>寺坂　佳津子</v>
      </c>
      <c r="B26" s="44"/>
      <c r="C26" s="44"/>
      <c r="D26" s="44"/>
      <c r="E26" s="44"/>
      <c r="F26" s="44"/>
      <c r="G26" s="44"/>
      <c r="H26" s="63" t="s">
        <v>338</v>
      </c>
      <c r="I26" s="44"/>
      <c r="J26" s="63" t="s">
        <v>339</v>
      </c>
      <c r="K26" s="63" t="s">
        <v>339</v>
      </c>
      <c r="L26" s="63" t="s">
        <v>339</v>
      </c>
      <c r="M26" s="44"/>
      <c r="N26" s="44"/>
      <c r="O26" s="44"/>
      <c r="P26" s="44"/>
      <c r="Q26" s="44"/>
      <c r="R26" s="44"/>
      <c r="S26" s="44"/>
    </row>
    <row r="27" spans="1:19" ht="39.75" customHeight="1">
      <c r="A27" s="60" t="str">
        <f>人員一覧・判定!B21</f>
        <v>伊達 孝</v>
      </c>
      <c r="B27" s="44"/>
      <c r="C27" s="44"/>
      <c r="D27" s="44"/>
      <c r="E27" s="44"/>
      <c r="F27" s="44"/>
      <c r="G27" s="44"/>
      <c r="H27" s="55" t="s">
        <v>340</v>
      </c>
      <c r="I27" s="44"/>
      <c r="J27" s="55" t="s">
        <v>341</v>
      </c>
      <c r="K27" s="55" t="s">
        <v>342</v>
      </c>
      <c r="L27" s="55" t="s">
        <v>341</v>
      </c>
      <c r="M27" s="44"/>
      <c r="N27" s="44"/>
      <c r="O27" s="44"/>
      <c r="P27" s="44"/>
      <c r="Q27" s="44"/>
      <c r="R27" s="44"/>
      <c r="S27" s="44"/>
    </row>
    <row r="28" spans="1:19" ht="14.25" customHeight="1">
      <c r="A28" s="30" t="s">
        <v>343</v>
      </c>
    </row>
  </sheetData>
  <mergeCells count="10">
    <mergeCell ref="L3:M3"/>
    <mergeCell ref="N3:O3"/>
    <mergeCell ref="P3:Q3"/>
    <mergeCell ref="R3:S3"/>
    <mergeCell ref="A23:G23"/>
    <mergeCell ref="B3:C3"/>
    <mergeCell ref="D3:E3"/>
    <mergeCell ref="F3:G3"/>
    <mergeCell ref="H3:I3"/>
    <mergeCell ref="J3:K3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8" sqref="A18"/>
    </sheetView>
  </sheetViews>
  <sheetFormatPr defaultColWidth="8.5546875" defaultRowHeight="14.4"/>
  <cols>
    <col min="1" max="1" width="14" customWidth="1"/>
    <col min="2" max="33" width="4.21875" customWidth="1"/>
  </cols>
  <sheetData>
    <row r="1" spans="1:33" ht="15" customHeight="1">
      <c r="A1" s="64" t="s">
        <v>344</v>
      </c>
    </row>
    <row r="3" spans="1:33" ht="14.25" customHeight="1">
      <c r="B3" s="65" t="s">
        <v>345</v>
      </c>
      <c r="C3" s="65"/>
      <c r="D3" s="65" t="s">
        <v>346</v>
      </c>
      <c r="E3" s="65"/>
      <c r="F3" s="65" t="s">
        <v>347</v>
      </c>
      <c r="G3" s="65"/>
      <c r="H3" s="65" t="s">
        <v>348</v>
      </c>
      <c r="I3" s="65"/>
      <c r="J3" s="65" t="s">
        <v>349</v>
      </c>
      <c r="K3" s="65"/>
      <c r="L3" s="65" t="s">
        <v>350</v>
      </c>
      <c r="M3" s="65"/>
      <c r="N3" s="65" t="s">
        <v>351</v>
      </c>
      <c r="O3" s="65"/>
      <c r="P3" s="65" t="s">
        <v>352</v>
      </c>
      <c r="Q3" s="65"/>
      <c r="R3" s="65" t="s">
        <v>353</v>
      </c>
      <c r="S3" s="65"/>
      <c r="T3" s="65" t="s">
        <v>354</v>
      </c>
      <c r="U3" s="65"/>
      <c r="V3" s="65" t="s">
        <v>355</v>
      </c>
      <c r="W3" s="65"/>
      <c r="X3" s="65" t="s">
        <v>356</v>
      </c>
      <c r="Y3" s="65"/>
      <c r="Z3" s="65" t="s">
        <v>357</v>
      </c>
      <c r="AA3" s="65"/>
      <c r="AB3" s="65" t="s">
        <v>358</v>
      </c>
      <c r="AC3" s="65"/>
      <c r="AD3" s="65" t="s">
        <v>359</v>
      </c>
      <c r="AE3" s="65"/>
      <c r="AF3" s="65" t="s">
        <v>360</v>
      </c>
      <c r="AG3" s="65"/>
    </row>
    <row r="4" spans="1:33" ht="30" customHeight="1">
      <c r="A4" s="66" t="s">
        <v>185</v>
      </c>
      <c r="B4" s="11" t="s">
        <v>361</v>
      </c>
      <c r="C4" s="11"/>
      <c r="D4" s="11"/>
      <c r="E4" s="11"/>
      <c r="F4" s="11"/>
      <c r="G4" s="11"/>
      <c r="H4" s="11"/>
      <c r="I4" s="11"/>
      <c r="J4" s="11"/>
      <c r="K4" s="11"/>
      <c r="L4" s="11" t="s">
        <v>362</v>
      </c>
      <c r="M4" s="11"/>
      <c r="N4" s="11"/>
      <c r="O4" s="11"/>
      <c r="P4" s="11"/>
      <c r="Q4" s="11"/>
      <c r="R4" s="11"/>
      <c r="S4" s="11"/>
      <c r="T4" s="11" t="s">
        <v>363</v>
      </c>
      <c r="U4" s="11"/>
      <c r="V4" s="11"/>
      <c r="W4" s="11"/>
      <c r="X4" s="11"/>
      <c r="Y4" s="11" t="s">
        <v>364</v>
      </c>
      <c r="Z4" s="11"/>
      <c r="AA4" s="11"/>
      <c r="AB4" s="11"/>
      <c r="AC4" s="67" t="s">
        <v>365</v>
      </c>
    </row>
    <row r="5" spans="1:33" ht="1.5" customHeight="1">
      <c r="A5" s="66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7"/>
      <c r="Y5" s="67"/>
      <c r="Z5" s="67"/>
      <c r="AA5" s="67"/>
      <c r="AB5" s="67"/>
      <c r="AC5" s="67"/>
    </row>
    <row r="6" spans="1:33" ht="21.75" customHeight="1">
      <c r="A6" s="43" t="str">
        <f>人員一覧・判定!B5</f>
        <v>三浦 房紀</v>
      </c>
      <c r="X6" s="10" t="s">
        <v>366</v>
      </c>
      <c r="Y6" s="10"/>
      <c r="Z6" s="10"/>
      <c r="AA6" s="10"/>
      <c r="AB6" s="10"/>
      <c r="AC6" s="10"/>
    </row>
    <row r="7" spans="1:33" ht="21.75" customHeight="1">
      <c r="A7" s="43" t="str">
        <f>人員一覧・判定!B6</f>
        <v>北本 政行</v>
      </c>
      <c r="H7" s="9" t="s">
        <v>367</v>
      </c>
      <c r="I7" s="9"/>
      <c r="J7" s="9"/>
      <c r="X7" s="10" t="s">
        <v>366</v>
      </c>
      <c r="Y7" s="10"/>
      <c r="Z7" s="10"/>
      <c r="AA7" s="10"/>
      <c r="AB7" s="10"/>
      <c r="AC7" s="10"/>
    </row>
    <row r="8" spans="1:33" ht="21.75" customHeight="1">
      <c r="A8" s="43" t="str">
        <f>人員一覧・判定!B7</f>
        <v>宮木 一寛</v>
      </c>
      <c r="F8" s="10" t="s">
        <v>368</v>
      </c>
      <c r="G8" s="10"/>
      <c r="H8" s="10"/>
      <c r="I8" s="10"/>
      <c r="J8" s="10"/>
      <c r="K8" s="10"/>
      <c r="W8" s="10" t="s">
        <v>369</v>
      </c>
      <c r="X8" s="10"/>
      <c r="Y8" s="10"/>
      <c r="Z8" s="10"/>
      <c r="AA8" s="10"/>
      <c r="AB8" s="10"/>
      <c r="AC8" s="10"/>
    </row>
    <row r="9" spans="1:33" ht="21.75" customHeight="1">
      <c r="A9" s="43" t="str">
        <f>人員一覧・判定!B8</f>
        <v>児玉 美樹</v>
      </c>
      <c r="F9" s="9" t="s">
        <v>370</v>
      </c>
      <c r="G9" s="9"/>
      <c r="H9" s="9"/>
      <c r="I9" s="9"/>
      <c r="J9" s="9"/>
      <c r="K9" s="9"/>
      <c r="T9" s="8" t="s">
        <v>371</v>
      </c>
      <c r="U9" s="8"/>
      <c r="V9" s="8"/>
      <c r="W9" s="8"/>
      <c r="X9" s="8"/>
      <c r="Y9" s="7" t="s">
        <v>372</v>
      </c>
      <c r="Z9" s="7"/>
      <c r="AA9" s="7"/>
      <c r="AB9" s="7"/>
      <c r="AC9" s="7"/>
    </row>
    <row r="10" spans="1:33" ht="21.75" customHeight="1">
      <c r="A10" s="43" t="str">
        <f>人員一覧・判定!B9</f>
        <v>荒木田 勝</v>
      </c>
      <c r="F10" s="6" t="s">
        <v>373</v>
      </c>
      <c r="G10" s="6"/>
      <c r="H10" s="9" t="s">
        <v>374</v>
      </c>
      <c r="I10" s="9"/>
      <c r="J10" s="9"/>
      <c r="N10" s="8" t="s">
        <v>375</v>
      </c>
      <c r="O10" s="8"/>
      <c r="P10" s="8"/>
      <c r="Q10" s="8"/>
      <c r="R10" s="8"/>
      <c r="S10" s="8"/>
      <c r="T10" s="8" t="s">
        <v>376</v>
      </c>
      <c r="U10" s="8"/>
      <c r="V10" s="8"/>
      <c r="W10" s="8"/>
      <c r="X10" s="8"/>
      <c r="Y10" s="8"/>
      <c r="Z10" s="8"/>
      <c r="AA10" s="8"/>
      <c r="AB10" s="8"/>
      <c r="AC10" s="8"/>
    </row>
    <row r="11" spans="1:33" ht="21.75" customHeight="1">
      <c r="A11" s="43" t="str">
        <f>人員一覧・判定!B10</f>
        <v>吉田 真紀</v>
      </c>
      <c r="F11" s="6" t="s">
        <v>377</v>
      </c>
      <c r="G11" s="6"/>
      <c r="H11" s="6"/>
      <c r="I11" s="6"/>
      <c r="J11" s="6"/>
      <c r="K11" s="6"/>
      <c r="T11" s="5" t="s">
        <v>378</v>
      </c>
      <c r="U11" s="5"/>
      <c r="V11" s="5"/>
      <c r="W11" s="5"/>
      <c r="X11" s="5"/>
      <c r="Y11" s="5" t="s">
        <v>379</v>
      </c>
      <c r="Z11" s="5"/>
      <c r="AA11" s="5"/>
      <c r="AB11" s="5"/>
      <c r="AC11" s="5"/>
    </row>
    <row r="12" spans="1:33" ht="21.75" customHeight="1">
      <c r="A12" s="43" t="str">
        <f>人員一覧・判定!B11</f>
        <v>藤中 純子</v>
      </c>
      <c r="D12" s="4" t="s">
        <v>380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T12" s="5" t="s">
        <v>381</v>
      </c>
      <c r="U12" s="5"/>
      <c r="V12" s="5"/>
      <c r="W12" s="5"/>
      <c r="X12" s="5"/>
      <c r="Y12" s="5" t="s">
        <v>382</v>
      </c>
      <c r="Z12" s="5"/>
      <c r="AA12" s="5"/>
      <c r="AB12" s="5"/>
      <c r="AC12" s="5"/>
    </row>
    <row r="13" spans="1:33" ht="21.75" customHeight="1">
      <c r="A13" s="43" t="str">
        <f>人員一覧・判定!B12</f>
        <v>田中 智美</v>
      </c>
      <c r="D13" s="4" t="s">
        <v>383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T13" s="5" t="s">
        <v>378</v>
      </c>
      <c r="U13" s="5"/>
      <c r="V13" s="5"/>
      <c r="W13" s="5"/>
      <c r="X13" s="5"/>
      <c r="Y13" s="5" t="s">
        <v>382</v>
      </c>
      <c r="Z13" s="5"/>
      <c r="AA13" s="5"/>
      <c r="AB13" s="5"/>
      <c r="AC13" s="5"/>
    </row>
    <row r="14" spans="1:33" ht="21.75" customHeight="1">
      <c r="A14" s="43" t="str">
        <f>人員一覧・判定!B13</f>
        <v>池田　誠</v>
      </c>
      <c r="F14" s="7" t="s">
        <v>384</v>
      </c>
      <c r="G14" s="7"/>
      <c r="H14" s="7"/>
      <c r="I14" s="7"/>
      <c r="J14" s="7"/>
      <c r="K14" s="7"/>
      <c r="N14" s="8" t="s">
        <v>385</v>
      </c>
      <c r="O14" s="8"/>
      <c r="P14" s="8"/>
      <c r="Q14" s="8"/>
      <c r="R14" s="8"/>
      <c r="S14" s="8"/>
      <c r="W14" s="11" t="s">
        <v>386</v>
      </c>
      <c r="X14" s="11"/>
      <c r="Y14" s="11"/>
      <c r="Z14" s="11"/>
      <c r="AA14" s="11"/>
      <c r="AB14" s="11"/>
      <c r="AC14" s="11"/>
    </row>
    <row r="15" spans="1:33" ht="24.75" customHeight="1">
      <c r="A15" s="69" t="str">
        <f>人員一覧・判定!C14</f>
        <v>Gerald Ejem Potutan</v>
      </c>
      <c r="F15" s="6" t="s">
        <v>387</v>
      </c>
      <c r="G15" s="6"/>
      <c r="H15" s="6"/>
      <c r="I15" s="6"/>
      <c r="J15" s="6"/>
      <c r="K15" s="6"/>
      <c r="W15" s="11" t="s">
        <v>388</v>
      </c>
      <c r="X15" s="11"/>
      <c r="Y15" s="11"/>
      <c r="Z15" s="11"/>
      <c r="AA15" s="11"/>
      <c r="AB15" s="11"/>
      <c r="AC15" s="11"/>
    </row>
    <row r="16" spans="1:33" ht="21" customHeight="1">
      <c r="A16" s="43" t="str">
        <f>人員一覧・判定!C15</f>
        <v>Mizan Bisri</v>
      </c>
      <c r="F16" s="9" t="s">
        <v>389</v>
      </c>
      <c r="G16" s="9"/>
      <c r="H16" s="9"/>
      <c r="I16" s="9"/>
      <c r="J16" s="9"/>
      <c r="K16" s="9"/>
      <c r="W16" s="11" t="s">
        <v>388</v>
      </c>
      <c r="X16" s="11"/>
      <c r="Y16" s="11"/>
      <c r="Z16" s="11"/>
      <c r="AA16" s="11"/>
      <c r="AB16" s="11"/>
      <c r="AC16" s="11"/>
    </row>
    <row r="17" spans="1:33" ht="21.75" customHeight="1">
      <c r="A17" s="43" t="str">
        <f>人員一覧・判定!B16</f>
        <v>藤本 絢子</v>
      </c>
      <c r="F17" s="5" t="s">
        <v>390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T17" s="5" t="s">
        <v>391</v>
      </c>
      <c r="U17" s="5"/>
      <c r="V17" s="5"/>
      <c r="W17" s="5"/>
      <c r="X17" s="5"/>
      <c r="Y17" s="5"/>
      <c r="Z17" s="5"/>
      <c r="AA17" s="5"/>
      <c r="AB17" s="5"/>
      <c r="AC17" s="5"/>
    </row>
    <row r="18" spans="1:33" ht="21.75" customHeight="1">
      <c r="A18" s="43" t="str">
        <f>人員一覧・判定!B17</f>
        <v>塩見 有美</v>
      </c>
      <c r="F18" s="5" t="s">
        <v>392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W18" s="5" t="s">
        <v>393</v>
      </c>
      <c r="X18" s="5"/>
      <c r="Y18" s="5"/>
      <c r="Z18" s="5"/>
      <c r="AA18" s="5"/>
      <c r="AB18" s="5"/>
      <c r="AC18" s="5"/>
    </row>
    <row r="19" spans="1:33" ht="14.25" customHeight="1">
      <c r="A19" s="26" t="s">
        <v>394</v>
      </c>
      <c r="B19" s="70">
        <f t="shared" ref="B19:AG19" si="0">COUNTA(B6:B18)</f>
        <v>0</v>
      </c>
      <c r="C19" s="70">
        <f t="shared" si="0"/>
        <v>0</v>
      </c>
      <c r="D19" s="70">
        <f t="shared" si="0"/>
        <v>2</v>
      </c>
      <c r="E19" s="70">
        <f t="shared" si="0"/>
        <v>0</v>
      </c>
      <c r="F19" s="70">
        <f t="shared" si="0"/>
        <v>9</v>
      </c>
      <c r="G19" s="70">
        <f t="shared" si="0"/>
        <v>0</v>
      </c>
      <c r="H19" s="70">
        <f t="shared" si="0"/>
        <v>2</v>
      </c>
      <c r="I19" s="70">
        <f t="shared" si="0"/>
        <v>0</v>
      </c>
      <c r="J19" s="70">
        <f t="shared" si="0"/>
        <v>0</v>
      </c>
      <c r="K19" s="70">
        <f t="shared" si="0"/>
        <v>0</v>
      </c>
      <c r="L19" s="70">
        <f t="shared" si="0"/>
        <v>0</v>
      </c>
      <c r="M19" s="70">
        <f t="shared" si="0"/>
        <v>0</v>
      </c>
      <c r="N19" s="70">
        <f t="shared" si="0"/>
        <v>2</v>
      </c>
      <c r="O19" s="70">
        <f t="shared" si="0"/>
        <v>0</v>
      </c>
      <c r="P19" s="70">
        <f t="shared" si="0"/>
        <v>0</v>
      </c>
      <c r="Q19" s="70">
        <f t="shared" si="0"/>
        <v>0</v>
      </c>
      <c r="R19" s="70">
        <f t="shared" si="0"/>
        <v>0</v>
      </c>
      <c r="S19" s="70">
        <f t="shared" si="0"/>
        <v>0</v>
      </c>
      <c r="T19" s="70">
        <f t="shared" si="0"/>
        <v>6</v>
      </c>
      <c r="U19" s="70">
        <f t="shared" si="0"/>
        <v>0</v>
      </c>
      <c r="V19" s="70">
        <f t="shared" si="0"/>
        <v>0</v>
      </c>
      <c r="W19" s="70">
        <f t="shared" si="0"/>
        <v>5</v>
      </c>
      <c r="X19" s="70">
        <f t="shared" si="0"/>
        <v>2</v>
      </c>
      <c r="Y19" s="70">
        <f t="shared" si="0"/>
        <v>4</v>
      </c>
      <c r="Z19" s="70">
        <f t="shared" si="0"/>
        <v>0</v>
      </c>
      <c r="AA19" s="70">
        <f t="shared" si="0"/>
        <v>0</v>
      </c>
      <c r="AB19" s="70">
        <f t="shared" si="0"/>
        <v>0</v>
      </c>
      <c r="AC19" s="70">
        <f t="shared" si="0"/>
        <v>0</v>
      </c>
      <c r="AD19" s="70">
        <f t="shared" si="0"/>
        <v>0</v>
      </c>
      <c r="AE19" s="70">
        <f t="shared" si="0"/>
        <v>0</v>
      </c>
      <c r="AF19" s="70">
        <f t="shared" si="0"/>
        <v>0</v>
      </c>
      <c r="AG19" s="70">
        <f t="shared" si="0"/>
        <v>0</v>
      </c>
    </row>
    <row r="20" spans="1:33" ht="14.25" customHeight="1">
      <c r="A20" s="71" t="s">
        <v>395</v>
      </c>
    </row>
    <row r="21" spans="1:33" ht="60" customHeight="1">
      <c r="A21" s="3" t="s">
        <v>396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33" ht="14.25" customHeight="1">
      <c r="A23" s="2" t="s">
        <v>397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33" ht="21.75" customHeight="1">
      <c r="A24" s="60" t="str">
        <f>人員一覧・判定!B19</f>
        <v>中村</v>
      </c>
      <c r="F24" s="1" t="s">
        <v>398</v>
      </c>
      <c r="G24" s="1"/>
      <c r="H24" s="1"/>
      <c r="I24" s="1"/>
      <c r="J24" s="1"/>
      <c r="K24" s="1"/>
      <c r="N24" s="85" t="s">
        <v>399</v>
      </c>
      <c r="O24" s="85"/>
      <c r="P24" s="85"/>
      <c r="Q24" s="85"/>
      <c r="R24" s="85"/>
      <c r="S24" s="85"/>
    </row>
    <row r="25" spans="1:33" ht="21.75" customHeight="1">
      <c r="A25" s="60" t="str">
        <f>人員一覧・判定!B20</f>
        <v>山口</v>
      </c>
      <c r="F25" s="85" t="s">
        <v>331</v>
      </c>
      <c r="G25" s="85"/>
      <c r="H25" s="85"/>
      <c r="I25" s="85"/>
      <c r="J25" s="85"/>
      <c r="K25" s="85"/>
      <c r="N25" s="85" t="s">
        <v>400</v>
      </c>
      <c r="O25" s="85"/>
      <c r="P25" s="85"/>
      <c r="Q25" s="85"/>
      <c r="R25" s="85"/>
      <c r="S25" s="85"/>
    </row>
    <row r="26" spans="1:33" ht="21.75" customHeight="1">
      <c r="A26" s="60" t="str">
        <f>人員一覧・判定!B22</f>
        <v>寺坂　佳津子</v>
      </c>
      <c r="N26" s="86" t="s">
        <v>338</v>
      </c>
      <c r="O26" s="86"/>
      <c r="P26" s="86"/>
      <c r="Q26" s="86"/>
      <c r="R26" s="86"/>
      <c r="S26" s="86"/>
    </row>
    <row r="27" spans="1:33" ht="21.75" customHeight="1">
      <c r="A27" s="60" t="str">
        <f>人員一覧・判定!B21</f>
        <v>伊達 孝</v>
      </c>
      <c r="N27" s="87" t="s">
        <v>401</v>
      </c>
      <c r="O27" s="87"/>
      <c r="P27" s="87"/>
      <c r="Q27" s="87"/>
      <c r="R27" s="87"/>
      <c r="S27" s="87"/>
    </row>
    <row r="28" spans="1:33" ht="14.25" customHeight="1">
      <c r="A28" s="71" t="s">
        <v>402</v>
      </c>
    </row>
  </sheetData>
  <mergeCells count="44">
    <mergeCell ref="N26:S26"/>
    <mergeCell ref="N27:S27"/>
    <mergeCell ref="A21:T21"/>
    <mergeCell ref="A23:L23"/>
    <mergeCell ref="F24:K24"/>
    <mergeCell ref="N24:S24"/>
    <mergeCell ref="F25:K25"/>
    <mergeCell ref="N25:S25"/>
    <mergeCell ref="F16:K16"/>
    <mergeCell ref="W16:AC16"/>
    <mergeCell ref="F17:Q17"/>
    <mergeCell ref="T17:AC17"/>
    <mergeCell ref="F18:Q18"/>
    <mergeCell ref="W18:AC18"/>
    <mergeCell ref="F14:K14"/>
    <mergeCell ref="N14:S14"/>
    <mergeCell ref="W14:AC14"/>
    <mergeCell ref="F15:K15"/>
    <mergeCell ref="W15:AC15"/>
    <mergeCell ref="D12:Q12"/>
    <mergeCell ref="T12:X12"/>
    <mergeCell ref="Y12:AC12"/>
    <mergeCell ref="D13:Q13"/>
    <mergeCell ref="T13:X13"/>
    <mergeCell ref="Y13:AC13"/>
    <mergeCell ref="F10:G10"/>
    <mergeCell ref="H10:J10"/>
    <mergeCell ref="N10:S10"/>
    <mergeCell ref="T10:AC10"/>
    <mergeCell ref="F11:K11"/>
    <mergeCell ref="T11:X11"/>
    <mergeCell ref="Y11:AC11"/>
    <mergeCell ref="H7:J7"/>
    <mergeCell ref="X7:AC7"/>
    <mergeCell ref="F8:K8"/>
    <mergeCell ref="W8:AC8"/>
    <mergeCell ref="F9:K9"/>
    <mergeCell ref="T9:X9"/>
    <mergeCell ref="Y9:AC9"/>
    <mergeCell ref="B4:K4"/>
    <mergeCell ref="L4:S4"/>
    <mergeCell ref="T4:X4"/>
    <mergeCell ref="Y4:AB4"/>
    <mergeCell ref="X6:AC6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ColWidth="8.5546875" defaultRowHeight="14.4"/>
  <cols>
    <col min="1" max="1" width="14" customWidth="1"/>
    <col min="2" max="33" width="4.21875" customWidth="1"/>
  </cols>
  <sheetData>
    <row r="1" spans="1:33" ht="15" customHeight="1">
      <c r="A1" s="64" t="s">
        <v>403</v>
      </c>
    </row>
    <row r="3" spans="1:33" ht="14.25" customHeight="1">
      <c r="B3" s="65" t="s">
        <v>345</v>
      </c>
      <c r="C3" s="65"/>
      <c r="D3" s="65" t="s">
        <v>346</v>
      </c>
      <c r="E3" s="65"/>
      <c r="F3" s="65" t="s">
        <v>347</v>
      </c>
      <c r="G3" s="65"/>
      <c r="H3" s="65" t="s">
        <v>348</v>
      </c>
      <c r="I3" s="65"/>
      <c r="J3" s="65" t="s">
        <v>349</v>
      </c>
      <c r="K3" s="65"/>
      <c r="L3" s="65" t="s">
        <v>350</v>
      </c>
      <c r="M3" s="65"/>
      <c r="N3" s="65" t="s">
        <v>351</v>
      </c>
      <c r="O3" s="65"/>
      <c r="P3" s="65" t="s">
        <v>352</v>
      </c>
      <c r="Q3" s="65"/>
      <c r="R3" s="65" t="s">
        <v>353</v>
      </c>
      <c r="S3" s="65"/>
      <c r="T3" s="65" t="s">
        <v>354</v>
      </c>
      <c r="U3" s="65"/>
      <c r="V3" s="65" t="s">
        <v>355</v>
      </c>
      <c r="W3" s="65"/>
      <c r="X3" s="65" t="s">
        <v>356</v>
      </c>
      <c r="Y3" s="65"/>
      <c r="Z3" s="65" t="s">
        <v>357</v>
      </c>
      <c r="AA3" s="65"/>
      <c r="AB3" s="65" t="s">
        <v>358</v>
      </c>
      <c r="AC3" s="65"/>
      <c r="AD3" s="65" t="s">
        <v>359</v>
      </c>
      <c r="AE3" s="65"/>
      <c r="AF3" s="65" t="s">
        <v>360</v>
      </c>
      <c r="AG3" s="65"/>
    </row>
    <row r="4" spans="1:33" ht="30" customHeight="1">
      <c r="A4" s="66" t="s">
        <v>185</v>
      </c>
      <c r="C4" s="11" t="s">
        <v>404</v>
      </c>
      <c r="D4" s="11"/>
      <c r="E4" s="11"/>
      <c r="F4" s="11"/>
      <c r="H4" s="72" t="s">
        <v>405</v>
      </c>
      <c r="I4" s="88" t="s">
        <v>406</v>
      </c>
      <c r="J4" s="88"/>
      <c r="K4" s="88" t="s">
        <v>407</v>
      </c>
      <c r="L4" s="88"/>
      <c r="M4" s="72" t="s">
        <v>408</v>
      </c>
      <c r="N4" s="88" t="s">
        <v>409</v>
      </c>
      <c r="O4" s="88"/>
      <c r="P4" s="88"/>
      <c r="Q4" s="88"/>
      <c r="R4" s="88"/>
      <c r="S4" s="88" t="s">
        <v>410</v>
      </c>
      <c r="T4" s="88"/>
      <c r="W4" s="88" t="s">
        <v>411</v>
      </c>
      <c r="X4" s="88"/>
      <c r="Y4" s="88" t="s">
        <v>412</v>
      </c>
      <c r="Z4" s="88"/>
      <c r="AA4" s="88"/>
      <c r="AB4" s="88"/>
      <c r="AC4" s="88"/>
    </row>
    <row r="5" spans="1:33" ht="3.75" customHeight="1">
      <c r="A5" s="66"/>
      <c r="C5" s="68"/>
      <c r="D5" s="68"/>
      <c r="E5" s="68"/>
      <c r="F5" s="68"/>
      <c r="H5" s="72"/>
      <c r="I5" s="72"/>
      <c r="J5" s="72"/>
      <c r="K5" s="73"/>
      <c r="L5" s="73"/>
      <c r="M5" s="72"/>
      <c r="N5" s="72"/>
      <c r="O5" s="72"/>
      <c r="P5" s="72"/>
      <c r="Q5" s="72"/>
      <c r="R5" s="72"/>
      <c r="S5" s="72"/>
      <c r="T5" s="72"/>
      <c r="W5" s="72"/>
      <c r="X5" s="72"/>
      <c r="Y5" s="72"/>
      <c r="Z5" s="72"/>
      <c r="AA5" s="72"/>
      <c r="AB5" s="72"/>
      <c r="AC5" s="72"/>
    </row>
    <row r="6" spans="1:33" ht="21.75" customHeight="1">
      <c r="A6" s="43" t="str">
        <f>人員一覧・判定!B5</f>
        <v>三浦 房紀</v>
      </c>
      <c r="G6" s="89" t="s">
        <v>202</v>
      </c>
      <c r="H6" s="89"/>
      <c r="I6" s="89"/>
      <c r="J6" s="89"/>
      <c r="M6" s="74" t="s">
        <v>413</v>
      </c>
      <c r="N6" s="90" t="s">
        <v>414</v>
      </c>
      <c r="O6" s="90"/>
      <c r="P6" s="90"/>
      <c r="Q6" s="90"/>
      <c r="R6" s="90"/>
      <c r="S6" s="90" t="s">
        <v>415</v>
      </c>
      <c r="T6" s="90"/>
      <c r="W6" s="88" t="s">
        <v>416</v>
      </c>
      <c r="X6" s="88"/>
      <c r="Y6" s="88"/>
      <c r="Z6" s="88"/>
      <c r="AA6" s="88"/>
      <c r="AB6" s="88"/>
      <c r="AC6" s="88"/>
    </row>
    <row r="7" spans="1:33" ht="21.75" customHeight="1">
      <c r="A7" s="43" t="str">
        <f>人員一覧・判定!B6</f>
        <v>北本 政行</v>
      </c>
      <c r="G7" s="89" t="s">
        <v>202</v>
      </c>
      <c r="H7" s="89"/>
      <c r="I7" s="89"/>
      <c r="J7" s="89"/>
      <c r="M7" s="90" t="s">
        <v>417</v>
      </c>
      <c r="N7" s="90"/>
      <c r="O7" s="90"/>
      <c r="P7" s="90"/>
      <c r="Q7" s="90"/>
      <c r="R7" s="90"/>
      <c r="S7" s="90" t="s">
        <v>415</v>
      </c>
      <c r="T7" s="90"/>
      <c r="W7" s="88" t="s">
        <v>416</v>
      </c>
      <c r="X7" s="88"/>
      <c r="Y7" s="88"/>
      <c r="Z7" s="88"/>
      <c r="AA7" s="88"/>
      <c r="AB7" s="88"/>
      <c r="AC7" s="88"/>
    </row>
    <row r="8" spans="1:33" ht="21.75" customHeight="1">
      <c r="A8" s="43" t="str">
        <f>人員一覧・判定!B7</f>
        <v>宮木 一寛</v>
      </c>
      <c r="F8" s="10" t="s">
        <v>418</v>
      </c>
      <c r="G8" s="10"/>
      <c r="H8" s="10"/>
      <c r="I8" s="10"/>
      <c r="J8" s="10"/>
      <c r="M8" s="90" t="s">
        <v>419</v>
      </c>
      <c r="N8" s="90"/>
      <c r="O8" s="90"/>
      <c r="P8" s="90"/>
      <c r="Q8" s="90"/>
      <c r="R8" s="90"/>
      <c r="S8" s="90" t="s">
        <v>420</v>
      </c>
      <c r="T8" s="90"/>
      <c r="W8" s="88" t="s">
        <v>421</v>
      </c>
      <c r="X8" s="88"/>
      <c r="Y8" s="88"/>
      <c r="Z8" s="88"/>
      <c r="AA8" s="88"/>
      <c r="AB8" s="88"/>
      <c r="AC8" s="88"/>
    </row>
    <row r="9" spans="1:33" ht="21.75" customHeight="1">
      <c r="A9" s="43" t="str">
        <f>人員一覧・判定!B8</f>
        <v>児玉 美樹</v>
      </c>
      <c r="C9" s="8" t="s">
        <v>422</v>
      </c>
      <c r="D9" s="8"/>
      <c r="E9" s="8"/>
      <c r="F9" s="8"/>
      <c r="G9" s="10" t="s">
        <v>423</v>
      </c>
      <c r="H9" s="10"/>
      <c r="I9" s="10"/>
      <c r="J9" s="10"/>
      <c r="M9" s="90" t="s">
        <v>424</v>
      </c>
      <c r="N9" s="90"/>
      <c r="O9" s="90"/>
      <c r="P9" s="90"/>
      <c r="Q9" s="90"/>
      <c r="R9" s="90"/>
      <c r="S9" s="90" t="s">
        <v>415</v>
      </c>
      <c r="T9" s="90"/>
      <c r="V9" s="88" t="s">
        <v>425</v>
      </c>
      <c r="W9" s="88"/>
      <c r="X9" s="88"/>
      <c r="Y9" s="88"/>
      <c r="Z9" s="88"/>
      <c r="AA9" s="88"/>
      <c r="AB9" s="88"/>
      <c r="AC9" s="88"/>
    </row>
    <row r="10" spans="1:33" ht="21.75" customHeight="1">
      <c r="A10" s="43" t="str">
        <f>人員一覧・判定!B9</f>
        <v>荒木田 勝</v>
      </c>
      <c r="C10" s="8" t="s">
        <v>426</v>
      </c>
      <c r="D10" s="8"/>
      <c r="E10" s="8"/>
      <c r="F10" s="8"/>
      <c r="G10" s="89" t="s">
        <v>427</v>
      </c>
      <c r="H10" s="89"/>
      <c r="I10" s="89"/>
      <c r="J10" s="89"/>
      <c r="M10" s="74" t="s">
        <v>428</v>
      </c>
      <c r="N10" s="7" t="s">
        <v>429</v>
      </c>
      <c r="O10" s="7"/>
      <c r="P10" s="7"/>
      <c r="Q10" s="7"/>
      <c r="R10" s="7"/>
      <c r="S10" s="90" t="s">
        <v>430</v>
      </c>
      <c r="T10" s="90"/>
      <c r="W10" s="88" t="s">
        <v>416</v>
      </c>
      <c r="X10" s="88"/>
      <c r="Y10" s="88"/>
      <c r="Z10" s="88"/>
      <c r="AA10" s="88"/>
      <c r="AB10" s="88"/>
      <c r="AC10" s="88"/>
    </row>
    <row r="11" spans="1:33" ht="21.75" customHeight="1">
      <c r="A11" s="43" t="str">
        <f>人員一覧・判定!B10</f>
        <v>吉田 真紀</v>
      </c>
      <c r="D11" s="6" t="s">
        <v>431</v>
      </c>
      <c r="E11" s="6"/>
      <c r="F11" s="6"/>
      <c r="G11" s="5" t="s">
        <v>432</v>
      </c>
      <c r="H11" s="5"/>
      <c r="I11" s="5"/>
      <c r="J11" s="5"/>
      <c r="M11" s="90" t="s">
        <v>433</v>
      </c>
      <c r="N11" s="90"/>
      <c r="O11" s="90"/>
      <c r="P11" s="90"/>
      <c r="Q11" s="90"/>
      <c r="R11" s="90"/>
      <c r="S11" s="90" t="s">
        <v>434</v>
      </c>
      <c r="T11" s="90"/>
      <c r="V11" s="88" t="s">
        <v>435</v>
      </c>
      <c r="W11" s="88"/>
      <c r="X11" s="88"/>
      <c r="Y11" s="88"/>
      <c r="Z11" s="88"/>
      <c r="AA11" s="88"/>
      <c r="AB11" s="88"/>
      <c r="AC11" s="88"/>
    </row>
    <row r="12" spans="1:33" ht="21.75" customHeight="1">
      <c r="A12" s="43" t="str">
        <f>人員一覧・判定!B11</f>
        <v>藤中 純子</v>
      </c>
      <c r="D12" s="5" t="s">
        <v>262</v>
      </c>
      <c r="E12" s="5"/>
      <c r="F12" s="5"/>
      <c r="G12" s="5"/>
      <c r="H12" s="5"/>
      <c r="I12" s="5"/>
      <c r="J12" s="5"/>
      <c r="K12" s="5"/>
      <c r="L12" s="5"/>
      <c r="M12" s="5" t="s">
        <v>436</v>
      </c>
      <c r="N12" s="5"/>
      <c r="O12" s="5"/>
      <c r="P12" s="5"/>
      <c r="Q12" s="5"/>
      <c r="R12" s="5"/>
      <c r="S12" s="90" t="s">
        <v>437</v>
      </c>
      <c r="T12" s="90"/>
      <c r="W12" s="88" t="s">
        <v>416</v>
      </c>
      <c r="X12" s="88"/>
      <c r="Y12" s="88"/>
      <c r="Z12" s="88"/>
      <c r="AA12" s="88"/>
      <c r="AB12" s="88"/>
      <c r="AC12" s="88"/>
    </row>
    <row r="13" spans="1:33" ht="21.75" customHeight="1">
      <c r="A13" s="43" t="str">
        <f>人員一覧・判定!B12</f>
        <v>田中 智美</v>
      </c>
      <c r="D13" s="5" t="s">
        <v>262</v>
      </c>
      <c r="E13" s="5"/>
      <c r="F13" s="5"/>
      <c r="G13" s="5"/>
      <c r="H13" s="5"/>
      <c r="I13" s="5"/>
      <c r="J13" s="5"/>
      <c r="K13" s="5"/>
      <c r="L13" s="5"/>
      <c r="M13" s="5" t="s">
        <v>436</v>
      </c>
      <c r="N13" s="5"/>
      <c r="O13" s="5"/>
      <c r="P13" s="5"/>
      <c r="Q13" s="5"/>
      <c r="R13" s="5"/>
      <c r="S13" s="5" t="s">
        <v>438</v>
      </c>
      <c r="T13" s="5"/>
      <c r="V13" s="88" t="s">
        <v>439</v>
      </c>
      <c r="W13" s="88"/>
      <c r="X13" s="88"/>
      <c r="Y13" s="88"/>
      <c r="Z13" s="88"/>
      <c r="AA13" s="88"/>
      <c r="AB13" s="88"/>
      <c r="AC13" s="88"/>
    </row>
    <row r="14" spans="1:33" ht="21.75" customHeight="1">
      <c r="A14" s="43" t="str">
        <f>人員一覧・判定!B13</f>
        <v>池田　誠</v>
      </c>
      <c r="C14" s="8" t="s">
        <v>440</v>
      </c>
      <c r="D14" s="8"/>
      <c r="E14" s="8"/>
      <c r="F14" s="8"/>
      <c r="G14" s="7" t="s">
        <v>441</v>
      </c>
      <c r="H14" s="7"/>
      <c r="I14" s="7"/>
      <c r="J14" s="7"/>
      <c r="M14" s="7" t="s">
        <v>442</v>
      </c>
      <c r="N14" s="7"/>
      <c r="O14" s="7"/>
      <c r="P14" s="7"/>
      <c r="Q14" s="7"/>
      <c r="R14" s="7"/>
      <c r="S14" s="7" t="s">
        <v>443</v>
      </c>
      <c r="T14" s="7"/>
      <c r="W14" s="88" t="s">
        <v>416</v>
      </c>
      <c r="X14" s="88"/>
      <c r="Y14" s="88"/>
      <c r="Z14" s="88"/>
      <c r="AA14" s="88"/>
      <c r="AB14" s="88"/>
      <c r="AC14" s="88"/>
    </row>
    <row r="15" spans="1:33" ht="21.75" customHeight="1">
      <c r="A15" s="69" t="str">
        <f>人員一覧・判定!C14</f>
        <v>Gerald Ejem Potutan</v>
      </c>
      <c r="G15" s="90" t="s">
        <v>293</v>
      </c>
      <c r="H15" s="90"/>
      <c r="I15" s="90"/>
      <c r="J15" s="90"/>
      <c r="M15" s="90" t="s">
        <v>444</v>
      </c>
      <c r="N15" s="90"/>
      <c r="O15" s="90"/>
      <c r="P15" s="90"/>
      <c r="Q15" s="90"/>
      <c r="R15" s="90"/>
      <c r="S15" s="90" t="s">
        <v>445</v>
      </c>
      <c r="T15" s="90"/>
      <c r="W15" s="88" t="s">
        <v>416</v>
      </c>
      <c r="X15" s="88"/>
      <c r="Y15" s="88"/>
      <c r="Z15" s="88"/>
      <c r="AA15" s="88"/>
      <c r="AB15" s="88"/>
      <c r="AC15" s="88"/>
      <c r="AD15" s="6" t="s">
        <v>446</v>
      </c>
      <c r="AE15" s="6"/>
      <c r="AF15" s="6"/>
    </row>
    <row r="16" spans="1:33" ht="21.75" customHeight="1">
      <c r="A16" s="43" t="str">
        <f>人員一覧・判定!C15</f>
        <v>Mizan Bisri</v>
      </c>
      <c r="G16" s="90" t="s">
        <v>293</v>
      </c>
      <c r="H16" s="90"/>
      <c r="I16" s="90"/>
      <c r="J16" s="90"/>
      <c r="M16" s="90" t="s">
        <v>447</v>
      </c>
      <c r="N16" s="90"/>
      <c r="O16" s="90"/>
      <c r="P16" s="90"/>
      <c r="Q16" s="90"/>
      <c r="R16" s="90"/>
      <c r="S16" s="9" t="s">
        <v>448</v>
      </c>
      <c r="T16" s="9"/>
      <c r="W16" s="88" t="s">
        <v>416</v>
      </c>
      <c r="X16" s="88"/>
      <c r="Y16" s="88"/>
      <c r="Z16" s="88"/>
      <c r="AA16" s="88"/>
      <c r="AB16" s="88"/>
      <c r="AC16" s="88"/>
    </row>
    <row r="17" spans="1:33" ht="21.75" customHeight="1">
      <c r="A17" s="43" t="str">
        <f>人員一覧・判定!B16</f>
        <v>藤本 絢子</v>
      </c>
      <c r="C17" s="8" t="s">
        <v>449</v>
      </c>
      <c r="D17" s="8"/>
      <c r="E17" s="8"/>
      <c r="F17" s="8"/>
      <c r="G17" s="8" t="s">
        <v>450</v>
      </c>
      <c r="H17" s="8"/>
      <c r="I17" s="8"/>
      <c r="J17" s="8"/>
      <c r="M17" s="8" t="s">
        <v>451</v>
      </c>
      <c r="N17" s="8"/>
      <c r="O17" s="8"/>
      <c r="P17" s="8"/>
      <c r="Q17" s="8"/>
      <c r="R17" s="8"/>
      <c r="S17" s="8"/>
      <c r="T17" s="8"/>
      <c r="W17" s="11" t="s">
        <v>452</v>
      </c>
      <c r="X17" s="11"/>
      <c r="Y17" s="11"/>
      <c r="Z17" s="11"/>
      <c r="AA17" s="11"/>
      <c r="AB17" s="11"/>
      <c r="AC17" s="11"/>
    </row>
    <row r="18" spans="1:33" ht="21.75" customHeight="1">
      <c r="A18" s="43" t="str">
        <f>人員一覧・判定!B17</f>
        <v>塩見 有美</v>
      </c>
      <c r="G18" s="5" t="s">
        <v>453</v>
      </c>
      <c r="H18" s="5"/>
      <c r="I18" s="5"/>
      <c r="J18" s="5"/>
      <c r="M18" s="91" t="s">
        <v>454</v>
      </c>
      <c r="N18" s="91"/>
      <c r="O18" s="91"/>
      <c r="P18" s="91"/>
      <c r="Q18" s="91"/>
      <c r="R18" s="91"/>
      <c r="S18" s="91" t="s">
        <v>455</v>
      </c>
      <c r="T18" s="91"/>
      <c r="W18" s="11" t="s">
        <v>456</v>
      </c>
      <c r="X18" s="11"/>
      <c r="Y18" s="11"/>
      <c r="Z18" s="11"/>
      <c r="AA18" s="11"/>
      <c r="AB18" s="11"/>
      <c r="AC18" s="11"/>
    </row>
    <row r="19" spans="1:33" ht="14.25" customHeight="1">
      <c r="A19" s="26" t="s">
        <v>394</v>
      </c>
      <c r="B19" s="70">
        <f t="shared" ref="B19:AG19" si="0">COUNTA(B6:B18)</f>
        <v>0</v>
      </c>
      <c r="C19" s="70">
        <f t="shared" si="0"/>
        <v>4</v>
      </c>
      <c r="D19" s="70">
        <f t="shared" si="0"/>
        <v>3</v>
      </c>
      <c r="E19" s="70">
        <f t="shared" si="0"/>
        <v>0</v>
      </c>
      <c r="F19" s="70">
        <f t="shared" si="0"/>
        <v>1</v>
      </c>
      <c r="G19" s="70">
        <f t="shared" si="0"/>
        <v>10</v>
      </c>
      <c r="H19" s="70">
        <f t="shared" si="0"/>
        <v>0</v>
      </c>
      <c r="I19" s="70">
        <f t="shared" si="0"/>
        <v>0</v>
      </c>
      <c r="J19" s="70">
        <f t="shared" si="0"/>
        <v>0</v>
      </c>
      <c r="K19" s="70">
        <f t="shared" si="0"/>
        <v>0</v>
      </c>
      <c r="L19" s="70">
        <f t="shared" si="0"/>
        <v>0</v>
      </c>
      <c r="M19" s="70">
        <f t="shared" si="0"/>
        <v>13</v>
      </c>
      <c r="N19" s="70">
        <f t="shared" si="0"/>
        <v>2</v>
      </c>
      <c r="O19" s="70">
        <f t="shared" si="0"/>
        <v>0</v>
      </c>
      <c r="P19" s="70">
        <f t="shared" si="0"/>
        <v>0</v>
      </c>
      <c r="Q19" s="70">
        <f t="shared" si="0"/>
        <v>0</v>
      </c>
      <c r="R19" s="70">
        <f t="shared" si="0"/>
        <v>0</v>
      </c>
      <c r="S19" s="70">
        <f t="shared" si="0"/>
        <v>12</v>
      </c>
      <c r="T19" s="70">
        <f t="shared" si="0"/>
        <v>0</v>
      </c>
      <c r="U19" s="70">
        <f t="shared" si="0"/>
        <v>0</v>
      </c>
      <c r="V19" s="70">
        <f t="shared" si="0"/>
        <v>3</v>
      </c>
      <c r="W19" s="70">
        <f t="shared" si="0"/>
        <v>10</v>
      </c>
      <c r="X19" s="70">
        <f t="shared" si="0"/>
        <v>0</v>
      </c>
      <c r="Y19" s="70">
        <f t="shared" si="0"/>
        <v>0</v>
      </c>
      <c r="Z19" s="70">
        <f t="shared" si="0"/>
        <v>0</v>
      </c>
      <c r="AA19" s="70">
        <f t="shared" si="0"/>
        <v>0</v>
      </c>
      <c r="AB19" s="70">
        <f t="shared" si="0"/>
        <v>0</v>
      </c>
      <c r="AC19" s="70">
        <f t="shared" si="0"/>
        <v>0</v>
      </c>
      <c r="AD19" s="70">
        <f t="shared" si="0"/>
        <v>1</v>
      </c>
      <c r="AE19" s="70">
        <f t="shared" si="0"/>
        <v>0</v>
      </c>
      <c r="AF19" s="70">
        <f t="shared" si="0"/>
        <v>0</v>
      </c>
      <c r="AG19" s="70">
        <f t="shared" si="0"/>
        <v>0</v>
      </c>
    </row>
    <row r="20" spans="1:33" ht="14.25" customHeight="1">
      <c r="A20" s="71" t="s">
        <v>395</v>
      </c>
    </row>
    <row r="21" spans="1:33" ht="60" customHeight="1">
      <c r="A21" s="3" t="s">
        <v>457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33" ht="14.25" customHeight="1">
      <c r="A23" s="2" t="s">
        <v>397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33" ht="21.75" customHeight="1">
      <c r="A24" s="60" t="str">
        <f>人員一覧・判定!B19</f>
        <v>中村</v>
      </c>
      <c r="D24" s="1" t="s">
        <v>458</v>
      </c>
      <c r="E24" s="1"/>
      <c r="F24" s="1"/>
      <c r="M24" s="1" t="s">
        <v>459</v>
      </c>
      <c r="N24" s="1"/>
      <c r="O24" s="1"/>
      <c r="P24" s="1"/>
      <c r="Q24" s="1"/>
      <c r="R24" s="1"/>
      <c r="S24" s="1" t="s">
        <v>460</v>
      </c>
      <c r="T24" s="1"/>
    </row>
    <row r="25" spans="1:33" ht="21.75" customHeight="1">
      <c r="A25" s="60" t="str">
        <f>人員一覧・判定!B20</f>
        <v>山口</v>
      </c>
      <c r="D25" s="85" t="s">
        <v>461</v>
      </c>
      <c r="E25" s="85"/>
      <c r="F25" s="85"/>
      <c r="M25" s="1" t="s">
        <v>462</v>
      </c>
      <c r="N25" s="1"/>
      <c r="O25" s="1"/>
      <c r="P25" s="1"/>
      <c r="Q25" s="1"/>
      <c r="R25" s="1"/>
      <c r="S25" s="1" t="s">
        <v>463</v>
      </c>
      <c r="T25" s="1"/>
    </row>
    <row r="26" spans="1:33" ht="21.75" customHeight="1">
      <c r="A26" s="60" t="str">
        <f>人員一覧・判定!B22</f>
        <v>寺坂　佳津子</v>
      </c>
      <c r="M26" s="86" t="s">
        <v>464</v>
      </c>
      <c r="N26" s="86"/>
      <c r="O26" s="86"/>
      <c r="P26" s="86"/>
      <c r="Q26" s="86"/>
      <c r="R26" s="86"/>
      <c r="S26" s="86"/>
      <c r="T26" s="86"/>
    </row>
    <row r="27" spans="1:33" ht="21.75" customHeight="1">
      <c r="A27" s="60" t="str">
        <f>人員一覧・判定!B21</f>
        <v>伊達 孝</v>
      </c>
      <c r="D27" s="87" t="s">
        <v>465</v>
      </c>
      <c r="E27" s="87"/>
      <c r="F27" s="87"/>
      <c r="S27" s="87" t="s">
        <v>466</v>
      </c>
      <c r="T27" s="87"/>
    </row>
    <row r="28" spans="1:33" ht="14.25" customHeight="1">
      <c r="A28" s="71" t="s">
        <v>402</v>
      </c>
    </row>
  </sheetData>
  <mergeCells count="75">
    <mergeCell ref="M26:T26"/>
    <mergeCell ref="D27:F27"/>
    <mergeCell ref="S27:T27"/>
    <mergeCell ref="A23:L23"/>
    <mergeCell ref="D24:F24"/>
    <mergeCell ref="M24:R24"/>
    <mergeCell ref="S24:T24"/>
    <mergeCell ref="D25:F25"/>
    <mergeCell ref="M25:R25"/>
    <mergeCell ref="S25:T25"/>
    <mergeCell ref="G18:J18"/>
    <mergeCell ref="M18:R18"/>
    <mergeCell ref="S18:T18"/>
    <mergeCell ref="W18:AC18"/>
    <mergeCell ref="A21:T21"/>
    <mergeCell ref="G16:J16"/>
    <mergeCell ref="M16:R16"/>
    <mergeCell ref="S16:T16"/>
    <mergeCell ref="W16:AC16"/>
    <mergeCell ref="C17:F17"/>
    <mergeCell ref="G17:J17"/>
    <mergeCell ref="M17:T17"/>
    <mergeCell ref="W17:AC17"/>
    <mergeCell ref="G15:J15"/>
    <mergeCell ref="M15:R15"/>
    <mergeCell ref="S15:T15"/>
    <mergeCell ref="W15:AC15"/>
    <mergeCell ref="AD15:AF15"/>
    <mergeCell ref="C14:F14"/>
    <mergeCell ref="G14:J14"/>
    <mergeCell ref="M14:R14"/>
    <mergeCell ref="S14:T14"/>
    <mergeCell ref="W14:AC14"/>
    <mergeCell ref="D12:L12"/>
    <mergeCell ref="M12:R12"/>
    <mergeCell ref="S12:T12"/>
    <mergeCell ref="W12:AC12"/>
    <mergeCell ref="D13:L13"/>
    <mergeCell ref="M13:R13"/>
    <mergeCell ref="S13:T13"/>
    <mergeCell ref="V13:AC13"/>
    <mergeCell ref="D11:F11"/>
    <mergeCell ref="G11:J11"/>
    <mergeCell ref="M11:R11"/>
    <mergeCell ref="S11:T11"/>
    <mergeCell ref="V11:AC11"/>
    <mergeCell ref="C10:F10"/>
    <mergeCell ref="G10:J10"/>
    <mergeCell ref="N10:R10"/>
    <mergeCell ref="S10:T10"/>
    <mergeCell ref="W10:AC10"/>
    <mergeCell ref="C9:F9"/>
    <mergeCell ref="G9:J9"/>
    <mergeCell ref="M9:R9"/>
    <mergeCell ref="S9:T9"/>
    <mergeCell ref="V9:AC9"/>
    <mergeCell ref="G7:J7"/>
    <mergeCell ref="M7:R7"/>
    <mergeCell ref="S7:T7"/>
    <mergeCell ref="W7:AC7"/>
    <mergeCell ref="F8:J8"/>
    <mergeCell ref="M8:R8"/>
    <mergeCell ref="S8:T8"/>
    <mergeCell ref="W8:AC8"/>
    <mergeCell ref="W4:X4"/>
    <mergeCell ref="Y4:AC4"/>
    <mergeCell ref="G6:J6"/>
    <mergeCell ref="N6:R6"/>
    <mergeCell ref="S6:T6"/>
    <mergeCell ref="W6:AC6"/>
    <mergeCell ref="C4:F4"/>
    <mergeCell ref="I4:J4"/>
    <mergeCell ref="K4:L4"/>
    <mergeCell ref="N4:R4"/>
    <mergeCell ref="S4:T4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8"/>
  <sheetViews>
    <sheetView zoomScaleNormal="100" workbookViewId="0">
      <pane xSplit="1" ySplit="4" topLeftCell="B7" activePane="bottomRight" state="frozen"/>
      <selection pane="topRight" activeCell="B1" sqref="B1"/>
      <selection pane="bottomLeft" activeCell="A7" sqref="A7"/>
      <selection pane="bottomRight" activeCell="A6" sqref="A6"/>
    </sheetView>
  </sheetViews>
  <sheetFormatPr defaultColWidth="8.5546875" defaultRowHeight="14.4"/>
  <cols>
    <col min="1" max="1" width="14" customWidth="1"/>
    <col min="2" max="33" width="4.21875" customWidth="1"/>
  </cols>
  <sheetData>
    <row r="1" spans="1:33" ht="15" customHeight="1">
      <c r="A1" s="64" t="s">
        <v>467</v>
      </c>
    </row>
    <row r="3" spans="1:33" ht="14.25" customHeight="1">
      <c r="B3" s="65" t="s">
        <v>345</v>
      </c>
      <c r="C3" s="65"/>
      <c r="D3" s="65" t="s">
        <v>346</v>
      </c>
      <c r="E3" s="65"/>
      <c r="F3" s="65" t="s">
        <v>347</v>
      </c>
      <c r="G3" s="65"/>
      <c r="H3" s="65" t="s">
        <v>348</v>
      </c>
      <c r="I3" s="65"/>
      <c r="J3" s="65" t="s">
        <v>349</v>
      </c>
      <c r="K3" s="65"/>
      <c r="L3" s="65" t="s">
        <v>350</v>
      </c>
      <c r="M3" s="65"/>
      <c r="N3" s="65" t="s">
        <v>351</v>
      </c>
      <c r="O3" s="65"/>
      <c r="P3" s="65" t="s">
        <v>352</v>
      </c>
      <c r="Q3" s="65"/>
      <c r="R3" s="65" t="s">
        <v>353</v>
      </c>
      <c r="S3" s="65"/>
      <c r="T3" s="65" t="s">
        <v>354</v>
      </c>
      <c r="U3" s="65"/>
      <c r="V3" s="65" t="s">
        <v>355</v>
      </c>
      <c r="W3" s="65"/>
      <c r="X3" s="65" t="s">
        <v>356</v>
      </c>
      <c r="Y3" s="65"/>
      <c r="Z3" s="65" t="s">
        <v>357</v>
      </c>
      <c r="AA3" s="65"/>
      <c r="AB3" s="65" t="s">
        <v>358</v>
      </c>
      <c r="AC3" s="65"/>
      <c r="AD3" s="65" t="s">
        <v>359</v>
      </c>
      <c r="AE3" s="65"/>
      <c r="AF3" s="65" t="s">
        <v>360</v>
      </c>
      <c r="AG3" s="65"/>
    </row>
    <row r="4" spans="1:33" ht="30" customHeight="1">
      <c r="A4" s="66" t="s">
        <v>185</v>
      </c>
      <c r="D4" s="11" t="s">
        <v>468</v>
      </c>
      <c r="E4" s="11"/>
      <c r="F4" s="11"/>
      <c r="G4" s="88" t="s">
        <v>469</v>
      </c>
      <c r="H4" s="88"/>
      <c r="I4" s="88"/>
      <c r="J4" s="88"/>
      <c r="K4" s="72" t="s">
        <v>470</v>
      </c>
      <c r="L4" s="88" t="s">
        <v>471</v>
      </c>
      <c r="M4" s="88"/>
      <c r="N4" s="88" t="s">
        <v>472</v>
      </c>
      <c r="O4" s="88"/>
      <c r="P4" s="88"/>
      <c r="Q4" s="88"/>
      <c r="R4" s="88"/>
      <c r="S4" s="88"/>
      <c r="T4" s="88"/>
      <c r="U4" s="88"/>
      <c r="Y4" s="88" t="s">
        <v>473</v>
      </c>
      <c r="Z4" s="88"/>
      <c r="AA4" s="88"/>
      <c r="AB4" s="88" t="s">
        <v>474</v>
      </c>
      <c r="AC4" s="88"/>
      <c r="AD4" s="88"/>
    </row>
    <row r="5" spans="1:33" ht="3.75" customHeight="1">
      <c r="A5" s="66"/>
      <c r="D5" s="68"/>
      <c r="E5" s="68"/>
      <c r="F5" s="68"/>
      <c r="G5" s="72"/>
      <c r="H5" s="72"/>
      <c r="I5" s="72"/>
      <c r="J5" s="72"/>
      <c r="K5" s="72"/>
      <c r="L5" s="73"/>
      <c r="M5" s="73"/>
      <c r="N5" s="72"/>
      <c r="O5" s="72"/>
      <c r="P5" s="72"/>
      <c r="Q5" s="72"/>
      <c r="R5" s="72"/>
      <c r="S5" s="72"/>
      <c r="T5" s="72"/>
      <c r="U5" s="72"/>
      <c r="Y5" s="72"/>
      <c r="Z5" s="72"/>
      <c r="AA5" s="72"/>
      <c r="AB5" s="72"/>
      <c r="AC5" s="72"/>
      <c r="AD5" s="72"/>
    </row>
    <row r="6" spans="1:33" ht="21.75" customHeight="1">
      <c r="A6" s="43" t="str">
        <f>人員一覧・判定!B5</f>
        <v>三浦 房紀</v>
      </c>
      <c r="G6" s="90" t="s">
        <v>204</v>
      </c>
      <c r="H6" s="90"/>
      <c r="I6" s="90"/>
      <c r="J6" s="90"/>
      <c r="K6" s="90"/>
      <c r="N6" s="92" t="s">
        <v>475</v>
      </c>
      <c r="O6" s="92"/>
      <c r="P6" s="92"/>
      <c r="Q6" s="92"/>
      <c r="R6" s="92"/>
      <c r="S6" s="92"/>
      <c r="T6" s="92"/>
      <c r="U6" s="92"/>
      <c r="Y6" s="88" t="s">
        <v>476</v>
      </c>
      <c r="Z6" s="88"/>
      <c r="AA6" s="88"/>
      <c r="AB6" s="88"/>
      <c r="AC6" s="88"/>
      <c r="AD6" s="88"/>
    </row>
    <row r="7" spans="1:33" ht="21.75" customHeight="1">
      <c r="A7" s="43" t="str">
        <f>人員一覧・判定!B6</f>
        <v>北本 政行</v>
      </c>
      <c r="G7" s="90" t="s">
        <v>204</v>
      </c>
      <c r="H7" s="90"/>
      <c r="I7" s="90"/>
      <c r="J7" s="90"/>
      <c r="K7" s="90"/>
      <c r="N7" s="92" t="s">
        <v>477</v>
      </c>
      <c r="O7" s="92"/>
      <c r="P7" s="92"/>
      <c r="Q7" s="92"/>
      <c r="R7" s="92"/>
      <c r="S7" s="92"/>
      <c r="T7" s="92"/>
      <c r="U7" s="92"/>
      <c r="Y7" s="88" t="s">
        <v>476</v>
      </c>
      <c r="Z7" s="88"/>
      <c r="AA7" s="88"/>
      <c r="AB7" s="88"/>
      <c r="AC7" s="88"/>
      <c r="AD7" s="88"/>
    </row>
    <row r="8" spans="1:33" ht="21.75" customHeight="1">
      <c r="A8" s="43" t="str">
        <f>人員一覧・判定!B7</f>
        <v>宮木 一寛</v>
      </c>
      <c r="G8" s="90" t="s">
        <v>478</v>
      </c>
      <c r="H8" s="90"/>
      <c r="I8" s="90"/>
      <c r="J8" s="90"/>
      <c r="K8" s="90"/>
      <c r="N8" s="10" t="s">
        <v>479</v>
      </c>
      <c r="O8" s="10"/>
      <c r="P8" s="10"/>
      <c r="Q8" s="10"/>
      <c r="R8" s="10"/>
      <c r="S8" s="10"/>
      <c r="T8" s="10"/>
      <c r="U8" s="10"/>
      <c r="Y8" s="88" t="s">
        <v>476</v>
      </c>
      <c r="Z8" s="88"/>
      <c r="AA8" s="88"/>
      <c r="AB8" s="88"/>
      <c r="AC8" s="88"/>
      <c r="AD8" s="88"/>
    </row>
    <row r="9" spans="1:33" ht="21.75" customHeight="1">
      <c r="A9" s="43" t="str">
        <f>人員一覧・判定!B8</f>
        <v>児玉 美樹</v>
      </c>
      <c r="D9" s="8" t="s">
        <v>480</v>
      </c>
      <c r="E9" s="8"/>
      <c r="F9" s="8"/>
      <c r="G9" s="90" t="s">
        <v>481</v>
      </c>
      <c r="H9" s="90"/>
      <c r="I9" s="90"/>
      <c r="J9" s="90"/>
      <c r="K9" s="90"/>
      <c r="N9" s="9" t="s">
        <v>482</v>
      </c>
      <c r="O9" s="9"/>
      <c r="P9" s="9"/>
      <c r="Q9" s="9"/>
      <c r="R9" s="9"/>
      <c r="S9" s="9"/>
      <c r="T9" s="9"/>
      <c r="U9" s="9"/>
      <c r="Y9" s="88" t="s">
        <v>476</v>
      </c>
      <c r="Z9" s="88"/>
      <c r="AA9" s="88"/>
      <c r="AB9" s="88"/>
      <c r="AC9" s="88"/>
      <c r="AD9" s="88"/>
    </row>
    <row r="10" spans="1:33" ht="21.75" customHeight="1">
      <c r="A10" s="43" t="str">
        <f>人員一覧・判定!B9</f>
        <v>荒木田 勝</v>
      </c>
      <c r="D10" s="7" t="s">
        <v>483</v>
      </c>
      <c r="E10" s="7"/>
      <c r="F10" s="7"/>
      <c r="G10" s="7" t="s">
        <v>484</v>
      </c>
      <c r="H10" s="7"/>
      <c r="I10" s="7"/>
      <c r="J10" s="7"/>
      <c r="K10" s="74" t="s">
        <v>485</v>
      </c>
      <c r="M10" s="92" t="s">
        <v>486</v>
      </c>
      <c r="N10" s="92"/>
      <c r="O10" s="92"/>
      <c r="P10" s="92"/>
      <c r="Q10" s="92"/>
      <c r="R10" s="92"/>
      <c r="S10" s="92"/>
      <c r="T10" s="92"/>
      <c r="U10" s="92"/>
      <c r="Y10" s="88" t="s">
        <v>476</v>
      </c>
      <c r="Z10" s="88"/>
      <c r="AA10" s="88"/>
      <c r="AB10" s="88"/>
      <c r="AC10" s="88"/>
      <c r="AD10" s="88"/>
    </row>
    <row r="11" spans="1:33" ht="21.75" customHeight="1">
      <c r="A11" s="43" t="str">
        <f>人員一覧・判定!B10</f>
        <v>吉田 真紀</v>
      </c>
      <c r="D11" s="9" t="s">
        <v>487</v>
      </c>
      <c r="E11" s="9"/>
      <c r="F11" s="9"/>
      <c r="G11" s="90" t="s">
        <v>488</v>
      </c>
      <c r="H11" s="90"/>
      <c r="I11" s="90"/>
      <c r="J11" s="90"/>
      <c r="K11" s="90"/>
      <c r="M11" s="92" t="s">
        <v>486</v>
      </c>
      <c r="N11" s="92"/>
      <c r="O11" s="92"/>
      <c r="P11" s="92"/>
      <c r="Q11" s="92"/>
      <c r="R11" s="92"/>
      <c r="S11" s="92"/>
      <c r="T11" s="92"/>
      <c r="U11" s="92"/>
      <c r="Y11" s="88" t="s">
        <v>476</v>
      </c>
      <c r="Z11" s="88"/>
      <c r="AA11" s="88"/>
      <c r="AB11" s="88"/>
      <c r="AC11" s="88"/>
      <c r="AD11" s="88"/>
    </row>
    <row r="12" spans="1:33" ht="21.75" customHeight="1">
      <c r="A12" s="43" t="str">
        <f>人員一覧・判定!B11</f>
        <v>藤中 純子</v>
      </c>
      <c r="D12" s="5" t="s">
        <v>489</v>
      </c>
      <c r="E12" s="5"/>
      <c r="F12" s="5"/>
      <c r="G12" s="5"/>
      <c r="H12" s="5"/>
      <c r="I12" s="5"/>
      <c r="J12" s="5"/>
      <c r="K12" s="5"/>
      <c r="N12" s="9" t="s">
        <v>490</v>
      </c>
      <c r="O12" s="9"/>
      <c r="P12" s="9"/>
      <c r="Q12" s="9"/>
      <c r="R12" s="9"/>
      <c r="S12" s="9"/>
      <c r="T12" s="9"/>
      <c r="U12" s="9"/>
      <c r="Y12" s="88" t="s">
        <v>476</v>
      </c>
      <c r="Z12" s="88"/>
      <c r="AA12" s="88"/>
      <c r="AB12" s="88"/>
      <c r="AC12" s="88"/>
      <c r="AD12" s="88"/>
    </row>
    <row r="13" spans="1:33" ht="21.75" customHeight="1">
      <c r="A13" s="43" t="str">
        <f>人員一覧・判定!B12</f>
        <v>田中 智美</v>
      </c>
      <c r="D13" s="5" t="s">
        <v>491</v>
      </c>
      <c r="E13" s="5"/>
      <c r="F13" s="5"/>
      <c r="G13" s="5"/>
      <c r="H13" s="5"/>
      <c r="I13" s="5"/>
      <c r="J13" s="5"/>
      <c r="K13" s="5"/>
      <c r="M13" s="92" t="s">
        <v>492</v>
      </c>
      <c r="N13" s="92"/>
      <c r="O13" s="92"/>
      <c r="P13" s="92"/>
      <c r="Q13" s="92"/>
      <c r="R13" s="92"/>
      <c r="S13" s="92"/>
      <c r="T13" s="92"/>
      <c r="U13" s="92"/>
      <c r="Y13" s="88" t="s">
        <v>476</v>
      </c>
      <c r="Z13" s="88"/>
      <c r="AA13" s="88"/>
      <c r="AB13" s="88"/>
      <c r="AC13" s="88"/>
      <c r="AD13" s="88"/>
    </row>
    <row r="14" spans="1:33" ht="21.75" customHeight="1">
      <c r="A14" s="43" t="str">
        <f>人員一覧・判定!B13</f>
        <v>池田　誠</v>
      </c>
      <c r="D14" s="8" t="s">
        <v>493</v>
      </c>
      <c r="E14" s="8"/>
      <c r="F14" s="8"/>
      <c r="G14" s="90" t="s">
        <v>286</v>
      </c>
      <c r="H14" s="90"/>
      <c r="I14" s="90"/>
      <c r="J14" s="90"/>
      <c r="N14" s="7" t="s">
        <v>494</v>
      </c>
      <c r="O14" s="7"/>
      <c r="P14" s="7"/>
      <c r="Q14" s="7"/>
      <c r="R14" s="7"/>
      <c r="S14" s="7"/>
      <c r="T14" s="7"/>
      <c r="U14" s="7"/>
      <c r="Y14" s="88" t="s">
        <v>476</v>
      </c>
      <c r="Z14" s="88"/>
      <c r="AA14" s="88"/>
      <c r="AB14" s="88"/>
      <c r="AC14" s="88"/>
      <c r="AD14" s="88"/>
    </row>
    <row r="15" spans="1:33" ht="21.75" customHeight="1">
      <c r="A15" s="69" t="str">
        <f>人員一覧・判定!C14</f>
        <v>Gerald Ejem Potutan</v>
      </c>
      <c r="D15" s="6" t="s">
        <v>495</v>
      </c>
      <c r="E15" s="6"/>
      <c r="F15" s="6"/>
      <c r="G15" s="90" t="s">
        <v>496</v>
      </c>
      <c r="H15" s="90"/>
      <c r="I15" s="90"/>
      <c r="J15" s="90"/>
      <c r="K15" s="74" t="s">
        <v>497</v>
      </c>
      <c r="N15" s="92" t="s">
        <v>475</v>
      </c>
      <c r="O15" s="92"/>
      <c r="P15" s="92"/>
      <c r="Q15" s="92"/>
      <c r="R15" s="92"/>
      <c r="S15" s="92"/>
      <c r="T15" s="92"/>
      <c r="U15" s="92"/>
      <c r="Y15" s="88" t="s">
        <v>476</v>
      </c>
      <c r="Z15" s="88"/>
      <c r="AA15" s="88"/>
      <c r="AB15" s="88"/>
      <c r="AC15" s="88"/>
      <c r="AD15" s="88"/>
    </row>
    <row r="16" spans="1:33" ht="21.75" customHeight="1">
      <c r="A16" s="43" t="str">
        <f>人員一覧・判定!C15</f>
        <v>Mizan Bisri</v>
      </c>
      <c r="D16" s="8" t="s">
        <v>498</v>
      </c>
      <c r="E16" s="8"/>
      <c r="F16" s="8"/>
      <c r="G16" s="90" t="s">
        <v>499</v>
      </c>
      <c r="H16" s="90"/>
      <c r="I16" s="90"/>
      <c r="J16" s="90"/>
      <c r="N16" s="92" t="s">
        <v>475</v>
      </c>
      <c r="O16" s="92"/>
      <c r="P16" s="92"/>
      <c r="Q16" s="92"/>
      <c r="R16" s="92"/>
      <c r="S16" s="92"/>
      <c r="T16" s="92"/>
      <c r="U16" s="92"/>
      <c r="Y16" s="88" t="s">
        <v>476</v>
      </c>
      <c r="Z16" s="88"/>
      <c r="AA16" s="88"/>
      <c r="AB16" s="88"/>
      <c r="AC16" s="88"/>
      <c r="AD16" s="88"/>
    </row>
    <row r="17" spans="1:33" ht="21.75" customHeight="1">
      <c r="A17" s="43" t="str">
        <f>人員一覧・判定!B16</f>
        <v>藤本 絢子</v>
      </c>
      <c r="D17" s="8" t="s">
        <v>500</v>
      </c>
      <c r="E17" s="8"/>
      <c r="F17" s="8"/>
      <c r="G17" s="8" t="s">
        <v>451</v>
      </c>
      <c r="H17" s="8"/>
      <c r="I17" s="8"/>
      <c r="J17" s="8"/>
      <c r="K17" s="8"/>
      <c r="N17" s="93" t="s">
        <v>501</v>
      </c>
      <c r="O17" s="93"/>
      <c r="P17" s="93"/>
      <c r="Q17" s="93"/>
      <c r="R17" s="93"/>
      <c r="S17" s="93"/>
      <c r="T17" s="93"/>
      <c r="U17" s="93"/>
      <c r="Y17" s="11" t="s">
        <v>502</v>
      </c>
      <c r="Z17" s="11"/>
      <c r="AA17" s="11"/>
      <c r="AB17" s="11"/>
      <c r="AC17" s="11"/>
      <c r="AD17" s="11"/>
    </row>
    <row r="18" spans="1:33" ht="21.75" customHeight="1">
      <c r="A18" s="43" t="str">
        <f>人員一覧・判定!B17</f>
        <v>塩見 有美</v>
      </c>
      <c r="D18" s="9" t="s">
        <v>503</v>
      </c>
      <c r="E18" s="9"/>
      <c r="F18" s="9"/>
      <c r="G18" s="91" t="s">
        <v>504</v>
      </c>
      <c r="H18" s="91"/>
      <c r="I18" s="91"/>
      <c r="J18" s="91"/>
      <c r="K18" s="91"/>
      <c r="N18" s="93" t="s">
        <v>505</v>
      </c>
      <c r="O18" s="93"/>
      <c r="P18" s="93"/>
      <c r="Q18" s="93"/>
      <c r="R18" s="93"/>
      <c r="S18" s="93"/>
      <c r="T18" s="93"/>
      <c r="U18" s="93"/>
      <c r="Y18" s="11" t="s">
        <v>506</v>
      </c>
      <c r="Z18" s="11"/>
      <c r="AA18" s="11"/>
      <c r="AB18" s="11"/>
      <c r="AC18" s="11"/>
      <c r="AD18" s="11"/>
    </row>
    <row r="19" spans="1:33" ht="14.25" customHeight="1">
      <c r="A19" s="26" t="s">
        <v>394</v>
      </c>
      <c r="B19" s="70">
        <f t="shared" ref="B19:AG19" si="0">COUNTA(B6:B18)</f>
        <v>0</v>
      </c>
      <c r="C19" s="70">
        <f t="shared" si="0"/>
        <v>0</v>
      </c>
      <c r="D19" s="70">
        <f t="shared" si="0"/>
        <v>10</v>
      </c>
      <c r="E19" s="70">
        <f t="shared" si="0"/>
        <v>0</v>
      </c>
      <c r="F19" s="70">
        <f t="shared" si="0"/>
        <v>0</v>
      </c>
      <c r="G19" s="70">
        <f t="shared" si="0"/>
        <v>11</v>
      </c>
      <c r="H19" s="70">
        <f t="shared" si="0"/>
        <v>0</v>
      </c>
      <c r="I19" s="70">
        <f t="shared" si="0"/>
        <v>0</v>
      </c>
      <c r="J19" s="70">
        <f t="shared" si="0"/>
        <v>0</v>
      </c>
      <c r="K19" s="70">
        <f t="shared" si="0"/>
        <v>2</v>
      </c>
      <c r="L19" s="70">
        <f t="shared" si="0"/>
        <v>0</v>
      </c>
      <c r="M19" s="70">
        <f t="shared" si="0"/>
        <v>3</v>
      </c>
      <c r="N19" s="70">
        <f t="shared" si="0"/>
        <v>10</v>
      </c>
      <c r="O19" s="70">
        <f t="shared" si="0"/>
        <v>0</v>
      </c>
      <c r="P19" s="70">
        <f t="shared" si="0"/>
        <v>0</v>
      </c>
      <c r="Q19" s="70">
        <f t="shared" si="0"/>
        <v>0</v>
      </c>
      <c r="R19" s="70">
        <f t="shared" si="0"/>
        <v>0</v>
      </c>
      <c r="S19" s="70">
        <f t="shared" si="0"/>
        <v>0</v>
      </c>
      <c r="T19" s="70">
        <f t="shared" si="0"/>
        <v>0</v>
      </c>
      <c r="U19" s="70">
        <f t="shared" si="0"/>
        <v>0</v>
      </c>
      <c r="V19" s="70">
        <f t="shared" si="0"/>
        <v>0</v>
      </c>
      <c r="W19" s="70">
        <f t="shared" si="0"/>
        <v>0</v>
      </c>
      <c r="X19" s="70">
        <f t="shared" si="0"/>
        <v>0</v>
      </c>
      <c r="Y19" s="70">
        <f t="shared" si="0"/>
        <v>13</v>
      </c>
      <c r="Z19" s="70">
        <f t="shared" si="0"/>
        <v>0</v>
      </c>
      <c r="AA19" s="70">
        <f t="shared" si="0"/>
        <v>0</v>
      </c>
      <c r="AB19" s="70">
        <f t="shared" si="0"/>
        <v>0</v>
      </c>
      <c r="AC19" s="70">
        <f t="shared" si="0"/>
        <v>0</v>
      </c>
      <c r="AD19" s="70">
        <f t="shared" si="0"/>
        <v>0</v>
      </c>
      <c r="AE19" s="70">
        <f t="shared" si="0"/>
        <v>0</v>
      </c>
      <c r="AF19" s="70">
        <f t="shared" si="0"/>
        <v>0</v>
      </c>
      <c r="AG19" s="70">
        <f t="shared" si="0"/>
        <v>0</v>
      </c>
    </row>
    <row r="20" spans="1:33" ht="14.25" customHeight="1">
      <c r="A20" s="71" t="s">
        <v>395</v>
      </c>
    </row>
    <row r="21" spans="1:33" ht="60" customHeight="1">
      <c r="A21" s="3" t="s">
        <v>507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33" ht="14.25" customHeight="1">
      <c r="A23" s="2" t="s">
        <v>397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33" ht="21.75" customHeight="1">
      <c r="A24" s="60" t="str">
        <f>人員一覧・判定!B19</f>
        <v>中村</v>
      </c>
      <c r="D24" s="1" t="s">
        <v>458</v>
      </c>
      <c r="E24" s="1"/>
      <c r="F24" s="1"/>
      <c r="G24" s="1" t="s">
        <v>508</v>
      </c>
      <c r="H24" s="1"/>
      <c r="I24" s="1"/>
      <c r="J24" s="1"/>
      <c r="K24" s="1"/>
      <c r="N24" s="1" t="s">
        <v>509</v>
      </c>
      <c r="O24" s="1"/>
    </row>
    <row r="25" spans="1:33" ht="21.75" customHeight="1">
      <c r="A25" s="60" t="str">
        <f>人員一覧・判定!B20</f>
        <v>山口</v>
      </c>
      <c r="D25" s="85" t="s">
        <v>461</v>
      </c>
      <c r="E25" s="85"/>
      <c r="F25" s="85"/>
      <c r="G25" s="1" t="s">
        <v>510</v>
      </c>
      <c r="H25" s="1"/>
      <c r="I25" s="1"/>
      <c r="J25" s="1"/>
      <c r="K25" s="1"/>
      <c r="N25" s="85" t="s">
        <v>337</v>
      </c>
      <c r="O25" s="85"/>
      <c r="P25" s="85"/>
      <c r="Q25" s="85"/>
      <c r="R25" s="85"/>
      <c r="S25" s="85"/>
    </row>
    <row r="26" spans="1:33" ht="21.75" customHeight="1">
      <c r="A26" s="60" t="str">
        <f>人員一覧・判定!B22</f>
        <v>寺坂　佳津子</v>
      </c>
      <c r="G26" s="86" t="s">
        <v>339</v>
      </c>
      <c r="H26" s="86"/>
      <c r="I26" s="86"/>
      <c r="J26" s="86"/>
      <c r="K26" s="86"/>
    </row>
    <row r="27" spans="1:33" ht="21.75" customHeight="1">
      <c r="A27" s="60" t="str">
        <f>人員一覧・判定!B21</f>
        <v>伊達 孝</v>
      </c>
      <c r="D27" s="87" t="s">
        <v>465</v>
      </c>
      <c r="E27" s="87"/>
      <c r="F27" s="87"/>
    </row>
    <row r="28" spans="1:33" ht="14.25" customHeight="1">
      <c r="A28" s="71" t="s">
        <v>402</v>
      </c>
    </row>
  </sheetData>
  <mergeCells count="63">
    <mergeCell ref="G26:K26"/>
    <mergeCell ref="D27:F27"/>
    <mergeCell ref="A23:L23"/>
    <mergeCell ref="D24:F24"/>
    <mergeCell ref="G24:K24"/>
    <mergeCell ref="N24:O24"/>
    <mergeCell ref="D25:F25"/>
    <mergeCell ref="G25:K25"/>
    <mergeCell ref="N25:S25"/>
    <mergeCell ref="D18:F18"/>
    <mergeCell ref="G18:K18"/>
    <mergeCell ref="N18:U18"/>
    <mergeCell ref="Y18:AD18"/>
    <mergeCell ref="A21:T21"/>
    <mergeCell ref="D16:F16"/>
    <mergeCell ref="G16:J16"/>
    <mergeCell ref="N16:U16"/>
    <mergeCell ref="Y16:AD16"/>
    <mergeCell ref="D17:F17"/>
    <mergeCell ref="G17:K17"/>
    <mergeCell ref="N17:U17"/>
    <mergeCell ref="Y17:AD17"/>
    <mergeCell ref="D14:F14"/>
    <mergeCell ref="G14:J14"/>
    <mergeCell ref="N14:U14"/>
    <mergeCell ref="Y14:AD14"/>
    <mergeCell ref="D15:F15"/>
    <mergeCell ref="G15:J15"/>
    <mergeCell ref="N15:U15"/>
    <mergeCell ref="Y15:AD15"/>
    <mergeCell ref="D12:K12"/>
    <mergeCell ref="N12:U12"/>
    <mergeCell ref="Y12:AD12"/>
    <mergeCell ref="D13:K13"/>
    <mergeCell ref="M13:U13"/>
    <mergeCell ref="Y13:AD13"/>
    <mergeCell ref="D10:F10"/>
    <mergeCell ref="G10:J10"/>
    <mergeCell ref="M10:U10"/>
    <mergeCell ref="Y10:AD10"/>
    <mergeCell ref="D11:F11"/>
    <mergeCell ref="G11:K11"/>
    <mergeCell ref="M11:U11"/>
    <mergeCell ref="Y11:AD11"/>
    <mergeCell ref="G8:K8"/>
    <mergeCell ref="N8:U8"/>
    <mergeCell ref="Y8:AD8"/>
    <mergeCell ref="D9:F9"/>
    <mergeCell ref="G9:K9"/>
    <mergeCell ref="N9:U9"/>
    <mergeCell ref="Y9:AD9"/>
    <mergeCell ref="AB4:AD4"/>
    <mergeCell ref="G6:K6"/>
    <mergeCell ref="N6:U6"/>
    <mergeCell ref="Y6:AD6"/>
    <mergeCell ref="G7:K7"/>
    <mergeCell ref="N7:U7"/>
    <mergeCell ref="Y7:AD7"/>
    <mergeCell ref="D4:F4"/>
    <mergeCell ref="G4:J4"/>
    <mergeCell ref="L4:M4"/>
    <mergeCell ref="N4:U4"/>
    <mergeCell ref="Y4:AA4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5" sqref="A15"/>
    </sheetView>
  </sheetViews>
  <sheetFormatPr defaultColWidth="8.5546875" defaultRowHeight="14.4"/>
  <cols>
    <col min="1" max="1" width="14" customWidth="1"/>
    <col min="2" max="33" width="4.21875" customWidth="1"/>
  </cols>
  <sheetData>
    <row r="1" spans="1:33" ht="15" customHeight="1">
      <c r="A1" s="64" t="s">
        <v>511</v>
      </c>
    </row>
    <row r="3" spans="1:33" ht="14.25" customHeight="1">
      <c r="B3" s="65" t="s">
        <v>345</v>
      </c>
      <c r="C3" s="65"/>
      <c r="D3" s="65" t="s">
        <v>346</v>
      </c>
      <c r="E3" s="65"/>
      <c r="F3" s="65" t="s">
        <v>347</v>
      </c>
      <c r="G3" s="65"/>
      <c r="H3" s="65" t="s">
        <v>348</v>
      </c>
      <c r="I3" s="65"/>
      <c r="J3" s="65" t="s">
        <v>349</v>
      </c>
      <c r="K3" s="65"/>
      <c r="L3" s="65" t="s">
        <v>350</v>
      </c>
      <c r="M3" s="65"/>
      <c r="N3" s="65" t="s">
        <v>351</v>
      </c>
      <c r="O3" s="65"/>
      <c r="P3" s="65" t="s">
        <v>352</v>
      </c>
      <c r="Q3" s="65"/>
      <c r="R3" s="65" t="s">
        <v>353</v>
      </c>
      <c r="S3" s="65"/>
      <c r="T3" s="65" t="s">
        <v>354</v>
      </c>
      <c r="U3" s="65"/>
      <c r="V3" s="65" t="s">
        <v>355</v>
      </c>
      <c r="W3" s="65"/>
      <c r="X3" s="65" t="s">
        <v>356</v>
      </c>
      <c r="Y3" s="65"/>
      <c r="Z3" s="65" t="s">
        <v>357</v>
      </c>
      <c r="AA3" s="65"/>
      <c r="AB3" s="65" t="s">
        <v>358</v>
      </c>
      <c r="AC3" s="65"/>
      <c r="AD3" s="65" t="s">
        <v>359</v>
      </c>
      <c r="AE3" s="65"/>
      <c r="AF3" s="65" t="s">
        <v>360</v>
      </c>
      <c r="AG3" s="65"/>
    </row>
    <row r="4" spans="1:33" ht="30" customHeight="1">
      <c r="A4" s="66" t="s">
        <v>185</v>
      </c>
      <c r="F4" s="88" t="s">
        <v>512</v>
      </c>
      <c r="G4" s="88"/>
      <c r="H4" s="88"/>
      <c r="I4" s="88"/>
      <c r="J4" s="88"/>
      <c r="K4" s="88"/>
      <c r="L4" s="88" t="s">
        <v>471</v>
      </c>
      <c r="M4" s="88"/>
      <c r="N4" s="88"/>
      <c r="O4" s="88" t="s">
        <v>513</v>
      </c>
      <c r="P4" s="88"/>
      <c r="R4" s="88" t="s">
        <v>514</v>
      </c>
      <c r="S4" s="88"/>
      <c r="T4" s="88"/>
      <c r="U4" s="72" t="s">
        <v>515</v>
      </c>
      <c r="V4" s="11" t="s">
        <v>516</v>
      </c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3" ht="3" customHeight="1">
      <c r="A5" s="66"/>
      <c r="F5" s="72"/>
      <c r="G5" s="72"/>
      <c r="H5" s="72"/>
      <c r="I5" s="72"/>
      <c r="J5" s="72"/>
      <c r="K5" s="72"/>
      <c r="L5" s="73"/>
      <c r="M5" s="73"/>
      <c r="N5" s="73"/>
      <c r="O5" s="72"/>
      <c r="P5" s="72"/>
      <c r="R5" s="72"/>
      <c r="S5" s="72"/>
      <c r="T5" s="72"/>
      <c r="U5" s="73"/>
      <c r="V5" s="68"/>
      <c r="W5" s="68"/>
      <c r="X5" s="68"/>
      <c r="Y5" s="68"/>
      <c r="Z5" s="68"/>
      <c r="AA5" s="68"/>
      <c r="AB5" s="68"/>
      <c r="AC5" s="68"/>
      <c r="AD5" s="67"/>
      <c r="AE5" s="67"/>
      <c r="AF5" s="67"/>
    </row>
    <row r="6" spans="1:33" ht="21.75" customHeight="1">
      <c r="A6" s="43" t="str">
        <f>人員一覧・判定!B5</f>
        <v>三浦 房紀</v>
      </c>
      <c r="F6" s="90" t="s">
        <v>517</v>
      </c>
      <c r="G6" s="90"/>
      <c r="H6" s="90"/>
      <c r="I6" s="90"/>
      <c r="J6" s="90"/>
      <c r="K6" s="90"/>
      <c r="O6" s="90" t="s">
        <v>518</v>
      </c>
      <c r="P6" s="90"/>
      <c r="Q6" s="90"/>
      <c r="R6" s="90"/>
      <c r="S6" s="90"/>
      <c r="T6" s="90"/>
      <c r="AD6" s="94" t="s">
        <v>519</v>
      </c>
      <c r="AE6" s="94"/>
      <c r="AF6" s="94"/>
    </row>
    <row r="7" spans="1:33" ht="21.75" customHeight="1">
      <c r="A7" s="43" t="str">
        <f>人員一覧・判定!B6</f>
        <v>北本 政行</v>
      </c>
      <c r="F7" s="90" t="s">
        <v>517</v>
      </c>
      <c r="G7" s="90"/>
      <c r="H7" s="90"/>
      <c r="I7" s="90"/>
      <c r="J7" s="90"/>
      <c r="K7" s="90"/>
      <c r="O7" s="90" t="s">
        <v>518</v>
      </c>
      <c r="P7" s="90"/>
      <c r="Q7" s="90"/>
      <c r="R7" s="90"/>
      <c r="S7" s="90"/>
      <c r="T7" s="90"/>
      <c r="AC7" s="94" t="s">
        <v>520</v>
      </c>
      <c r="AD7" s="94"/>
      <c r="AE7" s="94"/>
      <c r="AF7" s="94"/>
    </row>
    <row r="8" spans="1:33" ht="21.75" customHeight="1">
      <c r="A8" s="43" t="str">
        <f>人員一覧・判定!B7</f>
        <v>宮木 一寛</v>
      </c>
      <c r="F8" s="89" t="s">
        <v>521</v>
      </c>
      <c r="G8" s="89"/>
      <c r="H8" s="89"/>
      <c r="I8" s="89"/>
      <c r="J8" s="89"/>
      <c r="K8" s="89"/>
      <c r="O8" s="90" t="s">
        <v>518</v>
      </c>
      <c r="P8" s="90"/>
      <c r="Q8" s="90"/>
      <c r="R8" s="90"/>
      <c r="S8" s="90"/>
      <c r="T8" s="90"/>
      <c r="V8" s="9" t="s">
        <v>522</v>
      </c>
      <c r="W8" s="9"/>
      <c r="X8" s="9"/>
      <c r="Y8" s="9"/>
    </row>
    <row r="9" spans="1:33" ht="21.75" customHeight="1">
      <c r="A9" s="43" t="str">
        <f>人員一覧・判定!B8</f>
        <v>児玉 美樹</v>
      </c>
      <c r="F9" s="90" t="s">
        <v>517</v>
      </c>
      <c r="G9" s="90"/>
      <c r="H9" s="90"/>
      <c r="I9" s="90"/>
      <c r="J9" s="90"/>
      <c r="K9" s="90"/>
      <c r="O9" s="90" t="s">
        <v>288</v>
      </c>
      <c r="P9" s="90"/>
      <c r="Q9" s="90"/>
      <c r="R9" s="90"/>
      <c r="S9" s="90"/>
      <c r="T9" s="90"/>
      <c r="V9" s="5" t="s">
        <v>523</v>
      </c>
      <c r="W9" s="5"/>
      <c r="X9" s="5"/>
      <c r="Y9" s="5"/>
      <c r="Z9" s="5"/>
      <c r="AA9" s="5"/>
    </row>
    <row r="10" spans="1:33" ht="21.75" customHeight="1">
      <c r="A10" s="43" t="str">
        <f>人員一覧・判定!B9</f>
        <v>荒木田 勝</v>
      </c>
      <c r="F10" s="90" t="s">
        <v>524</v>
      </c>
      <c r="G10" s="90"/>
      <c r="H10" s="90"/>
      <c r="I10" s="90"/>
      <c r="J10" s="90"/>
      <c r="K10" s="90"/>
      <c r="O10" s="90" t="s">
        <v>518</v>
      </c>
      <c r="P10" s="90"/>
      <c r="Q10" s="90"/>
      <c r="R10" s="90"/>
      <c r="S10" s="90"/>
      <c r="T10" s="90"/>
      <c r="V10" s="9" t="s">
        <v>525</v>
      </c>
      <c r="W10" s="9"/>
      <c r="X10" s="9"/>
      <c r="Y10" s="9"/>
      <c r="AA10" s="94" t="s">
        <v>526</v>
      </c>
      <c r="AB10" s="94"/>
      <c r="AC10" s="94"/>
      <c r="AD10" s="94"/>
      <c r="AE10" s="94"/>
      <c r="AF10" s="94"/>
    </row>
    <row r="11" spans="1:33" ht="21.75" customHeight="1">
      <c r="A11" s="43" t="str">
        <f>人員一覧・判定!B10</f>
        <v>吉田 真紀</v>
      </c>
      <c r="F11" s="90" t="s">
        <v>517</v>
      </c>
      <c r="G11" s="90"/>
      <c r="H11" s="90"/>
      <c r="I11" s="90"/>
      <c r="J11" s="90"/>
      <c r="K11" s="90"/>
      <c r="O11" s="90" t="s">
        <v>527</v>
      </c>
      <c r="P11" s="90"/>
      <c r="Q11" s="90"/>
      <c r="R11" s="90"/>
      <c r="S11" s="90"/>
      <c r="T11" s="90"/>
      <c r="V11" s="5" t="s">
        <v>528</v>
      </c>
      <c r="W11" s="5"/>
      <c r="X11" s="5"/>
      <c r="Y11" s="5"/>
      <c r="AB11" s="94" t="s">
        <v>529</v>
      </c>
      <c r="AC11" s="94"/>
      <c r="AD11" s="94"/>
      <c r="AE11" s="94"/>
      <c r="AF11" s="94"/>
    </row>
    <row r="12" spans="1:33" ht="21.75" customHeight="1">
      <c r="A12" s="43" t="str">
        <f>人員一覧・判定!B11</f>
        <v>藤中 純子</v>
      </c>
      <c r="F12" s="5" t="s">
        <v>530</v>
      </c>
      <c r="G12" s="5"/>
      <c r="H12" s="5"/>
      <c r="I12" s="5"/>
      <c r="J12" s="5"/>
      <c r="K12" s="5"/>
      <c r="O12" s="5" t="s">
        <v>531</v>
      </c>
      <c r="P12" s="5"/>
      <c r="Q12" s="5"/>
      <c r="R12" s="5"/>
      <c r="S12" s="5"/>
      <c r="T12" s="5"/>
      <c r="V12" s="4" t="s">
        <v>532</v>
      </c>
      <c r="W12" s="4"/>
      <c r="X12" s="4"/>
      <c r="Y12" s="4"/>
      <c r="Z12" s="4"/>
      <c r="AA12" s="4"/>
      <c r="AB12" s="4"/>
      <c r="AC12" s="4"/>
    </row>
    <row r="13" spans="1:33" ht="21.75" customHeight="1">
      <c r="A13" s="43" t="str">
        <f>人員一覧・判定!B12</f>
        <v>田中 智美</v>
      </c>
      <c r="F13" s="5" t="s">
        <v>438</v>
      </c>
      <c r="G13" s="5"/>
      <c r="H13" s="5"/>
      <c r="I13" s="5"/>
      <c r="J13" s="5"/>
      <c r="K13" s="5"/>
      <c r="O13" s="5" t="s">
        <v>531</v>
      </c>
      <c r="P13" s="5"/>
      <c r="Q13" s="5"/>
      <c r="R13" s="5"/>
      <c r="S13" s="5"/>
      <c r="T13" s="5"/>
      <c r="V13" s="4" t="s">
        <v>533</v>
      </c>
      <c r="W13" s="4"/>
      <c r="X13" s="4"/>
      <c r="Y13" s="4"/>
      <c r="Z13" s="4"/>
      <c r="AA13" s="4"/>
      <c r="AB13" s="4"/>
      <c r="AC13" s="4"/>
    </row>
    <row r="14" spans="1:33" ht="21.75" customHeight="1">
      <c r="A14" s="43" t="str">
        <f>人員一覧・判定!B13</f>
        <v>池田　誠</v>
      </c>
      <c r="F14" s="90" t="s">
        <v>517</v>
      </c>
      <c r="G14" s="90"/>
      <c r="H14" s="90"/>
      <c r="I14" s="90"/>
      <c r="J14" s="90"/>
      <c r="K14" s="90"/>
      <c r="O14" s="7" t="s">
        <v>534</v>
      </c>
      <c r="P14" s="7"/>
      <c r="R14" s="90" t="s">
        <v>535</v>
      </c>
      <c r="S14" s="90"/>
      <c r="T14" s="90"/>
      <c r="V14" s="8" t="s">
        <v>536</v>
      </c>
      <c r="W14" s="8"/>
      <c r="X14" s="8"/>
      <c r="Y14" s="8"/>
      <c r="AE14" s="95" t="s">
        <v>537</v>
      </c>
      <c r="AF14" s="95"/>
    </row>
    <row r="15" spans="1:33" ht="21.75" customHeight="1">
      <c r="A15" s="69" t="str">
        <f>人員一覧・判定!C14</f>
        <v>Gerald Ejem Potutan</v>
      </c>
      <c r="F15" s="90" t="s">
        <v>538</v>
      </c>
      <c r="G15" s="90"/>
      <c r="H15" s="90"/>
      <c r="I15" s="90"/>
      <c r="J15" s="90"/>
      <c r="K15" s="90"/>
      <c r="O15" s="90" t="s">
        <v>527</v>
      </c>
      <c r="P15" s="90"/>
      <c r="Q15" s="90"/>
      <c r="R15" s="90"/>
      <c r="S15" s="90"/>
      <c r="T15" s="90"/>
      <c r="AE15" s="95" t="s">
        <v>537</v>
      </c>
      <c r="AF15" s="95"/>
    </row>
    <row r="16" spans="1:33" ht="21.75" customHeight="1">
      <c r="A16" s="43" t="str">
        <f>人員一覧・判定!C15</f>
        <v>Mizan Bisri</v>
      </c>
      <c r="F16" s="90" t="s">
        <v>517</v>
      </c>
      <c r="G16" s="90"/>
      <c r="H16" s="90"/>
      <c r="I16" s="90"/>
      <c r="J16" s="90"/>
      <c r="K16" s="90"/>
      <c r="O16" s="90" t="s">
        <v>527</v>
      </c>
      <c r="P16" s="90"/>
      <c r="Q16" s="90"/>
      <c r="R16" s="90"/>
      <c r="S16" s="90"/>
      <c r="T16" s="90"/>
    </row>
    <row r="17" spans="1:33" ht="21.75" customHeight="1">
      <c r="A17" s="43" t="str">
        <f>人員一覧・判定!B16</f>
        <v>藤本 絢子</v>
      </c>
      <c r="F17" s="8" t="s">
        <v>450</v>
      </c>
      <c r="G17" s="8"/>
      <c r="H17" s="8"/>
      <c r="I17" s="8"/>
      <c r="J17" s="8"/>
      <c r="K17" s="8"/>
      <c r="O17" s="8" t="s">
        <v>539</v>
      </c>
      <c r="P17" s="8"/>
      <c r="Q17" s="8"/>
      <c r="R17" s="8"/>
      <c r="S17" s="8"/>
      <c r="T17" s="8"/>
      <c r="V17" s="5" t="s">
        <v>540</v>
      </c>
      <c r="W17" s="5"/>
      <c r="X17" s="5"/>
      <c r="Y17" s="5"/>
      <c r="Z17" s="5"/>
      <c r="AA17" s="5"/>
    </row>
    <row r="18" spans="1:33" ht="21.75" customHeight="1">
      <c r="A18" s="43" t="str">
        <f>人員一覧・判定!B17</f>
        <v>塩見 有美</v>
      </c>
      <c r="F18" s="91" t="s">
        <v>541</v>
      </c>
      <c r="G18" s="91"/>
      <c r="H18" s="91"/>
      <c r="I18" s="91"/>
      <c r="J18" s="91"/>
      <c r="K18" s="91"/>
      <c r="O18" s="5" t="s">
        <v>453</v>
      </c>
      <c r="P18" s="5"/>
      <c r="Q18" s="5"/>
      <c r="R18" s="5"/>
      <c r="S18" s="5"/>
      <c r="T18" s="5"/>
      <c r="V18" s="5" t="s">
        <v>540</v>
      </c>
      <c r="W18" s="5"/>
      <c r="X18" s="5"/>
      <c r="Y18" s="5"/>
      <c r="Z18" s="5"/>
      <c r="AA18" s="5"/>
    </row>
    <row r="19" spans="1:33" ht="14.25" customHeight="1">
      <c r="A19" s="26" t="s">
        <v>394</v>
      </c>
      <c r="B19" s="70">
        <f t="shared" ref="B19:AG19" si="0">COUNTA(B6:B18)</f>
        <v>0</v>
      </c>
      <c r="C19" s="70">
        <f t="shared" si="0"/>
        <v>0</v>
      </c>
      <c r="D19" s="70">
        <f t="shared" si="0"/>
        <v>0</v>
      </c>
      <c r="E19" s="70">
        <f t="shared" si="0"/>
        <v>0</v>
      </c>
      <c r="F19" s="70">
        <f t="shared" si="0"/>
        <v>13</v>
      </c>
      <c r="G19" s="70">
        <f t="shared" si="0"/>
        <v>0</v>
      </c>
      <c r="H19" s="70">
        <f t="shared" si="0"/>
        <v>0</v>
      </c>
      <c r="I19" s="70">
        <f t="shared" si="0"/>
        <v>0</v>
      </c>
      <c r="J19" s="70">
        <f t="shared" si="0"/>
        <v>0</v>
      </c>
      <c r="K19" s="70">
        <f t="shared" si="0"/>
        <v>0</v>
      </c>
      <c r="L19" s="70">
        <f t="shared" si="0"/>
        <v>0</v>
      </c>
      <c r="M19" s="70">
        <f t="shared" si="0"/>
        <v>0</v>
      </c>
      <c r="N19" s="70">
        <f t="shared" si="0"/>
        <v>0</v>
      </c>
      <c r="O19" s="70">
        <f t="shared" si="0"/>
        <v>13</v>
      </c>
      <c r="P19" s="70">
        <f t="shared" si="0"/>
        <v>0</v>
      </c>
      <c r="Q19" s="70">
        <f t="shared" si="0"/>
        <v>0</v>
      </c>
      <c r="R19" s="70">
        <f t="shared" si="0"/>
        <v>1</v>
      </c>
      <c r="S19" s="70">
        <f t="shared" si="0"/>
        <v>0</v>
      </c>
      <c r="T19" s="70">
        <f t="shared" si="0"/>
        <v>0</v>
      </c>
      <c r="U19" s="70">
        <f t="shared" si="0"/>
        <v>0</v>
      </c>
      <c r="V19" s="70">
        <f t="shared" si="0"/>
        <v>9</v>
      </c>
      <c r="W19" s="70">
        <f t="shared" si="0"/>
        <v>0</v>
      </c>
      <c r="X19" s="70">
        <f t="shared" si="0"/>
        <v>0</v>
      </c>
      <c r="Y19" s="70">
        <f t="shared" si="0"/>
        <v>0</v>
      </c>
      <c r="Z19" s="70">
        <f t="shared" si="0"/>
        <v>0</v>
      </c>
      <c r="AA19" s="70">
        <f t="shared" si="0"/>
        <v>1</v>
      </c>
      <c r="AB19" s="70">
        <f t="shared" si="0"/>
        <v>1</v>
      </c>
      <c r="AC19" s="70">
        <f t="shared" si="0"/>
        <v>1</v>
      </c>
      <c r="AD19" s="70">
        <f t="shared" si="0"/>
        <v>1</v>
      </c>
      <c r="AE19" s="70">
        <f t="shared" si="0"/>
        <v>2</v>
      </c>
      <c r="AF19" s="70">
        <f t="shared" si="0"/>
        <v>0</v>
      </c>
      <c r="AG19" s="70">
        <f t="shared" si="0"/>
        <v>0</v>
      </c>
    </row>
    <row r="20" spans="1:33" ht="14.25" customHeight="1">
      <c r="A20" s="71" t="s">
        <v>395</v>
      </c>
    </row>
    <row r="21" spans="1:33" ht="60" customHeight="1">
      <c r="A21" s="3" t="s">
        <v>542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3" spans="1:33" ht="14.25" customHeight="1">
      <c r="A23" s="2" t="s">
        <v>397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33" ht="21.75" customHeight="1">
      <c r="A24" s="60" t="str">
        <f>人員一覧・判定!B19</f>
        <v>中村</v>
      </c>
      <c r="F24" s="85" t="s">
        <v>543</v>
      </c>
      <c r="G24" s="85"/>
      <c r="H24" s="85"/>
      <c r="I24" s="85"/>
      <c r="J24" s="85"/>
      <c r="K24" s="85"/>
    </row>
    <row r="25" spans="1:33" ht="21.75" customHeight="1">
      <c r="A25" s="60" t="str">
        <f>人員一覧・判定!B20</f>
        <v>山口</v>
      </c>
      <c r="F25" s="85" t="s">
        <v>544</v>
      </c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</row>
    <row r="26" spans="1:33" ht="14.25" customHeight="1">
      <c r="A26" s="71" t="s">
        <v>402</v>
      </c>
    </row>
  </sheetData>
  <mergeCells count="51">
    <mergeCell ref="A21:T21"/>
    <mergeCell ref="A23:L23"/>
    <mergeCell ref="F24:K24"/>
    <mergeCell ref="F25:S25"/>
    <mergeCell ref="F17:K17"/>
    <mergeCell ref="O17:T17"/>
    <mergeCell ref="V17:AA17"/>
    <mergeCell ref="F18:K18"/>
    <mergeCell ref="O18:T18"/>
    <mergeCell ref="V18:AA18"/>
    <mergeCell ref="F15:K15"/>
    <mergeCell ref="O15:T15"/>
    <mergeCell ref="AE15:AF15"/>
    <mergeCell ref="F16:K16"/>
    <mergeCell ref="O16:T16"/>
    <mergeCell ref="F14:K14"/>
    <mergeCell ref="O14:P14"/>
    <mergeCell ref="R14:T14"/>
    <mergeCell ref="V14:Y14"/>
    <mergeCell ref="AE14:AF14"/>
    <mergeCell ref="F12:K12"/>
    <mergeCell ref="O12:T12"/>
    <mergeCell ref="V12:AC12"/>
    <mergeCell ref="F13:K13"/>
    <mergeCell ref="O13:T13"/>
    <mergeCell ref="V13:AC13"/>
    <mergeCell ref="F10:K10"/>
    <mergeCell ref="O10:T10"/>
    <mergeCell ref="V10:Y10"/>
    <mergeCell ref="AA10:AF10"/>
    <mergeCell ref="F11:K11"/>
    <mergeCell ref="O11:T11"/>
    <mergeCell ref="V11:Y11"/>
    <mergeCell ref="AB11:AF11"/>
    <mergeCell ref="F8:K8"/>
    <mergeCell ref="O8:T8"/>
    <mergeCell ref="V8:Y8"/>
    <mergeCell ref="F9:K9"/>
    <mergeCell ref="O9:T9"/>
    <mergeCell ref="V9:AA9"/>
    <mergeCell ref="F6:K6"/>
    <mergeCell ref="O6:T6"/>
    <mergeCell ref="AD6:AF6"/>
    <mergeCell ref="F7:K7"/>
    <mergeCell ref="O7:T7"/>
    <mergeCell ref="AC7:AF7"/>
    <mergeCell ref="F4:K4"/>
    <mergeCell ref="L4:N4"/>
    <mergeCell ref="O4:P4"/>
    <mergeCell ref="R4:T4"/>
    <mergeCell ref="V4:AF4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zoomScaleNormal="100" workbookViewId="0">
      <selection activeCell="G13" sqref="G13"/>
    </sheetView>
  </sheetViews>
  <sheetFormatPr defaultColWidth="8.5546875" defaultRowHeight="14.4"/>
  <cols>
    <col min="1" max="2" width="22" customWidth="1"/>
    <col min="3" max="3" width="10" customWidth="1"/>
    <col min="4" max="4" width="30" customWidth="1"/>
    <col min="5" max="5" width="8" customWidth="1"/>
    <col min="6" max="7" width="44" customWidth="1"/>
  </cols>
  <sheetData>
    <row r="1" spans="1:7" ht="15" customHeight="1">
      <c r="A1" s="75" t="s">
        <v>545</v>
      </c>
    </row>
    <row r="2" spans="1:7" ht="31.5" customHeight="1">
      <c r="A2" s="14" t="s">
        <v>546</v>
      </c>
      <c r="B2" s="14"/>
      <c r="C2" s="14"/>
      <c r="D2" s="14"/>
      <c r="E2" s="14"/>
      <c r="F2" s="14"/>
      <c r="G2" s="14"/>
    </row>
    <row r="4" spans="1:7" ht="26.25" customHeight="1">
      <c r="A4" s="17" t="s">
        <v>547</v>
      </c>
      <c r="B4" s="17" t="s">
        <v>548</v>
      </c>
      <c r="C4" s="17" t="s">
        <v>549</v>
      </c>
      <c r="D4" s="17" t="s">
        <v>550</v>
      </c>
      <c r="E4" s="17" t="s">
        <v>551</v>
      </c>
      <c r="F4" s="17" t="s">
        <v>552</v>
      </c>
      <c r="G4" s="17" t="s">
        <v>553</v>
      </c>
    </row>
    <row r="5" spans="1:7" ht="90" customHeight="1">
      <c r="A5" s="19" t="s">
        <v>554</v>
      </c>
      <c r="B5" s="18" t="s">
        <v>555</v>
      </c>
      <c r="C5" s="18" t="s">
        <v>556</v>
      </c>
      <c r="D5" s="19" t="s">
        <v>557</v>
      </c>
      <c r="E5" s="76" t="s">
        <v>558</v>
      </c>
      <c r="F5" s="18" t="s">
        <v>559</v>
      </c>
      <c r="G5" s="19" t="s">
        <v>560</v>
      </c>
    </row>
    <row r="6" spans="1:7" ht="90" customHeight="1">
      <c r="A6" s="18" t="s">
        <v>561</v>
      </c>
      <c r="B6" s="18" t="s">
        <v>562</v>
      </c>
      <c r="C6" s="18" t="s">
        <v>563</v>
      </c>
      <c r="D6" s="19" t="s">
        <v>564</v>
      </c>
      <c r="E6" s="76" t="s">
        <v>558</v>
      </c>
      <c r="F6" s="19" t="s">
        <v>565</v>
      </c>
      <c r="G6" s="19" t="s">
        <v>566</v>
      </c>
    </row>
    <row r="7" spans="1:7" ht="90" customHeight="1">
      <c r="A7" s="19" t="s">
        <v>567</v>
      </c>
      <c r="B7" s="18" t="s">
        <v>568</v>
      </c>
      <c r="C7" s="18" t="s">
        <v>569</v>
      </c>
      <c r="D7" s="18" t="s">
        <v>570</v>
      </c>
      <c r="E7" s="76" t="s">
        <v>558</v>
      </c>
      <c r="F7" s="18" t="s">
        <v>571</v>
      </c>
      <c r="G7" s="21" t="s">
        <v>572</v>
      </c>
    </row>
    <row r="8" spans="1:7" ht="90" customHeight="1">
      <c r="A8" s="19" t="s">
        <v>573</v>
      </c>
      <c r="B8" s="18" t="s">
        <v>574</v>
      </c>
      <c r="C8" s="18" t="s">
        <v>575</v>
      </c>
      <c r="D8" s="18" t="s">
        <v>576</v>
      </c>
      <c r="E8" s="77" t="s">
        <v>577</v>
      </c>
      <c r="F8" s="18" t="s">
        <v>578</v>
      </c>
      <c r="G8" s="19" t="s">
        <v>579</v>
      </c>
    </row>
    <row r="9" spans="1:7" ht="90" customHeight="1">
      <c r="A9" s="18" t="s">
        <v>580</v>
      </c>
      <c r="B9" s="18" t="s">
        <v>581</v>
      </c>
      <c r="C9" s="18" t="s">
        <v>582</v>
      </c>
      <c r="D9" s="19" t="s">
        <v>583</v>
      </c>
      <c r="E9" s="76" t="s">
        <v>558</v>
      </c>
      <c r="F9" s="21" t="s">
        <v>584</v>
      </c>
      <c r="G9" s="21" t="s">
        <v>585</v>
      </c>
    </row>
    <row r="10" spans="1:7" ht="90" customHeight="1">
      <c r="A10" s="19" t="s">
        <v>586</v>
      </c>
      <c r="B10" s="19" t="s">
        <v>587</v>
      </c>
      <c r="C10" s="18" t="s">
        <v>588</v>
      </c>
      <c r="D10" s="19" t="s">
        <v>589</v>
      </c>
      <c r="E10" s="77" t="s">
        <v>577</v>
      </c>
      <c r="F10" s="19" t="s">
        <v>590</v>
      </c>
      <c r="G10" s="19" t="s">
        <v>591</v>
      </c>
    </row>
    <row r="11" spans="1:7" ht="90" customHeight="1">
      <c r="A11" s="18" t="s">
        <v>592</v>
      </c>
      <c r="B11" s="18" t="s">
        <v>593</v>
      </c>
      <c r="C11" s="18" t="s">
        <v>575</v>
      </c>
      <c r="D11" s="19" t="s">
        <v>594</v>
      </c>
      <c r="E11" s="76" t="s">
        <v>558</v>
      </c>
      <c r="F11" s="19" t="s">
        <v>595</v>
      </c>
      <c r="G11" s="19" t="s">
        <v>596</v>
      </c>
    </row>
    <row r="12" spans="1:7" ht="90" customHeight="1">
      <c r="A12" s="18" t="s">
        <v>597</v>
      </c>
      <c r="B12" s="18" t="s">
        <v>598</v>
      </c>
      <c r="C12" s="18" t="s">
        <v>599</v>
      </c>
      <c r="D12" s="19" t="s">
        <v>600</v>
      </c>
      <c r="E12" s="78" t="s">
        <v>601</v>
      </c>
      <c r="F12" s="19" t="s">
        <v>602</v>
      </c>
      <c r="G12" s="21" t="s">
        <v>603</v>
      </c>
    </row>
    <row r="13" spans="1:7" ht="90" customHeight="1">
      <c r="A13" s="19" t="s">
        <v>604</v>
      </c>
      <c r="B13" s="18" t="s">
        <v>605</v>
      </c>
      <c r="C13" s="18" t="s">
        <v>575</v>
      </c>
      <c r="D13" s="19" t="s">
        <v>606</v>
      </c>
      <c r="E13" s="76" t="s">
        <v>558</v>
      </c>
      <c r="F13" s="18" t="s">
        <v>793</v>
      </c>
      <c r="G13" s="18" t="s">
        <v>607</v>
      </c>
    </row>
    <row r="14" spans="1:7" ht="90" customHeight="1">
      <c r="A14" s="19" t="s">
        <v>608</v>
      </c>
      <c r="B14" s="18" t="s">
        <v>609</v>
      </c>
      <c r="C14" s="18" t="s">
        <v>610</v>
      </c>
      <c r="D14" s="19" t="s">
        <v>611</v>
      </c>
      <c r="E14" s="78" t="s">
        <v>601</v>
      </c>
      <c r="F14" s="18" t="s">
        <v>612</v>
      </c>
      <c r="G14" s="18" t="s">
        <v>613</v>
      </c>
    </row>
    <row r="15" spans="1:7" ht="14.25" customHeight="1">
      <c r="A15" s="79" t="s">
        <v>614</v>
      </c>
    </row>
    <row r="16" spans="1:7" ht="43.5" customHeight="1">
      <c r="A16" s="96" t="s">
        <v>615</v>
      </c>
      <c r="B16" s="96"/>
      <c r="C16" s="96"/>
      <c r="D16" s="96"/>
      <c r="E16" s="96"/>
      <c r="F16" s="96"/>
      <c r="G16" s="96"/>
    </row>
    <row r="17" spans="1:7" ht="43.5" customHeight="1">
      <c r="A17" s="96" t="s">
        <v>616</v>
      </c>
      <c r="B17" s="96"/>
      <c r="C17" s="96"/>
      <c r="D17" s="96"/>
      <c r="E17" s="96"/>
      <c r="F17" s="96"/>
      <c r="G17" s="96"/>
    </row>
    <row r="18" spans="1:7" ht="43.5" customHeight="1">
      <c r="A18" s="96" t="s">
        <v>617</v>
      </c>
      <c r="B18" s="96"/>
      <c r="C18" s="96"/>
      <c r="D18" s="96"/>
      <c r="E18" s="96"/>
      <c r="F18" s="96"/>
      <c r="G18" s="96"/>
    </row>
    <row r="19" spans="1:7" ht="43.5" customHeight="1">
      <c r="A19" s="96" t="s">
        <v>618</v>
      </c>
      <c r="B19" s="96"/>
      <c r="C19" s="96"/>
      <c r="D19" s="96"/>
      <c r="E19" s="96"/>
      <c r="F19" s="96"/>
      <c r="G19" s="96"/>
    </row>
    <row r="20" spans="1:7" ht="43.5" customHeight="1">
      <c r="A20" s="96" t="s">
        <v>619</v>
      </c>
      <c r="B20" s="96"/>
      <c r="C20" s="96"/>
      <c r="D20" s="96"/>
      <c r="E20" s="96"/>
      <c r="F20" s="96"/>
      <c r="G20" s="96"/>
    </row>
  </sheetData>
  <mergeCells count="6">
    <mergeCell ref="A20:G20"/>
    <mergeCell ref="A2:G2"/>
    <mergeCell ref="A16:G16"/>
    <mergeCell ref="A17:G17"/>
    <mergeCell ref="A18:G18"/>
    <mergeCell ref="A19:G19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3"/>
  <sheetViews>
    <sheetView zoomScaleNormal="100" workbookViewId="0"/>
  </sheetViews>
  <sheetFormatPr defaultColWidth="8.5546875" defaultRowHeight="14.4"/>
  <cols>
    <col min="1" max="1" width="22" customWidth="1"/>
    <col min="2" max="2" width="30" customWidth="1"/>
    <col min="3" max="6" width="10" customWidth="1"/>
    <col min="7" max="7" width="18" customWidth="1"/>
    <col min="8" max="8" width="14" customWidth="1"/>
    <col min="9" max="9" width="10" customWidth="1"/>
    <col min="10" max="10" width="30" customWidth="1"/>
  </cols>
  <sheetData>
    <row r="1" spans="1:10" ht="15" customHeight="1">
      <c r="A1" s="75" t="s">
        <v>620</v>
      </c>
    </row>
    <row r="2" spans="1:10" ht="14.25" customHeight="1">
      <c r="A2" s="29" t="s">
        <v>621</v>
      </c>
    </row>
    <row r="4" spans="1:10" ht="14.25" customHeight="1">
      <c r="A4" s="17" t="s">
        <v>622</v>
      </c>
      <c r="B4" s="17" t="s">
        <v>3</v>
      </c>
      <c r="C4" s="17" t="s">
        <v>623</v>
      </c>
      <c r="D4" s="17" t="s">
        <v>624</v>
      </c>
      <c r="E4" s="17" t="s">
        <v>625</v>
      </c>
      <c r="F4" s="17" t="s">
        <v>626</v>
      </c>
      <c r="G4" s="17" t="s">
        <v>627</v>
      </c>
      <c r="H4" s="17" t="s">
        <v>9</v>
      </c>
      <c r="I4" s="16" t="s">
        <v>475</v>
      </c>
      <c r="J4" s="17" t="s">
        <v>628</v>
      </c>
    </row>
    <row r="5" spans="1:10" ht="26.25" customHeight="1">
      <c r="A5" s="80" t="s">
        <v>629</v>
      </c>
      <c r="B5" s="81" t="s">
        <v>630</v>
      </c>
      <c r="C5" s="81" t="s">
        <v>631</v>
      </c>
      <c r="D5" s="81" t="s">
        <v>632</v>
      </c>
      <c r="E5" s="81" t="s">
        <v>633</v>
      </c>
      <c r="F5" s="81" t="s">
        <v>634</v>
      </c>
      <c r="G5" s="81" t="s">
        <v>121</v>
      </c>
      <c r="H5" s="81" t="s">
        <v>635</v>
      </c>
      <c r="I5" s="81" t="s">
        <v>636</v>
      </c>
      <c r="J5" s="81" t="s">
        <v>637</v>
      </c>
    </row>
    <row r="6" spans="1:10" ht="14.25" customHeight="1">
      <c r="A6" s="80" t="s">
        <v>638</v>
      </c>
      <c r="B6" s="81" t="s">
        <v>639</v>
      </c>
      <c r="C6" s="81" t="s">
        <v>631</v>
      </c>
      <c r="D6" s="81" t="s">
        <v>640</v>
      </c>
      <c r="E6" s="81" t="s">
        <v>641</v>
      </c>
      <c r="F6" s="81" t="s">
        <v>121</v>
      </c>
      <c r="G6" s="81" t="s">
        <v>642</v>
      </c>
      <c r="H6" s="81" t="s">
        <v>643</v>
      </c>
      <c r="I6" s="81" t="s">
        <v>636</v>
      </c>
      <c r="J6" s="80" t="s">
        <v>644</v>
      </c>
    </row>
    <row r="7" spans="1:10" ht="14.25" customHeight="1">
      <c r="A7" s="80" t="s">
        <v>645</v>
      </c>
      <c r="B7" s="81" t="s">
        <v>646</v>
      </c>
      <c r="C7" s="81" t="s">
        <v>647</v>
      </c>
      <c r="D7" s="81" t="s">
        <v>648</v>
      </c>
      <c r="E7" s="81" t="s">
        <v>649</v>
      </c>
      <c r="F7" s="81" t="s">
        <v>650</v>
      </c>
      <c r="G7" s="81" t="s">
        <v>651</v>
      </c>
      <c r="H7" s="81" t="s">
        <v>635</v>
      </c>
      <c r="I7" s="81" t="s">
        <v>636</v>
      </c>
      <c r="J7" s="81" t="s">
        <v>637</v>
      </c>
    </row>
    <row r="8" spans="1:10" ht="14.25" customHeight="1">
      <c r="A8" s="80" t="s">
        <v>645</v>
      </c>
      <c r="B8" s="81" t="s">
        <v>652</v>
      </c>
      <c r="C8" s="81" t="s">
        <v>647</v>
      </c>
      <c r="D8" s="81" t="s">
        <v>648</v>
      </c>
      <c r="E8" s="81" t="s">
        <v>649</v>
      </c>
      <c r="F8" s="81" t="s">
        <v>650</v>
      </c>
      <c r="G8" s="81" t="s">
        <v>651</v>
      </c>
      <c r="H8" s="81" t="s">
        <v>653</v>
      </c>
      <c r="I8" s="81" t="s">
        <v>636</v>
      </c>
      <c r="J8" s="81" t="s">
        <v>637</v>
      </c>
    </row>
    <row r="9" spans="1:10" ht="26.25" customHeight="1">
      <c r="A9" s="80" t="s">
        <v>654</v>
      </c>
      <c r="B9" s="81" t="s">
        <v>655</v>
      </c>
      <c r="C9" s="81" t="s">
        <v>631</v>
      </c>
      <c r="D9" s="81" t="s">
        <v>640</v>
      </c>
      <c r="E9" s="81" t="s">
        <v>633</v>
      </c>
      <c r="F9" s="81" t="s">
        <v>634</v>
      </c>
      <c r="G9" s="81" t="s">
        <v>656</v>
      </c>
      <c r="H9" s="81" t="s">
        <v>635</v>
      </c>
      <c r="I9" s="81" t="s">
        <v>636</v>
      </c>
      <c r="J9" s="81" t="s">
        <v>637</v>
      </c>
    </row>
    <row r="10" spans="1:10" ht="14.25" customHeight="1">
      <c r="A10" s="80" t="s">
        <v>654</v>
      </c>
      <c r="B10" s="81" t="s">
        <v>657</v>
      </c>
      <c r="C10" s="81" t="s">
        <v>631</v>
      </c>
      <c r="D10" s="81" t="s">
        <v>640</v>
      </c>
      <c r="E10" s="81" t="s">
        <v>633</v>
      </c>
      <c r="F10" s="81" t="s">
        <v>634</v>
      </c>
      <c r="G10" s="81" t="s">
        <v>656</v>
      </c>
      <c r="H10" s="81" t="s">
        <v>653</v>
      </c>
      <c r="I10" s="81" t="s">
        <v>636</v>
      </c>
      <c r="J10" s="81" t="s">
        <v>637</v>
      </c>
    </row>
    <row r="11" spans="1:10" ht="26.25" customHeight="1">
      <c r="A11" s="80" t="s">
        <v>658</v>
      </c>
      <c r="B11" s="81" t="s">
        <v>659</v>
      </c>
      <c r="C11" s="81" t="s">
        <v>647</v>
      </c>
      <c r="D11" s="81" t="s">
        <v>660</v>
      </c>
      <c r="E11" s="81" t="s">
        <v>649</v>
      </c>
      <c r="F11" s="81" t="s">
        <v>661</v>
      </c>
      <c r="G11" s="81" t="s">
        <v>662</v>
      </c>
      <c r="H11" s="81" t="s">
        <v>635</v>
      </c>
      <c r="I11" s="81" t="s">
        <v>636</v>
      </c>
      <c r="J11" s="80" t="s">
        <v>663</v>
      </c>
    </row>
    <row r="12" spans="1:10" ht="26.25" customHeight="1">
      <c r="A12" s="80" t="s">
        <v>664</v>
      </c>
      <c r="B12" s="81" t="s">
        <v>665</v>
      </c>
      <c r="C12" s="81" t="s">
        <v>647</v>
      </c>
      <c r="D12" s="81" t="s">
        <v>666</v>
      </c>
      <c r="E12" s="81" t="s">
        <v>633</v>
      </c>
      <c r="F12" s="81" t="s">
        <v>667</v>
      </c>
      <c r="G12" s="81" t="s">
        <v>121</v>
      </c>
      <c r="H12" s="81" t="s">
        <v>635</v>
      </c>
      <c r="I12" s="81" t="s">
        <v>668</v>
      </c>
      <c r="J12" s="80"/>
    </row>
    <row r="13" spans="1:10" ht="26.25" customHeight="1">
      <c r="A13" s="80" t="s">
        <v>669</v>
      </c>
      <c r="B13" s="81" t="s">
        <v>670</v>
      </c>
      <c r="C13" s="81" t="s">
        <v>631</v>
      </c>
      <c r="D13" s="81" t="s">
        <v>671</v>
      </c>
      <c r="E13" s="81" t="s">
        <v>633</v>
      </c>
      <c r="F13" s="81" t="s">
        <v>672</v>
      </c>
      <c r="G13" s="81" t="s">
        <v>121</v>
      </c>
      <c r="H13" s="81" t="s">
        <v>635</v>
      </c>
      <c r="I13" s="81" t="s">
        <v>668</v>
      </c>
      <c r="J13" s="80"/>
    </row>
    <row r="14" spans="1:10" ht="14.25" customHeight="1">
      <c r="A14" s="80" t="s">
        <v>673</v>
      </c>
      <c r="B14" s="81" t="s">
        <v>674</v>
      </c>
      <c r="C14" s="81" t="s">
        <v>631</v>
      </c>
      <c r="D14" s="81" t="s">
        <v>675</v>
      </c>
      <c r="E14" s="81" t="s">
        <v>633</v>
      </c>
      <c r="F14" s="81" t="s">
        <v>676</v>
      </c>
      <c r="G14" s="81" t="s">
        <v>121</v>
      </c>
      <c r="H14" s="81" t="s">
        <v>677</v>
      </c>
      <c r="I14" s="81" t="s">
        <v>636</v>
      </c>
      <c r="J14" s="81" t="s">
        <v>637</v>
      </c>
    </row>
    <row r="15" spans="1:10" ht="14.25" customHeight="1">
      <c r="A15" s="80" t="s">
        <v>678</v>
      </c>
      <c r="B15" s="81" t="s">
        <v>679</v>
      </c>
      <c r="C15" s="81" t="s">
        <v>647</v>
      </c>
      <c r="D15" s="81" t="s">
        <v>680</v>
      </c>
      <c r="E15" s="81" t="s">
        <v>633</v>
      </c>
      <c r="F15" s="81" t="s">
        <v>681</v>
      </c>
      <c r="G15" s="81" t="s">
        <v>121</v>
      </c>
      <c r="H15" s="81" t="s">
        <v>635</v>
      </c>
      <c r="I15" s="81" t="s">
        <v>668</v>
      </c>
      <c r="J15" s="80"/>
    </row>
    <row r="16" spans="1:10" ht="14.25" customHeight="1">
      <c r="A16" s="80" t="s">
        <v>678</v>
      </c>
      <c r="B16" s="81" t="s">
        <v>682</v>
      </c>
      <c r="C16" s="81" t="s">
        <v>647</v>
      </c>
      <c r="D16" s="81" t="s">
        <v>680</v>
      </c>
      <c r="E16" s="81" t="s">
        <v>633</v>
      </c>
      <c r="F16" s="81" t="s">
        <v>681</v>
      </c>
      <c r="G16" s="81" t="s">
        <v>121</v>
      </c>
      <c r="H16" s="81" t="s">
        <v>653</v>
      </c>
      <c r="I16" s="80"/>
      <c r="J16" s="80"/>
    </row>
    <row r="17" spans="1:10" ht="14.25" customHeight="1">
      <c r="A17" s="80" t="s">
        <v>683</v>
      </c>
      <c r="B17" s="81" t="s">
        <v>684</v>
      </c>
      <c r="C17" s="81" t="s">
        <v>647</v>
      </c>
      <c r="D17" s="81" t="s">
        <v>685</v>
      </c>
      <c r="E17" s="81" t="s">
        <v>633</v>
      </c>
      <c r="F17" s="81" t="s">
        <v>686</v>
      </c>
      <c r="G17" s="81" t="s">
        <v>121</v>
      </c>
      <c r="H17" s="81" t="s">
        <v>687</v>
      </c>
      <c r="I17" s="80"/>
      <c r="J17" s="81" t="s">
        <v>688</v>
      </c>
    </row>
    <row r="18" spans="1:10" ht="26.25" customHeight="1">
      <c r="A18" s="80" t="s">
        <v>689</v>
      </c>
      <c r="B18" s="81" t="s">
        <v>690</v>
      </c>
      <c r="C18" s="81" t="s">
        <v>631</v>
      </c>
      <c r="D18" s="81" t="s">
        <v>640</v>
      </c>
      <c r="E18" s="81" t="s">
        <v>633</v>
      </c>
      <c r="F18" s="81" t="s">
        <v>634</v>
      </c>
      <c r="G18" s="81" t="s">
        <v>121</v>
      </c>
      <c r="H18" s="81" t="s">
        <v>691</v>
      </c>
      <c r="I18" s="80"/>
      <c r="J18" s="80" t="s">
        <v>692</v>
      </c>
    </row>
    <row r="19" spans="1:10" ht="14.25" customHeight="1">
      <c r="A19" s="80" t="s">
        <v>693</v>
      </c>
      <c r="B19" s="81" t="s">
        <v>682</v>
      </c>
      <c r="C19" s="81" t="s">
        <v>647</v>
      </c>
      <c r="D19" s="81" t="s">
        <v>356</v>
      </c>
      <c r="E19" s="81" t="s">
        <v>633</v>
      </c>
      <c r="F19" s="81" t="s">
        <v>694</v>
      </c>
      <c r="G19" s="81" t="s">
        <v>121</v>
      </c>
      <c r="H19" s="81" t="s">
        <v>687</v>
      </c>
      <c r="I19" s="80"/>
      <c r="J19" s="80"/>
    </row>
    <row r="20" spans="1:10" ht="14.25" customHeight="1">
      <c r="A20" s="80" t="s">
        <v>695</v>
      </c>
      <c r="B20" s="81" t="s">
        <v>682</v>
      </c>
      <c r="C20" s="81" t="s">
        <v>631</v>
      </c>
      <c r="D20" s="81" t="s">
        <v>696</v>
      </c>
      <c r="E20" s="81" t="s">
        <v>633</v>
      </c>
      <c r="F20" s="81" t="s">
        <v>697</v>
      </c>
      <c r="G20" s="81" t="s">
        <v>121</v>
      </c>
      <c r="H20" s="81" t="s">
        <v>687</v>
      </c>
      <c r="I20" s="80"/>
      <c r="J20" s="80"/>
    </row>
    <row r="21" spans="1:10" ht="14.25" customHeight="1">
      <c r="A21" s="80" t="s">
        <v>698</v>
      </c>
      <c r="B21" s="81" t="s">
        <v>699</v>
      </c>
      <c r="C21" s="81" t="s">
        <v>647</v>
      </c>
      <c r="D21" s="81" t="s">
        <v>700</v>
      </c>
      <c r="E21" s="81" t="s">
        <v>641</v>
      </c>
      <c r="F21" s="81" t="s">
        <v>701</v>
      </c>
      <c r="G21" s="81" t="s">
        <v>121</v>
      </c>
      <c r="H21" s="81" t="s">
        <v>635</v>
      </c>
      <c r="I21" s="80"/>
      <c r="J21" s="80"/>
    </row>
    <row r="22" spans="1:10" ht="14.25" customHeight="1">
      <c r="A22" s="81" t="s">
        <v>702</v>
      </c>
      <c r="B22" s="81" t="s">
        <v>699</v>
      </c>
      <c r="C22" s="81" t="s">
        <v>647</v>
      </c>
      <c r="D22" s="81" t="s">
        <v>700</v>
      </c>
      <c r="E22" s="81" t="s">
        <v>633</v>
      </c>
      <c r="F22" s="81" t="s">
        <v>703</v>
      </c>
      <c r="G22" s="81" t="s">
        <v>121</v>
      </c>
      <c r="H22" s="81" t="s">
        <v>635</v>
      </c>
      <c r="I22" s="80"/>
      <c r="J22" s="80"/>
    </row>
    <row r="23" spans="1:10" ht="14.25" customHeight="1">
      <c r="A23" s="80" t="s">
        <v>704</v>
      </c>
      <c r="B23" s="81" t="s">
        <v>699</v>
      </c>
      <c r="C23" s="81" t="s">
        <v>631</v>
      </c>
      <c r="D23" s="81" t="s">
        <v>705</v>
      </c>
      <c r="E23" s="81" t="s">
        <v>633</v>
      </c>
      <c r="F23" s="81" t="s">
        <v>706</v>
      </c>
      <c r="G23" s="81" t="s">
        <v>121</v>
      </c>
      <c r="H23" s="81" t="s">
        <v>677</v>
      </c>
      <c r="I23" s="81" t="s">
        <v>668</v>
      </c>
      <c r="J23" s="80"/>
    </row>
    <row r="24" spans="1:10" ht="14.25" customHeight="1">
      <c r="A24" s="80" t="s">
        <v>707</v>
      </c>
      <c r="B24" s="81" t="s">
        <v>699</v>
      </c>
      <c r="C24" s="81" t="s">
        <v>647</v>
      </c>
      <c r="D24" s="81" t="s">
        <v>356</v>
      </c>
      <c r="E24" s="81" t="s">
        <v>633</v>
      </c>
      <c r="F24" s="81" t="s">
        <v>676</v>
      </c>
      <c r="G24" s="81" t="s">
        <v>121</v>
      </c>
      <c r="H24" s="81" t="s">
        <v>635</v>
      </c>
      <c r="I24" s="80"/>
      <c r="J24" s="81" t="s">
        <v>708</v>
      </c>
    </row>
    <row r="25" spans="1:10" ht="14.25" customHeight="1">
      <c r="A25" s="80" t="s">
        <v>709</v>
      </c>
      <c r="B25" s="81" t="s">
        <v>699</v>
      </c>
      <c r="C25" s="81" t="s">
        <v>631</v>
      </c>
      <c r="D25" s="81" t="s">
        <v>710</v>
      </c>
      <c r="E25" s="81" t="s">
        <v>633</v>
      </c>
      <c r="F25" s="81" t="s">
        <v>711</v>
      </c>
      <c r="G25" s="81" t="s">
        <v>121</v>
      </c>
      <c r="H25" s="81" t="s">
        <v>677</v>
      </c>
      <c r="I25" s="80"/>
      <c r="J25" s="80"/>
    </row>
    <row r="26" spans="1:10" ht="14.25" customHeight="1">
      <c r="A26" s="80" t="s">
        <v>712</v>
      </c>
      <c r="B26" s="81" t="s">
        <v>699</v>
      </c>
      <c r="C26" s="81" t="s">
        <v>631</v>
      </c>
      <c r="D26" s="81" t="s">
        <v>713</v>
      </c>
      <c r="E26" s="81" t="s">
        <v>649</v>
      </c>
      <c r="F26" s="81" t="s">
        <v>714</v>
      </c>
      <c r="G26" s="81" t="s">
        <v>121</v>
      </c>
      <c r="H26" s="81" t="s">
        <v>677</v>
      </c>
      <c r="I26" s="80"/>
      <c r="J26" s="80"/>
    </row>
    <row r="27" spans="1:10" ht="14.25" customHeight="1">
      <c r="A27" s="80" t="s">
        <v>715</v>
      </c>
      <c r="B27" s="81" t="s">
        <v>699</v>
      </c>
      <c r="C27" s="81" t="s">
        <v>631</v>
      </c>
      <c r="D27" s="81" t="s">
        <v>716</v>
      </c>
      <c r="E27" s="81" t="s">
        <v>633</v>
      </c>
      <c r="F27" s="81" t="s">
        <v>706</v>
      </c>
      <c r="G27" s="81" t="s">
        <v>121</v>
      </c>
      <c r="H27" s="81" t="s">
        <v>677</v>
      </c>
      <c r="I27" s="80"/>
      <c r="J27" s="80"/>
    </row>
    <row r="28" spans="1:10" ht="26.25" customHeight="1">
      <c r="A28" s="80" t="s">
        <v>717</v>
      </c>
      <c r="B28" s="81" t="s">
        <v>718</v>
      </c>
      <c r="C28" s="81" t="s">
        <v>647</v>
      </c>
      <c r="D28" s="81" t="s">
        <v>356</v>
      </c>
      <c r="E28" s="81" t="s">
        <v>633</v>
      </c>
      <c r="F28" s="81" t="s">
        <v>719</v>
      </c>
      <c r="G28" s="81" t="s">
        <v>121</v>
      </c>
      <c r="H28" s="81" t="s">
        <v>720</v>
      </c>
      <c r="I28" s="80"/>
      <c r="J28" s="80"/>
    </row>
    <row r="29" spans="1:10" ht="14.25" customHeight="1">
      <c r="A29" s="80" t="s">
        <v>721</v>
      </c>
      <c r="B29" s="80" t="s">
        <v>722</v>
      </c>
      <c r="C29" s="81" t="s">
        <v>647</v>
      </c>
      <c r="D29" s="81" t="s">
        <v>353</v>
      </c>
      <c r="E29" s="81" t="s">
        <v>633</v>
      </c>
      <c r="F29" s="81" t="s">
        <v>723</v>
      </c>
      <c r="G29" s="81" t="s">
        <v>121</v>
      </c>
      <c r="H29" s="81" t="s">
        <v>724</v>
      </c>
      <c r="I29" s="80"/>
      <c r="J29" s="81" t="s">
        <v>725</v>
      </c>
    </row>
    <row r="30" spans="1:10" ht="14.25" customHeight="1">
      <c r="A30" s="80" t="s">
        <v>726</v>
      </c>
      <c r="B30" s="81" t="s">
        <v>727</v>
      </c>
      <c r="C30" s="81" t="s">
        <v>631</v>
      </c>
      <c r="D30" s="81" t="s">
        <v>121</v>
      </c>
      <c r="E30" s="81" t="s">
        <v>633</v>
      </c>
      <c r="F30" s="81" t="s">
        <v>121</v>
      </c>
      <c r="G30" s="81" t="s">
        <v>121</v>
      </c>
      <c r="H30" s="81" t="s">
        <v>691</v>
      </c>
      <c r="I30" s="80"/>
      <c r="J30" s="81" t="s">
        <v>728</v>
      </c>
    </row>
    <row r="31" spans="1:10" ht="52.5" customHeight="1">
      <c r="A31" s="80" t="s">
        <v>729</v>
      </c>
      <c r="B31" s="81" t="s">
        <v>730</v>
      </c>
      <c r="C31" s="81" t="s">
        <v>121</v>
      </c>
      <c r="D31" s="81" t="s">
        <v>121</v>
      </c>
      <c r="E31" s="81" t="s">
        <v>121</v>
      </c>
      <c r="F31" s="81" t="s">
        <v>121</v>
      </c>
      <c r="G31" s="81" t="s">
        <v>121</v>
      </c>
      <c r="H31" s="80" t="s">
        <v>731</v>
      </c>
      <c r="I31" s="80"/>
      <c r="J31" s="80" t="s">
        <v>732</v>
      </c>
    </row>
    <row r="33" spans="1:1" ht="14.25" customHeight="1">
      <c r="A33" s="82" t="s">
        <v>733</v>
      </c>
    </row>
  </sheetData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"/>
  <sheetViews>
    <sheetView topLeftCell="A13" zoomScaleNormal="100" workbookViewId="0">
      <selection activeCell="C11" sqref="C11"/>
    </sheetView>
  </sheetViews>
  <sheetFormatPr defaultColWidth="8.5546875" defaultRowHeight="14.4"/>
  <cols>
    <col min="1" max="1" width="6" customWidth="1"/>
    <col min="2" max="2" width="60" customWidth="1"/>
    <col min="3" max="3" width="70" customWidth="1"/>
  </cols>
  <sheetData>
    <row r="1" spans="1:3" ht="15" customHeight="1">
      <c r="A1" s="75" t="s">
        <v>734</v>
      </c>
    </row>
    <row r="3" spans="1:3" ht="14.25" customHeight="1">
      <c r="A3" s="83" t="s">
        <v>735</v>
      </c>
      <c r="B3" s="84" t="s">
        <v>736</v>
      </c>
      <c r="C3" s="84" t="s">
        <v>737</v>
      </c>
    </row>
    <row r="4" spans="1:3" ht="31.5" customHeight="1">
      <c r="A4" s="81" t="s">
        <v>588</v>
      </c>
      <c r="B4" s="81" t="s">
        <v>738</v>
      </c>
      <c r="C4" s="80" t="s">
        <v>739</v>
      </c>
    </row>
    <row r="5" spans="1:3" ht="31.5" customHeight="1">
      <c r="A5" s="81" t="s">
        <v>575</v>
      </c>
      <c r="B5" s="81" t="s">
        <v>740</v>
      </c>
      <c r="C5" s="80" t="s">
        <v>741</v>
      </c>
    </row>
    <row r="6" spans="1:3" ht="31.5" customHeight="1">
      <c r="A6" s="81" t="s">
        <v>556</v>
      </c>
      <c r="B6" s="81" t="s">
        <v>742</v>
      </c>
      <c r="C6" s="80" t="s">
        <v>743</v>
      </c>
    </row>
    <row r="7" spans="1:3" ht="31.5" customHeight="1">
      <c r="A7" s="81" t="s">
        <v>744</v>
      </c>
      <c r="B7" s="81" t="s">
        <v>745</v>
      </c>
      <c r="C7" s="80" t="s">
        <v>746</v>
      </c>
    </row>
    <row r="8" spans="1:3" ht="31.5" customHeight="1">
      <c r="A8" s="81" t="s">
        <v>747</v>
      </c>
      <c r="B8" s="81" t="s">
        <v>748</v>
      </c>
      <c r="C8" s="80" t="s">
        <v>749</v>
      </c>
    </row>
    <row r="9" spans="1:3" ht="31.5" customHeight="1">
      <c r="A9" s="81" t="s">
        <v>750</v>
      </c>
      <c r="B9" s="81" t="s">
        <v>751</v>
      </c>
      <c r="C9" s="81" t="s">
        <v>752</v>
      </c>
    </row>
    <row r="10" spans="1:3" ht="31.5" customHeight="1">
      <c r="A10" s="81" t="s">
        <v>753</v>
      </c>
      <c r="B10" s="81" t="s">
        <v>754</v>
      </c>
      <c r="C10" s="80" t="s">
        <v>755</v>
      </c>
    </row>
    <row r="11" spans="1:3" ht="31.5" customHeight="1">
      <c r="A11" s="81" t="s">
        <v>756</v>
      </c>
      <c r="B11" s="81" t="s">
        <v>757</v>
      </c>
      <c r="C11" s="80" t="s">
        <v>758</v>
      </c>
    </row>
    <row r="12" spans="1:3" ht="31.5" customHeight="1">
      <c r="A12" s="81" t="s">
        <v>759</v>
      </c>
      <c r="B12" s="81" t="s">
        <v>760</v>
      </c>
      <c r="C12" s="80" t="s">
        <v>761</v>
      </c>
    </row>
    <row r="13" spans="1:3" ht="31.5" customHeight="1">
      <c r="A13" s="81" t="s">
        <v>762</v>
      </c>
      <c r="B13" s="81" t="s">
        <v>763</v>
      </c>
      <c r="C13" s="80" t="s">
        <v>764</v>
      </c>
    </row>
    <row r="14" spans="1:3" ht="31.5" customHeight="1">
      <c r="A14" s="81" t="s">
        <v>765</v>
      </c>
      <c r="B14" s="81" t="s">
        <v>766</v>
      </c>
      <c r="C14" s="81" t="s">
        <v>767</v>
      </c>
    </row>
    <row r="15" spans="1:3" ht="31.5" customHeight="1">
      <c r="A15" s="81" t="s">
        <v>768</v>
      </c>
      <c r="B15" s="81" t="s">
        <v>769</v>
      </c>
      <c r="C15" s="80" t="s">
        <v>770</v>
      </c>
    </row>
    <row r="16" spans="1:3" ht="31.5" customHeight="1">
      <c r="A16" s="81" t="s">
        <v>771</v>
      </c>
      <c r="B16" s="81" t="s">
        <v>772</v>
      </c>
      <c r="C16" s="80" t="s">
        <v>773</v>
      </c>
    </row>
    <row r="17" spans="1:3" ht="31.5" customHeight="1">
      <c r="A17" s="81" t="s">
        <v>774</v>
      </c>
      <c r="B17" s="81" t="s">
        <v>775</v>
      </c>
      <c r="C17" s="80" t="s">
        <v>776</v>
      </c>
    </row>
    <row r="18" spans="1:3" ht="31.5" customHeight="1">
      <c r="A18" s="81" t="s">
        <v>777</v>
      </c>
      <c r="B18" s="80" t="s">
        <v>778</v>
      </c>
      <c r="C18" s="80" t="s">
        <v>779</v>
      </c>
    </row>
    <row r="19" spans="1:3" ht="31.5" customHeight="1">
      <c r="A19" s="81" t="s">
        <v>780</v>
      </c>
      <c r="B19" s="80" t="s">
        <v>781</v>
      </c>
      <c r="C19" s="80" t="s">
        <v>782</v>
      </c>
    </row>
    <row r="20" spans="1:3" ht="31.5" customHeight="1">
      <c r="A20" s="81" t="s">
        <v>783</v>
      </c>
      <c r="B20" s="80" t="s">
        <v>784</v>
      </c>
      <c r="C20" s="80" t="s">
        <v>785</v>
      </c>
    </row>
    <row r="21" spans="1:3" ht="30" customHeight="1">
      <c r="B21" s="26" t="s">
        <v>786</v>
      </c>
    </row>
    <row r="22" spans="1:3" ht="30" customHeight="1">
      <c r="B22" s="97" t="s">
        <v>787</v>
      </c>
      <c r="C22" s="97"/>
    </row>
    <row r="23" spans="1:3" ht="30" customHeight="1">
      <c r="B23" s="97" t="s">
        <v>788</v>
      </c>
      <c r="C23" s="97"/>
    </row>
    <row r="24" spans="1:3" ht="30" customHeight="1">
      <c r="B24" s="97" t="s">
        <v>789</v>
      </c>
      <c r="C24" s="97"/>
    </row>
    <row r="25" spans="1:3" ht="30" customHeight="1">
      <c r="B25" s="97" t="s">
        <v>790</v>
      </c>
      <c r="C25" s="97"/>
    </row>
    <row r="26" spans="1:3" ht="30" customHeight="1">
      <c r="B26" s="97" t="s">
        <v>791</v>
      </c>
      <c r="C26" s="97"/>
    </row>
    <row r="27" spans="1:3" ht="30" customHeight="1">
      <c r="B27" s="97" t="s">
        <v>792</v>
      </c>
      <c r="C27" s="97"/>
    </row>
  </sheetData>
  <mergeCells count="6">
    <mergeCell ref="B27:C27"/>
    <mergeCell ref="B22:C22"/>
    <mergeCell ref="B23:C23"/>
    <mergeCell ref="B24:C24"/>
    <mergeCell ref="B25:C25"/>
    <mergeCell ref="B26:C26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人員一覧・判定</vt:lpstr>
      <vt:lpstr>動態表(日別)</vt:lpstr>
      <vt:lpstr>27Oct(Day0)</vt:lpstr>
      <vt:lpstr>28Oct(Day1)</vt:lpstr>
      <vt:lpstr>29Oct(Day2)</vt:lpstr>
      <vt:lpstr>30Oct(Day3)</vt:lpstr>
      <vt:lpstr>人員ギャップ分析</vt:lpstr>
      <vt:lpstr>参加者到着・出発(8月28日時点)</vt:lpstr>
      <vt:lpstr>出典・前提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ARAKIDA 荒木田</cp:lastModifiedBy>
  <cp:revision>0</cp:revision>
  <dcterms:created xsi:type="dcterms:W3CDTF">2026-09-04T02:17:32Z</dcterms:created>
  <dcterms:modified xsi:type="dcterms:W3CDTF">2026-09-04T05:22:33Z</dcterms:modified>
  <dc:language>en-US</dc:language>
</cp:coreProperties>
</file>