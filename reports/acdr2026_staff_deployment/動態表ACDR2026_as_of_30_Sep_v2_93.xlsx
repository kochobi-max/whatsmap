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3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ＭＳ ゴシック"/>
      <charset val="128"/>
      <family val="3"/>
      <color rgb="FF000000"/>
      <sz val="10"/>
    </font>
    <font>
      <name val="WenQuanYi Zen Hei"/>
      <charset val="1"/>
      <family val="2"/>
      <color rgb="FF000000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WenQuanYi Zen Hei"/>
      <charset val="128"/>
      <family val="3"/>
      <i val="1"/>
      <color rgb="FF555555"/>
      <sz val="8"/>
    </font>
    <font>
      <name val="Arial"/>
      <charset val="1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3" fillId="0" borderId="1" applyAlignment="1" pivotButton="0" quotePrefix="0" xfId="0">
      <alignment vertical="top" wrapText="1"/>
    </xf>
    <xf numFmtId="0" fontId="48" fillId="0" borderId="0" pivotButton="0" quotePrefix="0" xfId="0"/>
    <xf numFmtId="0" fontId="45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14" fillId="0" borderId="0" pivotButton="0" quotePrefix="0" xfId="0"/>
    <xf numFmtId="0" fontId="52" fillId="0" borderId="0" pivotButton="0" quotePrefix="0" xfId="0"/>
    <xf numFmtId="0" fontId="53" fillId="18" borderId="0" pivotButton="0" quotePrefix="0" xfId="0"/>
    <xf numFmtId="0" fontId="0" fillId="0" borderId="5" applyAlignment="1" pivotButton="0" quotePrefix="0" xfId="0">
      <alignment vertical="top" wrapText="1"/>
    </xf>
    <xf numFmtId="0" fontId="16" fillId="17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4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6" fillId="2" borderId="0" pivotButton="0" quotePrefix="0" xfId="0"/>
    <xf numFmtId="0" fontId="17" fillId="15" borderId="1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46" fillId="16" borderId="1" applyAlignment="1" pivotButton="0" quotePrefix="0" xfId="0">
      <alignment vertical="center" wrapText="1"/>
    </xf>
    <xf numFmtId="0" fontId="44" fillId="10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/>
    </xf>
    <xf numFmtId="0" fontId="45" fillId="16" borderId="1" applyAlignment="1" pivotButton="0" quotePrefix="0" xfId="0">
      <alignment vertical="center" wrapText="1"/>
    </xf>
    <xf numFmtId="0" fontId="28" fillId="1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4" borderId="1" applyAlignment="1" pivotButton="0" quotePrefix="0" xfId="0">
      <alignment vertical="center"/>
    </xf>
    <xf numFmtId="0" fontId="42" fillId="12" borderId="4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51" fillId="16" borderId="1" applyAlignment="1" pivotButton="0" quotePrefix="0" xfId="0">
      <alignment vertical="center" wrapText="1"/>
    </xf>
    <xf numFmtId="0" fontId="40" fillId="0" borderId="0" applyAlignment="1" pivotButton="0" quotePrefix="0" xfId="0">
      <alignment horizontal="left" vertical="top" wrapText="1"/>
    </xf>
    <xf numFmtId="0" fontId="50" fillId="4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45" fillId="12" borderId="1" applyAlignment="1" pivotButton="0" quotePrefix="0" xfId="0">
      <alignment vertical="center" wrapText="1"/>
    </xf>
    <xf numFmtId="0" fontId="42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27" fillId="4" borderId="1" applyAlignment="1" pivotButton="0" quotePrefix="0" xfId="0">
      <alignment vertical="center" wrapText="1"/>
    </xf>
    <xf numFmtId="0" fontId="45" fillId="13" borderId="1" applyAlignment="1" pivotButton="0" quotePrefix="0" xfId="0">
      <alignment vertical="center" wrapText="1"/>
    </xf>
    <xf numFmtId="0" fontId="27" fillId="16" borderId="1" applyAlignment="1" pivotButton="0" quotePrefix="0" xfId="0">
      <alignment vertical="center" wrapText="1"/>
    </xf>
    <xf numFmtId="0" fontId="49" fillId="16" borderId="1" applyAlignment="1" pivotButton="0" quotePrefix="0" xfId="0">
      <alignment vertical="center" wrapText="1"/>
    </xf>
    <xf numFmtId="0" fontId="28" fillId="15" borderId="1" applyAlignment="1" pivotButton="0" quotePrefix="0" xfId="0">
      <alignment horizontal="left" vertical="center"/>
    </xf>
    <xf numFmtId="0" fontId="16" fillId="12" borderId="1" applyAlignment="1" pivotButton="0" quotePrefix="0" xfId="0">
      <alignment vertical="center"/>
    </xf>
    <xf numFmtId="0" fontId="17" fillId="13" borderId="1" applyAlignment="1" pivotButton="0" quotePrefix="0" xfId="0">
      <alignment vertical="center"/>
    </xf>
    <xf numFmtId="0" fontId="17" fillId="13" borderId="1" applyAlignment="1" pivotButton="0" quotePrefix="0" xfId="0">
      <alignment vertical="center" wrapText="1"/>
    </xf>
    <xf numFmtId="0" fontId="47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7" fillId="10" borderId="5" applyAlignment="1" pivotButton="0" quotePrefix="0" xfId="0">
      <alignment vertical="center" wrapText="1"/>
    </xf>
    <xf numFmtId="0" fontId="17" fillId="12" borderId="5" applyAlignment="1" pivotButton="0" quotePrefix="0" xfId="0">
      <alignment vertical="center"/>
    </xf>
    <xf numFmtId="0" fontId="17" fillId="14" borderId="5" applyAlignment="1" pivotButton="0" quotePrefix="0" xfId="0">
      <alignment vertical="center"/>
    </xf>
    <xf numFmtId="0" fontId="17" fillId="16" borderId="5" applyAlignment="1" pivotButton="0" quotePrefix="0" xfId="0">
      <alignment vertical="center"/>
    </xf>
    <xf numFmtId="0" fontId="16" fillId="16" borderId="5" applyAlignment="1" pivotButton="0" quotePrefix="0" xfId="0">
      <alignment vertical="center"/>
    </xf>
    <xf numFmtId="0" fontId="17" fillId="15" borderId="5" applyAlignment="1" pivotButton="0" quotePrefix="0" xfId="0">
      <alignment vertical="center"/>
    </xf>
    <xf numFmtId="0" fontId="16" fillId="15" borderId="5" applyAlignment="1" pivotButton="0" quotePrefix="0" xfId="0">
      <alignment vertical="center"/>
    </xf>
    <xf numFmtId="0" fontId="17" fillId="10" borderId="5" applyAlignment="1" pivotButton="0" quotePrefix="0" xfId="0">
      <alignment vertical="center"/>
    </xf>
    <xf numFmtId="0" fontId="22" fillId="16" borderId="5" applyAlignment="1" pivotButton="0" quotePrefix="0" xfId="0">
      <alignment vertical="center"/>
    </xf>
    <xf numFmtId="0" fontId="27" fillId="16" borderId="5" applyAlignment="1" pivotButton="0" quotePrefix="0" xfId="0">
      <alignment vertical="center"/>
    </xf>
    <xf numFmtId="0" fontId="51" fillId="16" borderId="5" applyAlignment="1" pivotButton="0" quotePrefix="0" xfId="0">
      <alignment vertical="center" wrapText="1"/>
    </xf>
    <xf numFmtId="0" fontId="22" fillId="16" borderId="5" applyAlignment="1" pivotButton="0" quotePrefix="0" xfId="0">
      <alignment vertical="center" wrapText="1"/>
    </xf>
    <xf numFmtId="0" fontId="50" fillId="4" borderId="5" applyAlignment="1" pivotButton="0" quotePrefix="0" xfId="0">
      <alignment vertical="center"/>
    </xf>
    <xf numFmtId="0" fontId="27" fillId="4" borderId="5" applyAlignment="1" pivotButton="0" quotePrefix="0" xfId="0">
      <alignment vertical="center"/>
    </xf>
    <xf numFmtId="0" fontId="16" fillId="10" borderId="5" applyAlignment="1" pivotButton="0" quotePrefix="0" xfId="0">
      <alignment vertical="center"/>
    </xf>
    <xf numFmtId="0" fontId="16" fillId="1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45" fillId="13" borderId="5" applyAlignment="1" pivotButton="0" quotePrefix="0" xfId="0">
      <alignment vertical="center" wrapText="1"/>
    </xf>
    <xf numFmtId="0" fontId="17" fillId="16" borderId="5" applyAlignment="1" pivotButton="0" quotePrefix="0" xfId="0">
      <alignment vertical="center" wrapText="1"/>
    </xf>
    <xf numFmtId="0" fontId="44" fillId="16" borderId="5" applyAlignment="1" pivotButton="0" quotePrefix="0" xfId="0">
      <alignment vertical="center" wrapText="1"/>
    </xf>
    <xf numFmtId="0" fontId="45" fillId="12" borderId="5" applyAlignment="1" pivotButton="0" quotePrefix="0" xfId="0">
      <alignment vertical="center" wrapText="1"/>
    </xf>
    <xf numFmtId="0" fontId="42" fillId="12" borderId="5" applyAlignment="1" pivotButton="0" quotePrefix="0" xfId="0">
      <alignment horizontal="center" vertical="center" wrapText="1"/>
    </xf>
    <xf numFmtId="0" fontId="28" fillId="15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vertical="center"/>
    </xf>
    <xf numFmtId="0" fontId="17" fillId="12" borderId="5" applyAlignment="1" pivotButton="0" quotePrefix="0" xfId="0">
      <alignment vertical="center" wrapText="1"/>
    </xf>
    <xf numFmtId="0" fontId="17" fillId="13" borderId="5" applyAlignment="1" pivotButton="0" quotePrefix="0" xfId="0">
      <alignment vertical="center"/>
    </xf>
    <xf numFmtId="0" fontId="17" fillId="13" borderId="5" applyAlignment="1" pivotButton="0" quotePrefix="0" xfId="0">
      <alignment vertical="center" wrapText="1"/>
    </xf>
    <xf numFmtId="0" fontId="49" fillId="16" borderId="5" applyAlignment="1" pivotButton="0" quotePrefix="0" xfId="0">
      <alignment vertical="center" wrapText="1"/>
    </xf>
    <xf numFmtId="0" fontId="27" fillId="16" borderId="5" applyAlignment="1" pivotButton="0" quotePrefix="0" xfId="0">
      <alignment vertical="center" wrapText="1"/>
    </xf>
    <xf numFmtId="0" fontId="27" fillId="4" borderId="5" applyAlignment="1" pivotButton="0" quotePrefix="0" xfId="0">
      <alignment vertical="center" wrapText="1"/>
    </xf>
    <xf numFmtId="0" fontId="44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0" fontId="16" fillId="17" borderId="5" applyAlignment="1" pivotButton="0" quotePrefix="0" xfId="0">
      <alignment vertical="center"/>
    </xf>
    <xf numFmtId="0" fontId="28" fillId="12" borderId="5" applyAlignment="1" pivotButton="0" quotePrefix="0" xfId="0">
      <alignment vertical="center"/>
    </xf>
    <xf numFmtId="0" fontId="45" fillId="16" borderId="5" applyAlignment="1" pivotButton="0" quotePrefix="0" xfId="0">
      <alignment vertical="center" wrapText="1"/>
    </xf>
    <xf numFmtId="0" fontId="22" fillId="15" borderId="5" applyAlignment="1" pivotButton="0" quotePrefix="0" xfId="0">
      <alignment vertical="center"/>
    </xf>
    <xf numFmtId="0" fontId="46" fillId="16" borderId="5" applyAlignment="1" pivotButton="0" quotePrefix="0" xfId="0">
      <alignment vertical="center" wrapText="1"/>
    </xf>
    <xf numFmtId="0" fontId="16" fillId="12" borderId="5" applyAlignment="1" pivotButton="0" quotePrefix="0" xfId="0">
      <alignment vertical="center" wrapText="1"/>
    </xf>
    <xf numFmtId="0" fontId="17" fillId="17" borderId="5" applyAlignment="1" pivotButton="0" quotePrefix="0" xfId="0">
      <alignment vertical="center"/>
    </xf>
    <xf numFmtId="0" fontId="28" fillId="13" borderId="5" applyAlignment="1" pivotButton="0" quotePrefix="0" xfId="0">
      <alignment vertical="center" wrapText="1"/>
    </xf>
    <xf numFmtId="0" fontId="22" fillId="4" borderId="5" applyAlignment="1" pivotButton="0" quotePrefix="0" xfId="0">
      <alignment vertical="center"/>
    </xf>
    <xf numFmtId="0" fontId="17" fillId="11" borderId="5" applyAlignment="1" pivotButton="0" quotePrefix="0" xfId="0">
      <alignment vertical="center" wrapText="1"/>
    </xf>
    <xf numFmtId="0" fontId="17" fillId="11" borderId="5" applyAlignment="1" pivotButton="0" quotePrefix="0" xfId="0">
      <alignment vertical="center"/>
    </xf>
    <xf numFmtId="0" fontId="23" fillId="15" borderId="5" applyAlignment="1" pivotButton="0" quotePrefix="0" xfId="0">
      <alignment vertical="center"/>
    </xf>
    <xf numFmtId="0" fontId="16" fillId="16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vertical="center" wrapText="1"/>
    </xf>
    <xf numFmtId="0" fontId="47" fillId="16" borderId="5" applyAlignment="1" pivotButton="0" quotePrefix="0" xfId="0">
      <alignment vertical="center" wrapText="1"/>
    </xf>
    <xf numFmtId="0" fontId="34" fillId="0" borderId="5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35" fillId="4" borderId="5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18" customWidth="1" style="107" min="3" max="3"/>
    <col width="15.5546875" customWidth="1" style="107" min="4" max="4"/>
    <col width="13.109375" customWidth="1" style="107" min="5" max="5"/>
    <col width="24.6640625" customWidth="1" style="107" min="6" max="7"/>
    <col width="19" customWidth="1" style="107" min="8" max="8"/>
    <col width="36" customWidth="1" style="107" min="9" max="9"/>
    <col width="44" customWidth="1" style="107" min="10" max="10"/>
    <col width="32" customWidth="1" style="107" min="11" max="11"/>
  </cols>
  <sheetData>
    <row r="1" ht="17.25" customHeight="1" s="107">
      <c r="A1" s="1" t="inlineStr">
        <is>
          <t>SIDEX-ACDR2026（シンガポール, 2026/10/27-30）ADRC派遣スタッフ一覧と判定</t>
        </is>
      </c>
    </row>
    <row r="2" ht="30" customHeight="1" s="107">
      <c r="A2" s="121" t="inlineStr">
        <is>
          <t>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107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107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107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107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107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107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107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07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TR819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</t>
        </is>
      </c>
    </row>
    <row r="12" ht="39" customHeight="1" s="107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TR819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</t>
        </is>
      </c>
    </row>
    <row r="13" ht="52.5" customHeight="1" s="107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107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107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見込（手配未確認）</t>
        </is>
      </c>
      <c r="F15" s="5" t="inlineStr">
        <is>
          <t>未確認</t>
        </is>
      </c>
      <c r="G15" s="5" t="inlineStr">
        <is>
          <t>未確認</t>
        </is>
      </c>
      <c r="H15" s="4" t="inlineStr">
        <is>
          <t>Hotel Mi Bencoolen（候補欄・未割当）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フライト未取得（9/4）</t>
        </is>
      </c>
    </row>
    <row r="16" ht="52.5" customHeight="1" s="107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TR819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n"/>
    </row>
    <row r="17" ht="39" customHeight="1" s="107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107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107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107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107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107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107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5" ht="14.25" customHeight="1" s="107">
      <c r="B25" s="10" t="inlineStr">
        <is>
          <t>集計（自動計算）</t>
        </is>
      </c>
    </row>
    <row r="26" ht="14.25" customHeight="1" s="107">
      <c r="B26" s="11" t="inlineStr">
        <is>
          <t>現地参加 確定（フライト要確認含む）</t>
        </is>
      </c>
      <c r="E26" s="10">
        <f>COUNTIF(E5:E23,"確定*")</f>
        <v/>
      </c>
    </row>
    <row r="27" ht="14.25" customHeight="1" s="107">
      <c r="B27" s="11" t="inlineStr">
        <is>
          <t>見込・候補（手配未了）</t>
        </is>
      </c>
      <c r="E27" s="10">
        <f>COUNTIF(E5:E23,"見込*")+COUNTIF(E5:E23,"候補*")</f>
        <v/>
      </c>
    </row>
    <row r="28" ht="14.25" customHeight="1" s="107">
      <c r="B28" s="11" t="inlineStr">
        <is>
          <t>未定</t>
        </is>
      </c>
      <c r="E28" s="10">
        <f>COUNTIF(E5:E23,"未定*")</f>
        <v/>
      </c>
    </row>
    <row r="29" ht="14.25" customHeight="1" s="107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107">
      <c r="B30" s="11" t="inlineStr">
        <is>
          <t>実働運営要員（確定＋見込(Mizan)−役員）</t>
        </is>
      </c>
      <c r="E30" s="10">
        <f>E26+COUNTIF(E5:E23,"見込*")-E29</f>
        <v/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07">
      <c r="B31" s="11" t="inlineStr">
        <is>
          <t>日本側サポート（中村・山口 確定、寺坂・伊達 仮置き）</t>
        </is>
      </c>
      <c r="E31" s="12">
        <f>COUNTIF(E5:E23,"国内サポート（確定）")</f>
        <v/>
      </c>
    </row>
    <row r="32" ht="14.25" customHeight="1" s="107">
      <c r="B32" s="10" t="inlineStr">
        <is>
          <t>凡例</t>
        </is>
      </c>
    </row>
    <row r="33" ht="14.25" customHeight="1" s="107">
      <c r="B33" s="15" t="n"/>
      <c r="C33" s="16" t="inlineStr">
        <is>
          <t>確定（航空券発券済み／確定情報あり）</t>
        </is>
      </c>
    </row>
    <row r="34" ht="14.25" customHeight="1" s="107">
      <c r="B34" s="17" t="n"/>
      <c r="C34" s="16" t="inlineStr">
        <is>
          <t>見込・候補（本人可または担当割当済みだが手配未了）</t>
        </is>
      </c>
    </row>
    <row r="35" ht="14.25" customHeight="1" s="107">
      <c r="B35" s="18" t="n"/>
      <c r="C35" s="16" t="inlineStr">
        <is>
          <t>未定（打診中・根拠不足）</t>
        </is>
      </c>
    </row>
    <row r="36" ht="14.25" customHeight="1" s="107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107" min="2" max="19"/>
  </cols>
  <sheetData>
    <row r="1" ht="15" customHeight="1" s="107">
      <c r="A1" s="21" t="inlineStr">
        <is>
          <t>ACDR2026 動態表（日別 AM/PM）　as of 25 Sep 2026 v2_9（9/25 所内打合せ反映）</t>
        </is>
      </c>
    </row>
    <row r="2" ht="14.25" customHeight="1" s="107">
      <c r="G2" s="22" t="inlineStr">
        <is>
          <t>10/26夜: エリック長官夕食会（宮木・北本・三浦・児玉、調整中）</t>
        </is>
      </c>
    </row>
    <row r="3" ht="15" customHeight="1" s="107">
      <c r="A3" s="23" t="inlineStr">
        <is>
          <t>Staff</t>
        </is>
      </c>
      <c r="B3" s="122" t="inlineStr">
        <is>
          <t>10/24(土)</t>
        </is>
      </c>
      <c r="D3" s="122" t="inlineStr">
        <is>
          <t>10/25(日)</t>
        </is>
      </c>
      <c r="F3" s="122" t="inlineStr">
        <is>
          <t>10/26(月)</t>
        </is>
      </c>
      <c r="H3" s="122" t="inlineStr">
        <is>
          <t>10/27(火)</t>
        </is>
      </c>
      <c r="J3" s="122" t="inlineStr">
        <is>
          <t>10/28(水)</t>
        </is>
      </c>
      <c r="L3" s="122" t="inlineStr">
        <is>
          <t>10/29(木)</t>
        </is>
      </c>
      <c r="N3" s="122" t="inlineStr">
        <is>
          <t>10/30(金)</t>
        </is>
      </c>
      <c r="P3" s="122" t="inlineStr">
        <is>
          <t>10/31(土)</t>
        </is>
      </c>
      <c r="R3" s="122" t="inlineStr">
        <is>
          <t>11/1(日)</t>
        </is>
      </c>
    </row>
    <row r="4" ht="14.25" customHeight="1" s="107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107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16:00設営→19:00-21:00 大使公邸レセプション</t>
        </is>
      </c>
      <c r="J5" s="27" t="inlineStr">
        <is>
          <t>07:30会場テスト／10:00 Joint Opening／VIP Tour</t>
        </is>
      </c>
      <c r="K5" s="27" t="inlineStr">
        <is>
          <t>12:45 ACDR Opening／13:00-15:00 Roundtable(1)／15:15-16:15 SC／17:30 Dorsett発／18:30 Gala　※RT分割・SC前倒しは9/25所内案、COSEM・内閣府と調整中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13:00〜 Field Trip(CDA)／18:30 SCDF Parade 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107">
      <c r="A6" s="28">
        <f>人員一覧・判定!B5</f>
        <v/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107">
      <c r="A7" s="28">
        <f>人員一覧・判定!B6</f>
        <v/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107">
      <c r="A8" s="28">
        <f>人員一覧・判定!B7</f>
        <v/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107">
      <c r="A9" s="28">
        <f>人員一覧・判定!B8</f>
        <v/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107">
      <c r="A10" s="40">
        <f>人員一覧・判定!B9</f>
        <v/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107">
      <c r="A11" s="40">
        <f>人員一覧・判定!B10</f>
        <v/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107">
      <c r="A12" s="40">
        <f>人員一覧・判定!B11</f>
        <v/>
      </c>
      <c r="B12" s="29" t="n"/>
      <c r="C12" s="29" t="n"/>
      <c r="D12" s="30" t="inlineStr">
        <is>
          <t>KIX-SIN(TR819)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107">
      <c r="A13" s="40">
        <f>人員一覧・判定!B12</f>
        <v/>
      </c>
      <c r="B13" s="29" t="n"/>
      <c r="C13" s="29" t="n"/>
      <c r="D13" s="30" t="inlineStr">
        <is>
          <t>KIX-SIN(TR819)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107">
      <c r="A14" s="40">
        <f>人員一覧・判定!B13</f>
        <v/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107">
      <c r="A15" s="40">
        <f>人員一覧・判定!C14</f>
        <v/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107">
      <c r="A16" s="40">
        <f>人員一覧・判定!C15</f>
        <v/>
      </c>
      <c r="B16" s="29" t="n"/>
      <c r="C16" s="29" t="n"/>
      <c r="D16" s="29" t="n"/>
      <c r="E16" s="29" t="n"/>
      <c r="F16" s="42" t="inlineStr">
        <is>
          <t>(未手配)</t>
        </is>
      </c>
      <c r="G16" s="42" t="inlineStr">
        <is>
          <t>(未手配)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(未手配)</t>
        </is>
      </c>
      <c r="Q16" s="29" t="n"/>
      <c r="R16" s="29" t="n"/>
      <c r="S16" s="29" t="n"/>
    </row>
    <row r="17" ht="39.75" customHeight="1" s="107">
      <c r="A17" s="40">
        <f>人員一覧・判定!B16</f>
        <v/>
      </c>
      <c r="B17" s="29" t="n"/>
      <c r="C17" s="29" t="n"/>
      <c r="D17" s="29" t="n"/>
      <c r="E17" s="29" t="n"/>
      <c r="F17" s="39" t="inlineStr">
        <is>
          <t>KIX-SIN(TR819)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107">
      <c r="A18" s="40">
        <f>人員一覧・判定!B17</f>
        <v/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107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/>
      </c>
      <c r="C19" s="46">
        <f>COUNTA(C6:C18)-COUNTIF(C6:C18,"*未手配*")-COUNTIF(C6:C18,"*要確認*")-COUNTIF(C6:C18,"*NRT着*")-COUNTIF(C6:C18,"*HND着*")-COUNTIF(C6:C18,"*KIX着*")-COUNTIF(C6:C18,"*GVA着*")</f>
        <v/>
      </c>
      <c r="D19" s="46">
        <f>COUNTA(D6:D18)-COUNTIF(D6:D18,"*未手配*")-COUNTIF(D6:D18,"*要確認*")-COUNTIF(D6:D18,"*NRT着*")-COUNTIF(D6:D18,"*HND着*")-COUNTIF(D6:D18,"*KIX着*")-COUNTIF(D6:D18,"*GVA着*")</f>
        <v/>
      </c>
      <c r="E19" s="46">
        <f>COUNTA(E6:E18)-COUNTIF(E6:E18,"*未手配*")-COUNTIF(E6:E18,"*要確認*")-COUNTIF(E6:E18,"*NRT着*")-COUNTIF(E6:E18,"*HND着*")-COUNTIF(E6:E18,"*KIX着*")-COUNTIF(E6:E18,"*GVA着*")</f>
        <v/>
      </c>
      <c r="F19" s="46">
        <f>COUNTA(F6:F18)-COUNTIF(F6:F18,"*未手配*")-COUNTIF(F6:F18,"*要確認*")-COUNTIF(F6:F18,"*NRT着*")-COUNTIF(F6:F18,"*HND着*")-COUNTIF(F6:F18,"*KIX着*")-COUNTIF(F6:F18,"*GVA着*")</f>
        <v/>
      </c>
      <c r="G19" s="46">
        <f>COUNTA(G6:G18)-COUNTIF(G6:G18,"*未手配*")-COUNTIF(G6:G18,"*要確認*")-COUNTIF(G6:G18,"*NRT着*")-COUNTIF(G6:G18,"*HND着*")-COUNTIF(G6:G18,"*KIX着*")-COUNTIF(G6:G18,"*GVA着*")</f>
        <v/>
      </c>
      <c r="H19" s="46">
        <f>COUNTA(H6:H18)-COUNTIF(H6:H18,"*未手配*")-COUNTIF(H6:H18,"*要確認*")-COUNTIF(H6:H18,"*NRT着*")-COUNTIF(H6:H18,"*HND着*")-COUNTIF(H6:H18,"*KIX着*")-COUNTIF(H6:H18,"*GVA着*")</f>
        <v/>
      </c>
      <c r="I19" s="46">
        <f>COUNTA(I6:I18)-COUNTIF(I6:I18,"*未手配*")-COUNTIF(I6:I18,"*要確認*")-COUNTIF(I6:I18,"*NRT着*")-COUNTIF(I6:I18,"*HND着*")-COUNTIF(I6:I18,"*KIX着*")-COUNTIF(I6:I18,"*GVA着*")</f>
        <v/>
      </c>
      <c r="J19" s="46">
        <f>COUNTA(J6:J18)-COUNTIF(J6:J18,"*未手配*")-COUNTIF(J6:J18,"*要確認*")-COUNTIF(J6:J18,"*NRT着*")-COUNTIF(J6:J18,"*HND着*")-COUNTIF(J6:J18,"*KIX着*")-COUNTIF(J6:J18,"*GVA着*")</f>
        <v/>
      </c>
      <c r="K19" s="46">
        <f>COUNTA(K6:K18)-COUNTIF(K6:K18,"*未手配*")-COUNTIF(K6:K18,"*要確認*")-COUNTIF(K6:K18,"*NRT着*")-COUNTIF(K6:K18,"*HND着*")-COUNTIF(K6:K18,"*KIX着*")-COUNTIF(K6:K18,"*GVA着*")</f>
        <v/>
      </c>
      <c r="L19" s="46">
        <f>COUNTA(L6:L18)-COUNTIF(L6:L18,"*未手配*")-COUNTIF(L6:L18,"*要確認*")-COUNTIF(L6:L18,"*NRT着*")-COUNTIF(L6:L18,"*HND着*")-COUNTIF(L6:L18,"*KIX着*")-COUNTIF(L6:L18,"*GVA着*")</f>
        <v/>
      </c>
      <c r="M19" s="46">
        <f>COUNTA(M6:M18)-COUNTIF(M6:M18,"*未手配*")-COUNTIF(M6:M18,"*要確認*")-COUNTIF(M6:M18,"*NRT着*")-COUNTIF(M6:M18,"*HND着*")-COUNTIF(M6:M18,"*KIX着*")-COUNTIF(M6:M18,"*GVA着*")</f>
        <v/>
      </c>
      <c r="N19" s="46">
        <f>COUNTA(N6:N18)-COUNTIF(N6:N18,"*未手配*")-COUNTIF(N6:N18,"*要確認*")-COUNTIF(N6:N18,"*NRT着*")-COUNTIF(N6:N18,"*HND着*")-COUNTIF(N6:N18,"*KIX着*")-COUNTIF(N6:N18,"*GVA着*")</f>
        <v/>
      </c>
      <c r="O19" s="46">
        <f>COUNTA(O6:O18)-COUNTIF(O6:O18,"*未手配*")-COUNTIF(O6:O18,"*要確認*")-COUNTIF(O6:O18,"*NRT着*")-COUNTIF(O6:O18,"*HND着*")-COUNTIF(O6:O18,"*KIX着*")-COUNTIF(O6:O18,"*GVA着*")</f>
        <v/>
      </c>
      <c r="P19" s="46">
        <f>COUNTA(P6:P18)-COUNTIF(P6:P18,"*未手配*")-COUNTIF(P6:P18,"*要確認*")-COUNTIF(P6:P18,"*NRT着*")-COUNTIF(P6:P18,"*HND着*")-COUNTIF(P6:P18,"*KIX着*")-COUNTIF(P6:P18,"*GVA着*")</f>
        <v/>
      </c>
      <c r="Q19" s="46">
        <f>COUNTA(Q6:Q18)-COUNTIF(Q6:Q18,"*未手配*")-COUNTIF(Q6:Q18,"*要確認*")-COUNTIF(Q6:Q18,"*NRT着*")-COUNTIF(Q6:Q18,"*HND着*")-COUNTIF(Q6:Q18,"*KIX着*")-COUNTIF(Q6:Q18,"*GVA着*")</f>
        <v/>
      </c>
      <c r="R19" s="46">
        <f>COUNTA(R6:R18)-COUNTIF(R6:R18,"*未手配*")-COUNTIF(R6:R18,"*要確認*")-COUNTIF(R6:R18,"*NRT着*")-COUNTIF(R6:R18,"*HND着*")-COUNTIF(R6:R18,"*KIX着*")-COUNTIF(R6:R18,"*GVA着*")</f>
        <v/>
      </c>
      <c r="S19" s="46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107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/>
      </c>
      <c r="C20" s="47">
        <f>COUNTA(C17:C18)-COUNTIF(C17:C18,"*未手配*")-COUNTIF(C17:C18,"*要確認*")-COUNTIF(C17:C18,"*NRT着*")-COUNTIF(C17:C18,"*HND着*")-COUNTIF(C17:C18,"*KIX着*")-COUNTIF(C17:C18,"*GVA着*")</f>
        <v/>
      </c>
      <c r="D20" s="47">
        <f>COUNTA(D17:D18)-COUNTIF(D17:D18,"*未手配*")-COUNTIF(D17:D18,"*要確認*")-COUNTIF(D17:D18,"*NRT着*")-COUNTIF(D17:D18,"*HND着*")-COUNTIF(D17:D18,"*KIX着*")-COUNTIF(D17:D18,"*GVA着*")</f>
        <v/>
      </c>
      <c r="E20" s="47">
        <f>COUNTA(E17:E18)-COUNTIF(E17:E18,"*未手配*")-COUNTIF(E17:E18,"*要確認*")-COUNTIF(E17:E18,"*NRT着*")-COUNTIF(E17:E18,"*HND着*")-COUNTIF(E17:E18,"*KIX着*")-COUNTIF(E17:E18,"*GVA着*")</f>
        <v/>
      </c>
      <c r="F20" s="47">
        <f>COUNTA(F17:F18)-COUNTIF(F17:F18,"*未手配*")-COUNTIF(F17:F18,"*要確認*")-COUNTIF(F17:F18,"*NRT着*")-COUNTIF(F17:F18,"*HND着*")-COUNTIF(F17:F18,"*KIX着*")-COUNTIF(F17:F18,"*GVA着*")</f>
        <v/>
      </c>
      <c r="G20" s="47">
        <f>COUNTA(G17:G18)-COUNTIF(G17:G18,"*未手配*")-COUNTIF(G17:G18,"*要確認*")-COUNTIF(G17:G18,"*NRT着*")-COUNTIF(G17:G18,"*HND着*")-COUNTIF(G17:G18,"*KIX着*")-COUNTIF(G17:G18,"*GVA着*")</f>
        <v/>
      </c>
      <c r="H20" s="47">
        <f>COUNTA(H17:H18)-COUNTIF(H17:H18,"*未手配*")-COUNTIF(H17:H18,"*要確認*")-COUNTIF(H17:H18,"*NRT着*")-COUNTIF(H17:H18,"*HND着*")-COUNTIF(H17:H18,"*KIX着*")-COUNTIF(H17:H18,"*GVA着*")</f>
        <v/>
      </c>
      <c r="I20" s="47">
        <f>COUNTA(I17:I18)-COUNTIF(I17:I18,"*未手配*")-COUNTIF(I17:I18,"*要確認*")-COUNTIF(I17:I18,"*NRT着*")-COUNTIF(I17:I18,"*HND着*")-COUNTIF(I17:I18,"*KIX着*")-COUNTIF(I17:I18,"*GVA着*")</f>
        <v/>
      </c>
      <c r="J20" s="47">
        <f>COUNTA(J17:J18)-COUNTIF(J17:J18,"*未手配*")-COUNTIF(J17:J18,"*要確認*")-COUNTIF(J17:J18,"*NRT着*")-COUNTIF(J17:J18,"*HND着*")-COUNTIF(J17:J18,"*KIX着*")-COUNTIF(J17:J18,"*GVA着*")</f>
        <v/>
      </c>
      <c r="K20" s="47">
        <f>COUNTA(K17:K18)-COUNTIF(K17:K18,"*未手配*")-COUNTIF(K17:K18,"*要確認*")-COUNTIF(K17:K18,"*NRT着*")-COUNTIF(K17:K18,"*HND着*")-COUNTIF(K17:K18,"*KIX着*")-COUNTIF(K17:K18,"*GVA着*")</f>
        <v/>
      </c>
      <c r="L20" s="47">
        <f>COUNTA(L17:L18)-COUNTIF(L17:L18,"*未手配*")-COUNTIF(L17:L18,"*要確認*")-COUNTIF(L17:L18,"*NRT着*")-COUNTIF(L17:L18,"*HND着*")-COUNTIF(L17:L18,"*KIX着*")-COUNTIF(L17:L18,"*GVA着*")</f>
        <v/>
      </c>
      <c r="M20" s="47">
        <f>COUNTA(M17:M18)-COUNTIF(M17:M18,"*未手配*")-COUNTIF(M17:M18,"*要確認*")-COUNTIF(M17:M18,"*NRT着*")-COUNTIF(M17:M18,"*HND着*")-COUNTIF(M17:M18,"*KIX着*")-COUNTIF(M17:M18,"*GVA着*")</f>
        <v/>
      </c>
      <c r="N20" s="47">
        <f>COUNTA(N17:N18)-COUNTIF(N17:N18,"*未手配*")-COUNTIF(N17:N18,"*要確認*")-COUNTIF(N17:N18,"*NRT着*")-COUNTIF(N17:N18,"*HND着*")-COUNTIF(N17:N18,"*KIX着*")-COUNTIF(N17:N18,"*GVA着*")</f>
        <v/>
      </c>
      <c r="O20" s="47">
        <f>COUNTA(O17:O18)-COUNTIF(O17:O18,"*未手配*")-COUNTIF(O17:O18,"*要確認*")-COUNTIF(O17:O18,"*NRT着*")-COUNTIF(O17:O18,"*HND着*")-COUNTIF(O17:O18,"*KIX着*")-COUNTIF(O17:O18,"*GVA着*")</f>
        <v/>
      </c>
      <c r="P20" s="47">
        <f>COUNTA(P17:P18)-COUNTIF(P17:P18,"*未手配*")-COUNTIF(P17:P18,"*要確認*")-COUNTIF(P17:P18,"*NRT着*")-COUNTIF(P17:P18,"*HND着*")-COUNTIF(P17:P18,"*KIX着*")-COUNTIF(P17:P18,"*GVA着*")</f>
        <v/>
      </c>
      <c r="Q20" s="47">
        <f>COUNTA(Q17:Q18)-COUNTIF(Q17:Q18,"*未手配*")-COUNTIF(Q17:Q18,"*要確認*")-COUNTIF(Q17:Q18,"*NRT着*")-COUNTIF(Q17:Q18,"*HND着*")-COUNTIF(Q17:Q18,"*KIX着*")-COUNTIF(Q17:Q18,"*GVA着*")</f>
        <v/>
      </c>
      <c r="R20" s="47">
        <f>COUNTA(R17:R18)-COUNTIF(R17:R18,"*未手配*")-COUNTIF(R17:R18,"*要確認*")-COUNTIF(R17:R18,"*NRT着*")-COUNTIF(R17:R18,"*HND着*")-COUNTIF(R17:R18,"*KIX着*")-COUNTIF(R17:R18,"*GVA着*")</f>
        <v/>
      </c>
      <c r="S20" s="47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107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07">
      <c r="A22" t="inlineStr">
        <is>
          <t>None</t>
        </is>
      </c>
    </row>
    <row r="23" ht="14.25" customHeight="1" s="107">
      <c r="A23" s="123" t="inlineStr">
        <is>
          <t>日本側サポート（神戸）　※JST = SGT + 1時間</t>
        </is>
      </c>
    </row>
    <row r="24" ht="39.75" customHeight="1" s="107">
      <c r="A24" s="49">
        <f>人員一覧・判定!B18</f>
        <v/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107">
      <c r="A25" s="49">
        <f>人員一覧・判定!B19</f>
        <v/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107">
      <c r="A26" s="49">
        <f>人員一覧・判定!B21</f>
        <v/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107">
      <c r="A27" s="49">
        <f>人員一覧・判定!B20</f>
        <v/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107">
      <c r="A28" s="14" t="n"/>
    </row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B4" s="153" t="inlineStr">
        <is>
          <t>参加者到着(Dorsett): 07:15モルディブ/08:10スリランカ/08:45アルメニア・トルコ・ウズベキスタン/11:15パキスタン/11:20インドネシア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5" t="n"/>
      <c r="L4" s="153" t="inlineStr">
        <is>
          <t>到着: 12:20マレーシア/14:30ブルネイ/14:50タイ/15:10ミャンマー</t>
        </is>
      </c>
      <c r="M4" s="94" t="n"/>
      <c r="N4" s="94" t="n"/>
      <c r="O4" s="94" t="n"/>
      <c r="P4" s="94" t="n"/>
      <c r="Q4" s="94" t="n"/>
      <c r="R4" s="94" t="n"/>
      <c r="S4" s="95" t="n"/>
      <c r="T4" s="153" t="inlineStr">
        <is>
          <t>大使公邸 設営（名札セット持込・受付配置）</t>
        </is>
      </c>
      <c r="U4" s="94" t="n"/>
      <c r="V4" s="94" t="n"/>
      <c r="W4" s="94" t="n"/>
      <c r="X4" s="94" t="n"/>
      <c r="Y4" s="95" t="n"/>
      <c r="Z4" s="153" t="inlineStr">
        <is>
          <t>レセプション 19:00-21:00（大使挨拶・乾杯・内閣府発表）</t>
        </is>
      </c>
      <c r="AA4" s="94" t="n"/>
      <c r="AB4" s="94" t="n"/>
      <c r="AC4" s="94" t="n"/>
      <c r="AD4" s="95" t="n"/>
      <c r="AE4" t="inlineStr">
        <is>
          <t>撤収</t>
        </is>
      </c>
    </row>
    <row r="5" ht="1.5" customHeight="1" s="107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102" t="n"/>
      <c r="Y5" s="102" t="n"/>
      <c r="Z5" s="102" t="n"/>
      <c r="AA5" s="102" t="n"/>
      <c r="AB5" s="102" t="n"/>
      <c r="AC5" s="102" t="n"/>
    </row>
    <row r="6" ht="21.75" customHeight="1" s="107">
      <c r="A6" s="40">
        <f>人員一覧・判定!B5</f>
        <v/>
      </c>
      <c r="H6" s="154" t="inlineStr">
        <is>
          <t>会場を短時間下見→大使館表敬（午前、足立氏と時間調整。26日は長官夕食会のため不可）</t>
        </is>
      </c>
      <c r="I6" s="94" t="n"/>
      <c r="J6" s="95" t="n"/>
      <c r="X6" s="124" t="n"/>
      <c r="Y6" s="155" t="inlineStr">
        <is>
          <t>レセプション出席(VIP)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H7" s="154" t="inlineStr">
        <is>
          <t>会場を短時間下見→大使館表敬（午前、足立氏と時間調整。26日は長官夕食会のため不可）</t>
        </is>
      </c>
      <c r="I7" s="94" t="n"/>
      <c r="J7" s="95" t="n"/>
      <c r="X7" s="124" t="n"/>
      <c r="Y7" s="155" t="inlineStr">
        <is>
          <t>レセプション出席(VIP)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F8" s="155" t="inlineStr">
        <is>
          <t>会場を短時間下見→大使館表敬（午前、足立氏と時間調整。26日は長官夕食会のため不可）</t>
        </is>
      </c>
      <c r="G8" s="94" t="n"/>
      <c r="H8" s="94" t="n"/>
      <c r="I8" s="94" t="n"/>
      <c r="J8" s="94" t="n"/>
      <c r="K8" s="95" t="n"/>
      <c r="W8" s="155" t="inlineStr">
        <is>
          <t>レセプション(大使・内閣府対応)</t>
        </is>
      </c>
      <c r="X8" s="94" t="n"/>
      <c r="Y8" s="94" t="n"/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F9" s="154" t="inlineStr">
        <is>
          <t>会場下見(全員 9-11)→公邸・ケータリング最終確認</t>
        </is>
      </c>
      <c r="G9" s="94" t="n"/>
      <c r="H9" s="94" t="n"/>
      <c r="I9" s="94" t="n"/>
      <c r="J9" s="94" t="n"/>
      <c r="K9" s="95" t="n"/>
      <c r="T9" s="156" t="inlineStr">
        <is>
          <t>公邸設営・MC進行確認</t>
        </is>
      </c>
      <c r="U9" s="94" t="n"/>
      <c r="V9" s="94" t="n"/>
      <c r="W9" s="94" t="n"/>
      <c r="X9" s="95" t="n"/>
      <c r="Y9" s="157" t="inlineStr">
        <is>
          <t>MC/進行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F10" s="154" t="inlineStr">
        <is>
          <t>会場下見引率(全員 9-11)</t>
        </is>
      </c>
      <c r="G10" s="95" t="n"/>
      <c r="H10" s="154" t="inlineStr">
        <is>
          <t>→北本ブリーフ(11:00-)</t>
        </is>
      </c>
      <c r="I10" s="94" t="n"/>
      <c r="J10" s="95" t="n"/>
      <c r="N10" s="156" t="inlineStr">
        <is>
          <t>機材・Zoom・AI通訳準備／日本側(中村・山口)と接続テスト②(JST14-17)</t>
        </is>
      </c>
      <c r="O10" s="94" t="n"/>
      <c r="P10" s="94" t="n"/>
      <c r="Q10" s="94" t="n"/>
      <c r="R10" s="94" t="n"/>
      <c r="S10" s="95" t="n"/>
      <c r="T10" s="156" t="inlineStr">
        <is>
          <t>公邸設営・運営・撤収</t>
        </is>
      </c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5" t="n"/>
    </row>
    <row r="11" ht="21.75" customHeight="1" s="107">
      <c r="A11" s="40">
        <f>人員一覧・判定!B10</f>
        <v/>
      </c>
      <c r="F11" s="154" t="inlineStr">
        <is>
          <t>会場下見(全員 9-11)→公邸・ケータリング最終確認</t>
        </is>
      </c>
      <c r="G11" s="94" t="n"/>
      <c r="H11" s="94" t="n"/>
      <c r="I11" s="94" t="n"/>
      <c r="J11" s="94" t="n"/>
      <c r="K11" s="95" t="n"/>
      <c r="T11" s="158" t="inlineStr">
        <is>
          <t>公邸受付準備</t>
        </is>
      </c>
      <c r="U11" s="94" t="n"/>
      <c r="V11" s="94" t="n"/>
      <c r="W11" s="94" t="n"/>
      <c r="X11" s="95" t="n"/>
      <c r="Y11" s="158" t="inlineStr">
        <is>
          <t>受付/進行補佐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9" t="inlineStr">
        <is>
          <t>Dorsett受付(到着者対応)／下見は交代で</t>
        </is>
      </c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5" t="n"/>
      <c r="T12" s="158" t="inlineStr">
        <is>
          <t>公邸受付準備(名札セット)</t>
        </is>
      </c>
      <c r="U12" s="94" t="n"/>
      <c r="V12" s="94" t="n"/>
      <c r="W12" s="94" t="n"/>
      <c r="X12" s="95" t="n"/>
      <c r="Y12" s="158" t="inlineStr">
        <is>
          <t>受付/名札配布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9" t="inlineStr">
        <is>
          <t>Dorsett受付(到着者・送迎確認)／下見は交代で</t>
        </is>
      </c>
      <c r="E13" s="94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5" t="n"/>
      <c r="T13" s="158" t="inlineStr">
        <is>
          <t>公邸受付準備</t>
        </is>
      </c>
      <c r="U13" s="94" t="n"/>
      <c r="V13" s="94" t="n"/>
      <c r="W13" s="94" t="n"/>
      <c r="X13" s="95" t="n"/>
      <c r="Y13" s="158" t="inlineStr">
        <is>
          <t>受付/名札配布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F14" s="156" t="inlineStr">
        <is>
          <t>会場下見(全員 9-11)→Japan Pavilion確認</t>
        </is>
      </c>
      <c r="G14" s="94" t="n"/>
      <c r="H14" s="94" t="n"/>
      <c r="I14" s="94" t="n"/>
      <c r="J14" s="94" t="n"/>
      <c r="K14" s="95" t="n"/>
      <c r="N14" s="156" t="inlineStr">
        <is>
          <t>機材準備／日本側と接続テスト②(録画・Q&amp;A確認)</t>
        </is>
      </c>
      <c r="O14" s="94" t="n"/>
      <c r="P14" s="94" t="n"/>
      <c r="Q14" s="94" t="n"/>
      <c r="R14" s="94" t="n"/>
      <c r="S14" s="95" t="n"/>
      <c r="W14" s="160" t="inlineStr">
        <is>
          <t>レセプション(設営補助)</t>
        </is>
      </c>
      <c r="X14" s="94" t="n"/>
      <c r="Y14" s="94" t="n"/>
      <c r="Z14" s="94" t="n"/>
      <c r="AA14" s="94" t="n"/>
      <c r="AB14" s="94" t="n"/>
      <c r="AC14" s="94" t="n"/>
      <c r="AD14" s="95" t="n"/>
    </row>
    <row r="15" ht="24.75" customHeight="1" s="107">
      <c r="A15" s="58">
        <f>人員一覧・判定!C14</f>
        <v/>
      </c>
      <c r="F15" s="154" t="inlineStr">
        <is>
          <t>会場下見(全員 9-11)→RT/Summary準備</t>
        </is>
      </c>
      <c r="G15" s="94" t="n"/>
      <c r="H15" s="94" t="n"/>
      <c r="I15" s="94" t="n"/>
      <c r="J15" s="94" t="n"/>
      <c r="K15" s="95" t="n"/>
      <c r="N15" s="125" t="inlineStr">
        <is>
          <t>到着者対応補助</t>
        </is>
      </c>
      <c r="O15" s="94" t="n"/>
      <c r="P15" s="94" t="n"/>
      <c r="Q15" s="94" t="n"/>
      <c r="T15" s="161" t="inlineStr">
        <is>
          <t>公邸設営補助</t>
        </is>
      </c>
      <c r="U15" s="94" t="n"/>
      <c r="V15" s="95" t="n"/>
      <c r="W15" s="160" t="inlineStr">
        <is>
          <t>レセプション</t>
        </is>
      </c>
      <c r="X15" s="94" t="n"/>
      <c r="Y15" s="94" t="n"/>
      <c r="Z15" s="94" t="n"/>
      <c r="AA15" s="94" t="n"/>
      <c r="AB15" s="94" t="n"/>
      <c r="AC15" s="94" t="n"/>
      <c r="AD15" s="95" t="n"/>
    </row>
    <row r="16" ht="21" customHeight="1" s="107">
      <c r="A16" s="40">
        <f>人員一覧・判定!C15</f>
        <v/>
      </c>
      <c r="F16" s="154" t="inlineStr">
        <is>
          <t>会場下見(全員 9-11)→登壇者連絡・接続テスト</t>
        </is>
      </c>
      <c r="G16" s="94" t="n"/>
      <c r="H16" s="94" t="n"/>
      <c r="I16" s="94" t="n"/>
      <c r="J16" s="94" t="n"/>
      <c r="K16" s="95" t="n"/>
      <c r="N16" s="125" t="inlineStr">
        <is>
          <t>到着者対応補助</t>
        </is>
      </c>
      <c r="O16" s="94" t="n"/>
      <c r="P16" s="94" t="n"/>
      <c r="Q16" s="94" t="n"/>
      <c r="R16" s="94" t="n"/>
      <c r="S16" s="95" t="n"/>
      <c r="T16" s="161" t="inlineStr">
        <is>
          <t>公邸設営補助</t>
        </is>
      </c>
      <c r="U16" s="94" t="n"/>
      <c r="V16" s="95" t="n"/>
      <c r="W16" s="160" t="inlineStr">
        <is>
          <t>レセプション</t>
        </is>
      </c>
      <c r="X16" s="94" t="n"/>
      <c r="Y16" s="94" t="n"/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F17" s="154" t="inlineStr">
        <is>
          <t>会場下見(全員 9-11)→公邸・ケータリング最終確認/撮影準備</t>
        </is>
      </c>
      <c r="G17" s="94" t="n"/>
      <c r="H17" s="94" t="n"/>
      <c r="I17" s="94" t="n"/>
      <c r="J17" s="94" t="n"/>
      <c r="K17" s="95" t="n"/>
      <c r="N17" s="125" t="inlineStr">
        <is>
          <t>到着者対応補助</t>
        </is>
      </c>
      <c r="O17" s="94" t="n"/>
      <c r="P17" s="94" t="n"/>
      <c r="Q17" s="94" t="n"/>
      <c r="R17" s="94" t="n"/>
      <c r="S17" s="95" t="n"/>
      <c r="T17" s="156" t="inlineStr">
        <is>
          <t>公邸設営・MC進行確認</t>
        </is>
      </c>
      <c r="U17" s="94" t="n"/>
      <c r="V17" s="94" t="n"/>
      <c r="W17" s="94" t="n"/>
      <c r="X17" s="95" t="n"/>
      <c r="Y17" s="156" t="inlineStr">
        <is>
          <t>写真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F18" s="158" t="inlineStr">
        <is>
          <t>会場下見(全員 9-11)→到着者対応(ウズベキスタン等)</t>
        </is>
      </c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5" t="n"/>
      <c r="T18" s="161" t="inlineStr">
        <is>
          <t>公邸設営補助</t>
        </is>
      </c>
      <c r="U18" s="94" t="n"/>
      <c r="V18" s="95" t="n"/>
      <c r="W18" s="158" t="inlineStr">
        <is>
          <t>レセプション受付補助</t>
        </is>
      </c>
      <c r="X18" s="94" t="n"/>
      <c r="Y18" s="94" t="n"/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29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162" t="inlineStr">
        <is>
          <t>AI通訳ツール最終設定 (JST10-13)</t>
        </is>
      </c>
      <c r="G24" s="94" t="n"/>
      <c r="H24" s="94" t="n"/>
      <c r="I24" s="94" t="n"/>
      <c r="J24" s="94" t="n"/>
      <c r="K24" s="95" t="n"/>
      <c r="N24" s="163" t="inlineStr">
        <is>
          <t>接続テスト②: Webinar/Zoomホスト設定・現地(荒木田・池田)と接続 (JST14-17)</t>
        </is>
      </c>
      <c r="O24" s="94" t="n"/>
      <c r="P24" s="94" t="n"/>
      <c r="Q24" s="94" t="n"/>
      <c r="R24" s="94" t="n"/>
      <c r="S24" s="95" t="n"/>
    </row>
    <row r="25" ht="21.75" customHeight="1" s="107">
      <c r="A25" s="49">
        <f>人員一覧・判定!B19</f>
        <v/>
      </c>
      <c r="F25" s="164" t="inlineStr">
        <is>
          <t>録画設定テスト(クラウド+ローカル)</t>
        </is>
      </c>
      <c r="G25" s="94" t="n"/>
      <c r="H25" s="94" t="n"/>
      <c r="I25" s="94" t="n"/>
      <c r="J25" s="94" t="n"/>
      <c r="K25" s="95" t="n"/>
      <c r="N25" s="161" t="inlineStr">
        <is>
          <t>接続テスト②参加・録画リハ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N26" s="165" t="inlineStr">
        <is>
          <t xml:space="preserve">録画テスト(日英2台) </t>
        </is>
      </c>
      <c r="O26" s="94" t="n"/>
      <c r="P26" s="94" t="n"/>
      <c r="Q26" s="94" t="n"/>
      <c r="R26" s="94" t="n"/>
      <c r="S26" s="95" t="n"/>
    </row>
    <row r="27" ht="21.75" customHeight="1" s="107">
      <c r="A27" s="49">
        <f>人員一覧・判定!B20</f>
        <v/>
      </c>
      <c r="N27" s="166" t="inlineStr">
        <is>
          <t>Webinar設定・ホスト/録画確認</t>
        </is>
      </c>
      <c r="O27" s="94" t="n"/>
      <c r="P27" s="94" t="n"/>
      <c r="Q27" s="94" t="n"/>
      <c r="R27" s="94" t="n"/>
      <c r="S27" s="95" t="n"/>
    </row>
    <row r="28" ht="14.25" customHeight="1" s="107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F8:K8"/>
    <mergeCell ref="Y17:AD17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W18:AD18"/>
    <mergeCell ref="T15:V15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N17:Q17"/>
    <mergeCell ref="W8:AD8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J12" sqref="AJ12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28 OCT 2026 (WED)  Day 1: Joint Opening / ACDR Opening / Roundtable / SC / Gala Dinner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C4" s="160" t="inlineStr">
        <is>
          <t>会場・NW最終テスト(演台・客席・事務局部屋)／事務局部屋立上げ／Hotel Mi→EXPO バス</t>
        </is>
      </c>
      <c r="D4" s="94" t="n"/>
      <c r="E4" s="94" t="n"/>
      <c r="F4" s="95" t="n"/>
      <c r="H4" s="97" t="inlineStr">
        <is>
          <t>Joint Opening (Hall 3)</t>
        </is>
      </c>
      <c r="I4" s="167" t="inlineStr">
        <is>
          <t>VIP Tour／Japan Pavilion（開会式ではなくVIPツアー立寄り時の展示挨拶）／11:15表敬　※ADRC参加者のEXPO見学はVIPツアーに合わせ短縮</t>
        </is>
      </c>
      <c r="J4" s="95" t="n"/>
      <c r="K4" s="167" t="inlineStr">
        <is>
          <t>Lunch (Hall 3)</t>
        </is>
      </c>
      <c r="L4" s="95" t="n"/>
      <c r="M4" s="97" t="inlineStr">
        <is>
          <t>ACDR Opening</t>
        </is>
      </c>
      <c r="N4" s="167" t="inlineStr">
        <is>
          <t>Roundtable (1) (Peridot) 13:00-15:00　※9/25案: 30分短縮し続きを29日09:00に。SCDFモデレーター+メンバー国Co-Mod</t>
        </is>
      </c>
      <c r="O4" s="94" t="n"/>
      <c r="P4" s="94" t="n"/>
      <c r="Q4" s="94" t="n"/>
      <c r="R4" s="95" t="n"/>
      <c r="S4" s="167" t="inlineStr">
        <is>
          <t>Steering Committee 15:15-16:15（9/25案: 30分前倒し）</t>
        </is>
      </c>
      <c r="T4" s="95" t="n"/>
      <c r="W4" s="167" t="inlineStr">
        <is>
          <t>Dorsett 17:30発→Orchard Hotel</t>
        </is>
      </c>
      <c r="X4" s="95" t="n"/>
      <c r="Y4" s="167" t="inlineStr">
        <is>
          <t>SIDEX Gala Dinner (Grand Ballroom)</t>
        </is>
      </c>
      <c r="Z4" s="94" t="n"/>
      <c r="AA4" s="94" t="n"/>
      <c r="AB4" s="94" t="n"/>
      <c r="AC4" s="95" t="n"/>
    </row>
    <row r="5" ht="3.75" customHeight="1" s="107">
      <c r="A5" s="54" t="n"/>
      <c r="C5" s="56" t="n"/>
      <c r="D5" s="56" t="n"/>
      <c r="E5" s="56" t="n"/>
      <c r="F5" s="56" t="n"/>
      <c r="H5" s="97" t="n"/>
      <c r="I5" s="97" t="n"/>
      <c r="J5" s="97" t="n"/>
      <c r="K5" s="62" t="n"/>
      <c r="L5" s="62" t="n"/>
      <c r="M5" s="97" t="n"/>
      <c r="N5" s="97" t="n"/>
      <c r="O5" s="97" t="n"/>
      <c r="P5" s="97" t="n"/>
      <c r="Q5" s="97" t="n"/>
      <c r="R5" s="97" t="n"/>
      <c r="S5" s="97" t="n"/>
      <c r="T5" s="97" t="n"/>
      <c r="W5" s="97" t="n"/>
      <c r="X5" s="97" t="n"/>
      <c r="Y5" s="97" t="n"/>
      <c r="Z5" s="97" t="n"/>
      <c r="AA5" s="97" t="n"/>
      <c r="AB5" s="97" t="n"/>
      <c r="AC5" s="97" t="n"/>
    </row>
    <row r="6" ht="21.75" customHeight="1" s="107">
      <c r="A6" s="40">
        <f>人員一覧・判定!B5</f>
        <v/>
      </c>
      <c r="G6" s="168" t="inlineStr">
        <is>
          <t>Joint Opening/VIP Tour</t>
        </is>
      </c>
      <c r="H6" s="94" t="n"/>
      <c r="I6" s="94" t="n"/>
      <c r="J6" s="95" t="n"/>
      <c r="M6" s="100" t="inlineStr">
        <is>
          <t>ACDR Opening 挨拶</t>
        </is>
      </c>
      <c r="N6" s="169" t="inlineStr">
        <is>
          <t>Roundtable</t>
        </is>
      </c>
      <c r="O6" s="94" t="n"/>
      <c r="P6" s="94" t="n"/>
      <c r="Q6" s="94" t="n"/>
      <c r="R6" s="95" t="n"/>
      <c r="S6" s="169" t="inlineStr">
        <is>
          <t>SC</t>
        </is>
      </c>
      <c r="T6" s="95" t="n"/>
      <c r="W6" s="167" t="inlineStr">
        <is>
          <t>Gala</t>
        </is>
      </c>
      <c r="X6" s="94" t="n"/>
      <c r="Y6" s="94" t="n"/>
      <c r="Z6" s="94" t="n"/>
      <c r="AA6" s="94" t="n"/>
      <c r="AB6" s="94" t="n"/>
      <c r="AC6" s="95" t="n"/>
    </row>
    <row r="7" ht="21.75" customHeight="1" s="107">
      <c r="A7" s="40">
        <f>人員一覧・判定!B6</f>
        <v/>
      </c>
      <c r="G7" s="168" t="inlineStr">
        <is>
          <t>Joint Opening/VIP Tour</t>
        </is>
      </c>
      <c r="H7" s="94" t="n"/>
      <c r="I7" s="94" t="n"/>
      <c r="J7" s="95" t="n"/>
      <c r="M7" s="169" t="inlineStr">
        <is>
          <t>Opening/Roundtable</t>
        </is>
      </c>
      <c r="N7" s="94" t="n"/>
      <c r="O7" s="94" t="n"/>
      <c r="P7" s="94" t="n"/>
      <c r="Q7" s="94" t="n"/>
      <c r="R7" s="95" t="n"/>
      <c r="S7" s="169" t="inlineStr">
        <is>
          <t>SC</t>
        </is>
      </c>
      <c r="T7" s="95" t="n"/>
      <c r="W7" s="167" t="inlineStr">
        <is>
          <t>Gala</t>
        </is>
      </c>
      <c r="X7" s="94" t="n"/>
      <c r="Y7" s="94" t="n"/>
      <c r="Z7" s="94" t="n"/>
      <c r="AA7" s="94" t="n"/>
      <c r="AB7" s="94" t="n"/>
      <c r="AC7" s="95" t="n"/>
    </row>
    <row r="8" ht="21.75" customHeight="1" s="107">
      <c r="A8" s="40">
        <f>人員一覧・判定!B7</f>
        <v/>
      </c>
      <c r="F8" s="155" t="inlineStr">
        <is>
          <t>Opening/VIP Tour(内閣府に同行、随行ではない)</t>
        </is>
      </c>
      <c r="G8" s="94" t="n"/>
      <c r="H8" s="94" t="n"/>
      <c r="I8" s="94" t="n"/>
      <c r="J8" s="95" t="n"/>
      <c r="M8" s="169" t="inlineStr">
        <is>
          <t>Opening/RT(内閣府随行)</t>
        </is>
      </c>
      <c r="N8" s="94" t="n"/>
      <c r="O8" s="94" t="n"/>
      <c r="P8" s="94" t="n"/>
      <c r="Q8" s="94" t="n"/>
      <c r="R8" s="95" t="n"/>
      <c r="S8" s="170" t="inlineStr">
        <is>
          <t>SC(議長=内閣府 補佐)</t>
        </is>
      </c>
      <c r="T8" s="95" t="n"/>
      <c r="W8" s="167" t="inlineStr">
        <is>
          <t>Gala(内閣府随行)</t>
        </is>
      </c>
      <c r="X8" s="94" t="n"/>
      <c r="Y8" s="94" t="n"/>
      <c r="Z8" s="94" t="n"/>
      <c r="AA8" s="94" t="n"/>
      <c r="AB8" s="94" t="n"/>
      <c r="AC8" s="95" t="n"/>
    </row>
    <row r="9" ht="21.75" customHeight="1" s="107">
      <c r="A9" s="40">
        <f>人員一覧・判定!B8</f>
        <v/>
      </c>
      <c r="C9" s="171" t="inlineStr">
        <is>
          <t>会場テスト/事務局部屋</t>
        </is>
      </c>
      <c r="D9" s="94" t="n"/>
      <c r="E9" s="94" t="n"/>
      <c r="F9" s="95" t="n"/>
      <c r="G9" s="155" t="inlineStr">
        <is>
          <t>COSEM調整・VIP動線(臨機応変)</t>
        </is>
      </c>
      <c r="H9" s="94" t="n"/>
      <c r="I9" s="94" t="n"/>
      <c r="J9" s="95" t="n"/>
      <c r="M9" s="169" t="inlineStr">
        <is>
          <t>RT(バイ会談調整)</t>
        </is>
      </c>
      <c r="N9" s="94" t="n"/>
      <c r="O9" s="94" t="n"/>
      <c r="P9" s="94" t="n"/>
      <c r="Q9" s="94" t="n"/>
      <c r="R9" s="95" t="n"/>
      <c r="S9" s="169" t="inlineStr">
        <is>
          <t>SC</t>
        </is>
      </c>
      <c r="T9" s="95" t="n"/>
      <c r="V9" s="167" t="inlineStr">
        <is>
          <t>Gala引率(バス)</t>
        </is>
      </c>
      <c r="W9" s="94" t="n"/>
      <c r="X9" s="94" t="n"/>
      <c r="Y9" s="94" t="n"/>
      <c r="Z9" s="94" t="n"/>
      <c r="AA9" s="94" t="n"/>
      <c r="AB9" s="94" t="n"/>
      <c r="AC9" s="95" t="n"/>
      <c r="AI9" t="inlineStr">
        <is>
          <t>sk_da06052da0c0227daf6db024942a34fa6f8a6428b003c6da</t>
        </is>
      </c>
    </row>
    <row r="10" ht="21.75" customHeight="1" s="107">
      <c r="A10" s="40">
        <f>人員一覧・判定!B9</f>
        <v/>
      </c>
      <c r="C10" s="172" t="inlineStr">
        <is>
          <t>会場・NW・Zoom・AI通訳テスト／日本側と接続確認</t>
        </is>
      </c>
      <c r="D10" s="94" t="n"/>
      <c r="E10" s="94" t="n"/>
      <c r="F10" s="95" t="n"/>
      <c r="G10" s="168" t="inlineStr">
        <is>
          <t>Opening進行確認/VIP Tour同行</t>
        </is>
      </c>
      <c r="H10" s="94" t="n"/>
      <c r="I10" s="94" t="n"/>
      <c r="J10" s="95" t="n"/>
      <c r="M10" s="100" t="inlineStr">
        <is>
          <t>ACDR Opening進行</t>
        </is>
      </c>
      <c r="N10" s="157" t="inlineStr">
        <is>
          <t>RT AV/Zoom運用</t>
        </is>
      </c>
      <c r="O10" s="94" t="n"/>
      <c r="P10" s="94" t="n"/>
      <c r="Q10" s="94" t="n"/>
      <c r="R10" s="95" t="n"/>
      <c r="S10" s="169" t="inlineStr">
        <is>
          <t>SC(記録)</t>
        </is>
      </c>
      <c r="T10" s="95" t="n"/>
      <c r="W10" s="167" t="inlineStr">
        <is>
          <t>Gala</t>
        </is>
      </c>
      <c r="X10" s="94" t="n"/>
      <c r="Y10" s="94" t="n"/>
      <c r="Z10" s="94" t="n"/>
      <c r="AA10" s="94" t="n"/>
      <c r="AB10" s="94" t="n"/>
      <c r="AC10" s="95" t="n"/>
    </row>
    <row r="11" ht="21.75" customHeight="1" s="107">
      <c r="A11" s="40">
        <f>人員一覧・判定!B10</f>
        <v/>
      </c>
      <c r="D11" s="173" t="inlineStr">
        <is>
          <t>RT準備(ステートメント・席札)</t>
        </is>
      </c>
      <c r="E11" s="94" t="n"/>
      <c r="F11" s="95" t="n"/>
      <c r="G11" s="158" t="inlineStr">
        <is>
          <t>参加者誘導</t>
        </is>
      </c>
      <c r="H11" s="94" t="n"/>
      <c r="I11" s="94" t="n"/>
      <c r="J11" s="95" t="n"/>
      <c r="M11" s="169" t="inlineStr">
        <is>
          <t>RT運営(PIC)</t>
        </is>
      </c>
      <c r="N11" s="94" t="n"/>
      <c r="O11" s="94" t="n"/>
      <c r="P11" s="94" t="n"/>
      <c r="Q11" s="94" t="n"/>
      <c r="R11" s="95" t="n"/>
      <c r="S11" s="169" t="inlineStr">
        <is>
          <t>SC補助</t>
        </is>
      </c>
      <c r="T11" s="95" t="n"/>
      <c r="V11" s="167" t="inlineStr">
        <is>
          <t>Gala引率</t>
        </is>
      </c>
      <c r="W11" s="94" t="n"/>
      <c r="X11" s="94" t="n"/>
      <c r="Y11" s="94" t="n"/>
      <c r="Z11" s="94" t="n"/>
      <c r="AA11" s="94" t="n"/>
      <c r="AB11" s="94" t="n"/>
      <c r="AC11" s="95" t="n"/>
    </row>
    <row r="12" ht="21.75" customHeight="1" s="107">
      <c r="A12" s="40">
        <f>人員一覧・判定!B11</f>
        <v/>
      </c>
      <c r="C12" s="174" t="inlineStr">
        <is>
          <t>Dorsett送り出し担当</t>
        </is>
      </c>
      <c r="D12" s="94" t="n"/>
      <c r="E12" s="94" t="n"/>
      <c r="F12" s="95" t="n"/>
      <c r="G12" s="175" t="inlineStr">
        <is>
          <t>受付デスク設営・運営(Peridot)</t>
        </is>
      </c>
      <c r="H12" s="94" t="n"/>
      <c r="I12" s="94" t="n"/>
      <c r="J12" s="94" t="n"/>
      <c r="K12" s="94" t="n"/>
      <c r="L12" s="95" t="n"/>
      <c r="M12" s="158" t="inlineStr">
        <is>
          <t>受付/RT</t>
        </is>
      </c>
      <c r="N12" s="94" t="n"/>
      <c r="O12" s="94" t="n"/>
      <c r="P12" s="94" t="n"/>
      <c r="Q12" s="94" t="n"/>
      <c r="R12" s="95" t="n"/>
      <c r="S12" s="170" t="inlineStr">
        <is>
          <t>SC事務(議案・進行・会計報告)</t>
        </is>
      </c>
      <c r="T12" s="95" t="n"/>
      <c r="W12" s="167" t="inlineStr">
        <is>
          <t>Gala</t>
        </is>
      </c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C13" s="174" t="inlineStr">
        <is>
          <t>Dorsett送り出し担当</t>
        </is>
      </c>
      <c r="D13" s="94" t="n"/>
      <c r="E13" s="94" t="n"/>
      <c r="F13" s="95" t="n"/>
      <c r="G13" s="175" t="inlineStr">
        <is>
          <t>受付デスク設営・運営(Peridot)</t>
        </is>
      </c>
      <c r="H13" s="94" t="n"/>
      <c r="I13" s="94" t="n"/>
      <c r="J13" s="94" t="n"/>
      <c r="K13" s="94" t="n"/>
      <c r="L13" s="95" t="n"/>
      <c r="M13" s="158" t="inlineStr">
        <is>
          <t>受付/RT</t>
        </is>
      </c>
      <c r="N13" s="94" t="n"/>
      <c r="O13" s="94" t="n"/>
      <c r="P13" s="94" t="n"/>
      <c r="Q13" s="94" t="n"/>
      <c r="R13" s="95" t="n"/>
      <c r="S13" s="158" t="inlineStr">
        <is>
          <t>受付</t>
        </is>
      </c>
      <c r="T13" s="95" t="n"/>
      <c r="V13" s="167" t="inlineStr">
        <is>
          <t>Gala引率(名簿)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C14" s="171" t="inlineStr">
        <is>
          <t>会場AVテスト／日本側と接続確認</t>
        </is>
      </c>
      <c r="D14" s="94" t="n"/>
      <c r="E14" s="94" t="n"/>
      <c r="F14" s="95" t="n"/>
      <c r="G14" s="157" t="inlineStr">
        <is>
          <t>Japan Pavilion連携</t>
        </is>
      </c>
      <c r="H14" s="94" t="n"/>
      <c r="I14" s="94" t="n"/>
      <c r="J14" s="95" t="n"/>
      <c r="M14" s="157" t="inlineStr">
        <is>
          <t>RT PC・スクリーン操作</t>
        </is>
      </c>
      <c r="N14" s="94" t="n"/>
      <c r="O14" s="94" t="n"/>
      <c r="P14" s="94" t="n"/>
      <c r="Q14" s="94" t="n"/>
      <c r="R14" s="95" t="n"/>
      <c r="S14" s="157" t="inlineStr">
        <is>
          <t>SC(AV)</t>
        </is>
      </c>
      <c r="T14" s="95" t="n"/>
      <c r="W14" s="167" t="inlineStr">
        <is>
          <t>Gala</t>
        </is>
      </c>
      <c r="X14" s="94" t="n"/>
      <c r="Y14" s="94" t="n"/>
      <c r="Z14" s="94" t="n"/>
      <c r="AA14" s="94" t="n"/>
      <c r="AB14" s="94" t="n"/>
      <c r="AC14" s="95" t="n"/>
    </row>
    <row r="15" ht="21.75" customHeight="1" s="107">
      <c r="A15" s="58">
        <f>人員一覧・判定!C14</f>
        <v/>
      </c>
      <c r="C15" s="176" t="inlineStr">
        <is>
          <t>事務局部屋・受付デスク設営</t>
        </is>
      </c>
      <c r="D15" s="94" t="n"/>
      <c r="E15" s="94" t="n"/>
      <c r="F15" s="95" t="n"/>
      <c r="G15" s="169" t="inlineStr">
        <is>
          <t>Opening</t>
        </is>
      </c>
      <c r="H15" s="94" t="n"/>
      <c r="I15" s="94" t="n"/>
      <c r="J15" s="95" t="n"/>
      <c r="M15" s="169" t="inlineStr">
        <is>
          <t>RT共同運営/ノート</t>
        </is>
      </c>
      <c r="N15" s="94" t="n"/>
      <c r="O15" s="94" t="n"/>
      <c r="P15" s="94" t="n"/>
      <c r="Q15" s="94" t="n"/>
      <c r="R15" s="95" t="n"/>
      <c r="S15" s="169" t="inlineStr">
        <is>
          <t>SCメモ</t>
        </is>
      </c>
      <c r="T15" s="95" t="n"/>
      <c r="W15" s="167" t="inlineStr">
        <is>
          <t>Gala</t>
        </is>
      </c>
      <c r="X15" s="94" t="n"/>
      <c r="Y15" s="94" t="n"/>
      <c r="Z15" s="94" t="n"/>
      <c r="AA15" s="94" t="n"/>
      <c r="AB15" s="94" t="n"/>
      <c r="AC15" s="95" t="n"/>
      <c r="AD15" s="177" t="inlineStr">
        <is>
          <t>Draft Summary執筆</t>
        </is>
      </c>
      <c r="AE15" s="94" t="n"/>
      <c r="AF15" s="95" t="n"/>
    </row>
    <row r="16" ht="21.75" customHeight="1" s="107">
      <c r="A16" s="40">
        <f>人員一覧・判定!C15</f>
        <v/>
      </c>
      <c r="C16" s="174" t="inlineStr">
        <is>
          <t>Hotel Me送り出し担当</t>
        </is>
      </c>
      <c r="D16" s="94" t="n"/>
      <c r="E16" s="94" t="n"/>
      <c r="F16" s="95" t="n"/>
      <c r="G16" s="169" t="inlineStr">
        <is>
          <t>Opening</t>
        </is>
      </c>
      <c r="H16" s="94" t="n"/>
      <c r="I16" s="94" t="n"/>
      <c r="J16" s="95" t="n"/>
      <c r="M16" s="169" t="inlineStr">
        <is>
          <t>RTノート/翌日登壇者対応</t>
        </is>
      </c>
      <c r="N16" s="94" t="n"/>
      <c r="O16" s="94" t="n"/>
      <c r="P16" s="94" t="n"/>
      <c r="Q16" s="94" t="n"/>
      <c r="R16" s="95" t="n"/>
      <c r="S16" s="178" t="inlineStr">
        <is>
          <t>登壇者リハ調整</t>
        </is>
      </c>
      <c r="T16" s="95" t="n"/>
      <c r="W16" s="167" t="inlineStr">
        <is>
          <t>Gala</t>
        </is>
      </c>
      <c r="X16" s="94" t="n"/>
      <c r="Y16" s="94" t="n"/>
      <c r="Z16" s="94" t="n"/>
      <c r="AA16" s="94" t="n"/>
      <c r="AB16" s="94" t="n"/>
      <c r="AC16" s="95" t="n"/>
    </row>
    <row r="17" ht="21.75" customHeight="1" s="107">
      <c r="A17" s="40">
        <f>人員一覧・判定!B16</f>
        <v/>
      </c>
      <c r="C17" s="171" t="inlineStr">
        <is>
          <t>Zoom/AI翻訳セットアップ</t>
        </is>
      </c>
      <c r="D17" s="94" t="n"/>
      <c r="E17" s="94" t="n"/>
      <c r="F17" s="95" t="n"/>
      <c r="G17" s="156" t="inlineStr">
        <is>
          <t>写真/誘導</t>
        </is>
      </c>
      <c r="H17" s="94" t="n"/>
      <c r="I17" s="94" t="n"/>
      <c r="J17" s="95" t="n"/>
      <c r="M17" s="156" t="inlineStr">
        <is>
          <t>Zoom・AI翻訳オペ/写真</t>
        </is>
      </c>
      <c r="N17" s="94" t="n"/>
      <c r="O17" s="94" t="n"/>
      <c r="P17" s="94" t="n"/>
      <c r="Q17" s="94" t="n"/>
      <c r="R17" s="94" t="n"/>
      <c r="S17" s="94" t="n"/>
      <c r="T17" s="95" t="n"/>
      <c r="W17" s="160" t="inlineStr">
        <is>
          <t>Gala(写真)</t>
        </is>
      </c>
      <c r="X17" s="94" t="n"/>
      <c r="Y17" s="94" t="n"/>
      <c r="Z17" s="94" t="n"/>
      <c r="AA17" s="94" t="n"/>
      <c r="AB17" s="94" t="n"/>
      <c r="AC17" s="95" t="n"/>
    </row>
    <row r="18" ht="21.75" customHeight="1" s="107">
      <c r="A18" s="40">
        <f>人員一覧・判定!B17</f>
        <v/>
      </c>
      <c r="C18" s="174" t="inlineStr">
        <is>
          <t>Hotel Me送り出し担当</t>
        </is>
      </c>
      <c r="D18" s="94" t="n"/>
      <c r="E18" s="94" t="n"/>
      <c r="F18" s="95" t="n"/>
      <c r="G18" s="158" t="inlineStr">
        <is>
          <t>参加者誘導</t>
        </is>
      </c>
      <c r="H18" s="94" t="n"/>
      <c r="I18" s="94" t="n"/>
      <c r="J18" s="95" t="n"/>
      <c r="M18" s="179" t="inlineStr">
        <is>
          <t>RT記録</t>
        </is>
      </c>
      <c r="N18" s="94" t="n"/>
      <c r="O18" s="94" t="n"/>
      <c r="P18" s="94" t="n"/>
      <c r="Q18" s="94" t="n"/>
      <c r="R18" s="95" t="n"/>
      <c r="S18" s="180" t="inlineStr">
        <is>
          <t>SC記録補助</t>
        </is>
      </c>
      <c r="T18" s="95" t="n"/>
      <c r="W18" s="160" t="inlineStr">
        <is>
          <t>Gala</t>
        </is>
      </c>
      <c r="X18" s="94" t="n"/>
      <c r="Y18" s="94" t="n"/>
      <c r="Z18" s="94" t="n"/>
      <c r="AA18" s="94" t="n"/>
      <c r="AB18" s="94" t="n"/>
      <c r="AC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
(5)【9/28内閣府】10/28 16:00-16:30 MHA HQでバイ会談、16:30-16:40 MOC署名式（室長・御手洗参事官）。SC途中で退出、日本側司会は中根補佐。
(6)【9/29 JM6】名札65枚はSCDF部署から借用（ADRCが国旗ロゴ素材と名簿〈10/13〉を提供）。当日早朝設営の可否をExpoに確認中。AV見積SGD17〜19K。Zoom用カメラ1台はADRC持込で決定、2台運用（演台固定＋U字パン、Sylvia案）は未決。設営開始はExpo最早08:00とSylvia（JM6、要確認）、07:30入室は未承認。RT(1) 13:00-15:00＝Armenia〜Turkiye 22枠（各5分、Japanの直後に仙台市）、ADRC Opening 12:45-13:00＝Commissioner（tbc）・林副大臣・三浦センター長 各4分。
(追記 9/30 児玉) 内閣府: 林副大臣は Gala 欠席（日本企業との懇親会へ）、御手洗参事官が短時間出席。副大臣は 28 日 22:20 発で帰国。ACDR Opening は英語で挨拶、肩書 Deputy Minister for Disaster Management, Cabinet Office of Japan。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81" t="inlineStr">
        <is>
          <t xml:space="preserve">Webinar起動・AI通訳・現地接続確認 </t>
        </is>
      </c>
      <c r="E24" s="94" t="n"/>
      <c r="F24" s="95" t="n"/>
      <c r="M24" s="182" t="inlineStr">
        <is>
          <t>ACDR Opening/RT: Q&amp;A・コメント確認・AI通訳監視</t>
        </is>
      </c>
      <c r="N24" s="94" t="n"/>
      <c r="O24" s="94" t="n"/>
      <c r="P24" s="94" t="n"/>
      <c r="Q24" s="94" t="n"/>
      <c r="R24" s="95" t="n"/>
      <c r="S24" s="181" t="inlineStr">
        <is>
          <t>SC: Zoom設定・Q&amp;A確認</t>
        </is>
      </c>
      <c r="T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M25" s="182" t="inlineStr">
        <is>
          <t>Opening/RT 録画・オンライン質疑取次</t>
        </is>
      </c>
      <c r="N25" s="94" t="n"/>
      <c r="O25" s="94" t="n"/>
      <c r="P25" s="94" t="n"/>
      <c r="Q25" s="94" t="n"/>
      <c r="R25" s="95" t="n"/>
      <c r="S25" s="162" t="inlineStr">
        <is>
          <t>SC 録画</t>
        </is>
      </c>
      <c r="T25" s="95" t="n"/>
    </row>
    <row r="26" ht="21.75" customHeight="1" s="107">
      <c r="A26" s="49">
        <f>人員一覧・判定!B21</f>
        <v/>
      </c>
      <c r="M26" s="165" t="inlineStr">
        <is>
          <t>録画(日英2台)ローカル保存</t>
        </is>
      </c>
      <c r="N26" s="94" t="n"/>
      <c r="O26" s="94" t="n"/>
      <c r="P26" s="94" t="n"/>
      <c r="Q26" s="94" t="n"/>
      <c r="R26" s="94" t="n"/>
      <c r="S26" s="94" t="n"/>
      <c r="T26" s="95" t="n"/>
    </row>
    <row r="27" ht="21.75" customHeight="1" s="107">
      <c r="A27" s="49">
        <f>人員一覧・判定!B20</f>
        <v/>
      </c>
      <c r="D27" s="183" t="inlineStr">
        <is>
          <t>Webinarホスト・録画確認</t>
        </is>
      </c>
      <c r="E27" s="94" t="n"/>
      <c r="F27" s="95" t="n"/>
      <c r="S27" s="183" t="inlineStr">
        <is>
          <t>SC Zoom設定</t>
        </is>
      </c>
      <c r="T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18:T18"/>
    <mergeCell ref="S27:T27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D4" s="184" t="inlineStr">
        <is>
          <t>会場準備（家具は前日のまま。AV・名札のみ）／登壇者集合・接続確認</t>
        </is>
      </c>
      <c r="E4" s="95" t="n"/>
      <c r="F4" s="98" t="inlineStr">
        <is>
          <t>Roundtable (2) 09:00-09:30（9/25案）</t>
        </is>
      </c>
      <c r="G4" s="185" t="inlineStr">
        <is>
          <t>Technical Session (Peridot) 09:30-11:30</t>
        </is>
      </c>
      <c r="H4" s="94" t="n"/>
      <c r="I4" s="94" t="n"/>
      <c r="J4" s="95" t="n"/>
      <c r="K4" s="87" t="inlineStr">
        <is>
          <t>Summary &amp; Closing</t>
        </is>
      </c>
      <c r="L4" s="167" t="inlineStr">
        <is>
          <t>Lunch</t>
        </is>
      </c>
      <c r="M4" s="95" t="n"/>
      <c r="N4" s="185" t="inlineStr">
        <is>
          <t>Field Trip: Civil Defence Academy　13:00 EXPO発 → 16:15 EXPO帰着</t>
        </is>
      </c>
      <c r="O4" s="94" t="n"/>
      <c r="P4" s="94" t="n"/>
      <c r="Q4" s="94" t="n"/>
      <c r="R4" s="94" t="n"/>
      <c r="S4" s="94" t="n"/>
      <c r="T4" s="94" t="n"/>
      <c r="U4" s="95" t="n"/>
      <c r="Y4" s="185" t="inlineStr">
        <is>
          <t>SCDF Parade (Hall 4)</t>
        </is>
      </c>
      <c r="Z4" s="94" t="n"/>
      <c r="AA4" s="95" t="n"/>
      <c r="AB4" s="185" t="inlineStr">
        <is>
          <t>Parade Dinner (Garnet Room)</t>
        </is>
      </c>
      <c r="AC4" s="94" t="n"/>
      <c r="AD4" s="95" t="n"/>
    </row>
    <row r="5" ht="3.75" customHeight="1" s="107">
      <c r="A5" s="54" t="n"/>
      <c r="D5" s="56" t="n"/>
      <c r="E5" s="56" t="n"/>
      <c r="F5" s="56" t="n"/>
      <c r="G5" s="97" t="n"/>
      <c r="H5" s="97" t="n"/>
      <c r="I5" s="97" t="n"/>
      <c r="J5" s="97" t="n"/>
      <c r="K5" s="97" t="n"/>
      <c r="L5" s="62" t="n"/>
      <c r="M5" s="62" t="n"/>
      <c r="N5" s="97" t="n"/>
      <c r="O5" s="97" t="n"/>
      <c r="P5" s="97" t="n"/>
      <c r="Q5" s="97" t="n"/>
      <c r="R5" s="97" t="n"/>
      <c r="S5" s="97" t="n"/>
      <c r="T5" s="97" t="n"/>
      <c r="U5" s="97" t="n"/>
      <c r="Y5" s="97" t="n"/>
      <c r="Z5" s="97" t="n"/>
      <c r="AA5" s="97" t="n"/>
      <c r="AB5" s="97" t="n"/>
      <c r="AC5" s="97" t="n"/>
      <c r="AD5" s="97" t="n"/>
    </row>
    <row r="6" ht="21.75" customHeight="1" s="107">
      <c r="A6" s="40">
        <f>人員一覧・判定!B5</f>
        <v/>
      </c>
      <c r="G6" s="169" t="inlineStr">
        <is>
          <t>Tech Session</t>
        </is>
      </c>
      <c r="H6" s="94" t="n"/>
      <c r="I6" s="94" t="n"/>
      <c r="J6" s="95" t="n"/>
      <c r="K6" s="169" t="inlineStr">
        <is>
          <t>Closing挨拶(Chairman) 11:51</t>
        </is>
      </c>
      <c r="N6" s="186" t="inlineStr">
        <is>
          <t>Field Trip</t>
        </is>
      </c>
      <c r="O6" s="94" t="n"/>
      <c r="P6" s="94" t="n"/>
      <c r="Q6" s="94" t="n"/>
      <c r="R6" s="94" t="n"/>
      <c r="S6" s="94" t="n"/>
      <c r="T6" s="94" t="n"/>
      <c r="U6" s="95" t="n"/>
      <c r="X6" s="64" t="n"/>
      <c r="Y6" s="167" t="inlineStr">
        <is>
          <t>Parade &amp; Dinner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G7" s="169" t="inlineStr">
        <is>
          <t>Tech Session</t>
        </is>
      </c>
      <c r="H7" s="94" t="n"/>
      <c r="I7" s="94" t="n"/>
      <c r="J7" s="95" t="n"/>
      <c r="K7" s="169" t="inlineStr">
        <is>
          <t>Closing</t>
        </is>
      </c>
      <c r="N7" s="186" t="inlineStr">
        <is>
          <t>Field Trip</t>
        </is>
      </c>
      <c r="O7" s="94" t="n"/>
      <c r="P7" s="94" t="n"/>
      <c r="Q7" s="94" t="n"/>
      <c r="R7" s="94" t="n"/>
      <c r="S7" s="94" t="n"/>
      <c r="T7" s="94" t="n"/>
      <c r="U7" s="95" t="n"/>
      <c r="X7" s="64" t="n"/>
      <c r="Y7" s="167" t="inlineStr">
        <is>
          <t>Parade &amp; Dinner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G8" s="169" t="inlineStr">
        <is>
          <t>Tech Session(内閣府随行)</t>
        </is>
      </c>
      <c r="H8" s="94" t="n"/>
      <c r="I8" s="94" t="n"/>
      <c r="J8" s="95" t="n"/>
      <c r="K8" s="169" t="inlineStr">
        <is>
          <t>Summary発表(Executive Director) 11:45</t>
        </is>
      </c>
      <c r="N8" s="186" t="inlineStr">
        <is>
          <t>Field Trip</t>
        </is>
      </c>
      <c r="O8" s="94" t="n"/>
      <c r="P8" s="94" t="n"/>
      <c r="Q8" s="94" t="n"/>
      <c r="R8" s="94" t="n"/>
      <c r="S8" s="94" t="n"/>
      <c r="T8" s="94" t="n"/>
      <c r="U8" s="95" t="n"/>
      <c r="X8" s="64" t="n"/>
      <c r="Y8" s="167" t="inlineStr">
        <is>
          <t>Parade &amp; Dinner</t>
        </is>
      </c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D9" s="156" t="inlineStr">
        <is>
          <t>会場準備</t>
        </is>
      </c>
      <c r="E9" s="94" t="n"/>
      <c r="F9" s="95" t="n"/>
      <c r="G9" s="169" t="inlineStr">
        <is>
          <t>Tech Session(バイ会談調整)</t>
        </is>
      </c>
      <c r="H9" s="94" t="n"/>
      <c r="I9" s="94" t="n"/>
      <c r="J9" s="94" t="n"/>
      <c r="K9" s="95" t="n"/>
      <c r="N9" s="187" t="inlineStr">
        <is>
          <t>事務局撤収(藤中と2名)/バイ会談</t>
        </is>
      </c>
      <c r="O9" s="94" t="n"/>
      <c r="P9" s="94" t="n"/>
      <c r="Q9" s="94" t="n"/>
      <c r="R9" s="94" t="n"/>
      <c r="S9" s="94" t="n"/>
      <c r="T9" s="94" t="n"/>
      <c r="U9" s="95" t="n"/>
      <c r="X9" s="64" t="n"/>
      <c r="Y9" s="167" t="inlineStr">
        <is>
          <t>Parade &amp; Dinner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D10" s="188" t="inlineStr">
        <is>
          <t>AV/Zoom準備／日本側と接続確認／RT(2) AV/Zoom 09:00-</t>
        </is>
      </c>
      <c r="E10" s="94" t="n"/>
      <c r="F10" s="95" t="n"/>
      <c r="G10" s="157" t="inlineStr">
        <is>
          <t>AV/Zoom運用</t>
        </is>
      </c>
      <c r="H10" s="94" t="n"/>
      <c r="I10" s="94" t="n"/>
      <c r="J10" s="95" t="n"/>
      <c r="K10" s="100" t="inlineStr">
        <is>
          <t>Summary/Closing進行/写真</t>
        </is>
      </c>
      <c r="M10" s="186" t="inlineStr">
        <is>
          <t>Field Trip引率(バス)</t>
        </is>
      </c>
      <c r="N10" s="94" t="n"/>
      <c r="O10" s="94" t="n"/>
      <c r="P10" s="94" t="n"/>
      <c r="Q10" s="94" t="n"/>
      <c r="R10" s="94" t="n"/>
      <c r="S10" s="94" t="n"/>
      <c r="T10" s="94" t="n"/>
      <c r="U10" s="95" t="n"/>
      <c r="X10" s="64" t="n"/>
      <c r="Y10" s="167" t="inlineStr">
        <is>
          <t>Parade &amp; Dinner</t>
        </is>
      </c>
      <c r="Z10" s="94" t="n"/>
      <c r="AA10" s="94" t="n"/>
      <c r="AB10" s="94" t="n"/>
      <c r="AC10" s="94" t="n"/>
      <c r="AD10" s="95" t="n"/>
    </row>
    <row r="11" ht="21.75" customHeight="1" s="107">
      <c r="A11" s="40">
        <f>人員一覧・判定!B10</f>
        <v/>
      </c>
      <c r="D11" s="178" t="inlineStr">
        <is>
          <t>Mi→EXPO誘導／RT(2)運営(PIC)・ベル 09:00-</t>
        </is>
      </c>
      <c r="E11" s="94" t="n"/>
      <c r="F11" s="95" t="n"/>
      <c r="G11" s="169" t="inlineStr">
        <is>
          <t>Tech Session記録</t>
        </is>
      </c>
      <c r="H11" s="94" t="n"/>
      <c r="I11" s="94" t="n"/>
      <c r="J11" s="94" t="n"/>
      <c r="K11" s="95" t="n"/>
      <c r="M11" s="186" t="inlineStr">
        <is>
          <t>Field Trip引率(バス)</t>
        </is>
      </c>
      <c r="N11" s="94" t="n"/>
      <c r="O11" s="94" t="n"/>
      <c r="P11" s="94" t="n"/>
      <c r="Q11" s="94" t="n"/>
      <c r="R11" s="94" t="n"/>
      <c r="S11" s="94" t="n"/>
      <c r="T11" s="94" t="n"/>
      <c r="U11" s="95" t="n"/>
      <c r="V11" s="189" t="inlineStr">
        <is>
          <t>ホテル→EXPO誘導(パレード)</t>
        </is>
      </c>
      <c r="W11" s="94" t="n"/>
      <c r="X11" s="95" t="n"/>
      <c r="Y11" s="167" t="inlineStr">
        <is>
          <t>Parade &amp; Dinner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8" t="inlineStr">
        <is>
          <t>受付デスク/支払・清算</t>
        </is>
      </c>
      <c r="E12" s="94" t="n"/>
      <c r="F12" s="94" t="n"/>
      <c r="G12" s="94" t="n"/>
      <c r="H12" s="94" t="n"/>
      <c r="I12" s="94" t="n"/>
      <c r="J12" s="94" t="n"/>
      <c r="K12" s="95" t="n"/>
      <c r="N12" s="154" t="inlineStr">
        <is>
          <t>事務局撤収(児玉と2名)/ホテル・バス精算</t>
        </is>
      </c>
      <c r="O12" s="94" t="n"/>
      <c r="P12" s="94" t="n"/>
      <c r="Q12" s="94" t="n"/>
      <c r="R12" s="94" t="n"/>
      <c r="S12" s="94" t="n"/>
      <c r="T12" s="94" t="n"/>
      <c r="U12" s="95" t="n"/>
      <c r="X12" s="64" t="n"/>
      <c r="Y12" s="167" t="inlineStr">
        <is>
          <t>Parade &amp; Dinner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8" t="inlineStr">
        <is>
          <t>Dorsett→EXPO誘導(8-9)→受付デスク</t>
        </is>
      </c>
      <c r="E13" s="94" t="n"/>
      <c r="F13" s="94" t="n"/>
      <c r="G13" s="94" t="n"/>
      <c r="H13" s="94" t="n"/>
      <c r="I13" s="94" t="n"/>
      <c r="J13" s="94" t="n"/>
      <c r="K13" s="95" t="n"/>
      <c r="M13" s="186" t="inlineStr">
        <is>
          <t>Field Trip名簿/バス点呼</t>
        </is>
      </c>
      <c r="N13" s="94" t="n"/>
      <c r="O13" s="94" t="n"/>
      <c r="P13" s="94" t="n"/>
      <c r="Q13" s="94" t="n"/>
      <c r="R13" s="94" t="n"/>
      <c r="S13" s="94" t="n"/>
      <c r="T13" s="94" t="n"/>
      <c r="U13" s="95" t="n"/>
      <c r="V13" s="189" t="inlineStr">
        <is>
          <t>ホテル→EXPO誘導(パレード)</t>
        </is>
      </c>
      <c r="W13" s="94" t="n"/>
      <c r="X13" s="95" t="n"/>
      <c r="Y13" s="167" t="inlineStr">
        <is>
          <t>Parade &amp; Dinner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D14" s="190" t="inlineStr">
        <is>
          <t>登壇者集合・スライド確認／接続確認／RT(2) PC・スクリーン</t>
        </is>
      </c>
      <c r="E14" s="94" t="n"/>
      <c r="F14" s="95" t="n"/>
      <c r="G14" s="169" t="inlineStr">
        <is>
          <t>Tech Session運営(PIC)</t>
        </is>
      </c>
      <c r="H14" s="94" t="n"/>
      <c r="I14" s="94" t="n"/>
      <c r="J14" s="95" t="n"/>
      <c r="N14" s="157" t="inlineStr">
        <is>
          <t>SIDEX展示/Japan Pavilion調整</t>
        </is>
      </c>
      <c r="O14" s="94" t="n"/>
      <c r="P14" s="94" t="n"/>
      <c r="Q14" s="94" t="n"/>
      <c r="R14" s="94" t="n"/>
      <c r="S14" s="94" t="n"/>
      <c r="T14" s="94" t="n"/>
      <c r="U14" s="95" t="n"/>
      <c r="X14" s="64" t="n"/>
      <c r="Y14" s="167" t="inlineStr">
        <is>
          <t>Parade &amp; Dinner</t>
        </is>
      </c>
      <c r="Z14" s="94" t="n"/>
      <c r="AA14" s="94" t="n"/>
      <c r="AB14" s="94" t="n"/>
      <c r="AC14" s="94" t="n"/>
      <c r="AD14" s="95" t="n"/>
    </row>
    <row r="15" ht="21.75" customHeight="1" s="107">
      <c r="A15" s="58">
        <f>人員一覧・判定!C14</f>
        <v/>
      </c>
      <c r="D15" s="191" t="inlineStr">
        <is>
          <t>Draft Summary仕上げ／RT(2)ノート</t>
        </is>
      </c>
      <c r="E15" s="94" t="n"/>
      <c r="F15" s="95" t="n"/>
      <c r="G15" s="169" t="inlineStr">
        <is>
          <t>Tech Sessionノート/Summaryスライド最終化</t>
        </is>
      </c>
      <c r="H15" s="94" t="n"/>
      <c r="I15" s="94" t="n"/>
      <c r="J15" s="95" t="n"/>
      <c r="K15" s="100" t="inlineStr">
        <is>
          <t>Summary(起草、発表は宮木所長)</t>
        </is>
      </c>
      <c r="N15" s="186" t="inlineStr">
        <is>
          <t>Field Trip</t>
        </is>
      </c>
      <c r="O15" s="94" t="n"/>
      <c r="P15" s="94" t="n"/>
      <c r="Q15" s="94" t="n"/>
      <c r="R15" s="94" t="n"/>
      <c r="S15" s="94" t="n"/>
      <c r="T15" s="94" t="n"/>
      <c r="U15" s="95" t="n"/>
      <c r="X15" s="64" t="n"/>
      <c r="Y15" s="167" t="inlineStr">
        <is>
          <t>Parade &amp; Dinner</t>
        </is>
      </c>
      <c r="Z15" s="94" t="n"/>
      <c r="AA15" s="94" t="n"/>
      <c r="AB15" s="94" t="n"/>
      <c r="AC15" s="94" t="n"/>
      <c r="AD15" s="95" t="n"/>
    </row>
    <row r="16" ht="21.75" customHeight="1" s="107">
      <c r="A16" s="40">
        <f>人員一覧・判定!C15</f>
        <v/>
      </c>
      <c r="D16" s="171" t="inlineStr">
        <is>
          <t>登壇者対応・進行確認</t>
        </is>
      </c>
      <c r="E16" s="94" t="n"/>
      <c r="F16" s="95" t="n"/>
      <c r="G16" s="169" t="inlineStr">
        <is>
          <t xml:space="preserve"> Co-Chair</t>
        </is>
      </c>
      <c r="H16" s="94" t="n"/>
      <c r="I16" s="94" t="n"/>
      <c r="J16" s="95" t="n"/>
      <c r="N16" s="186" t="inlineStr">
        <is>
          <t>Field Trip</t>
        </is>
      </c>
      <c r="O16" s="94" t="n"/>
      <c r="P16" s="94" t="n"/>
      <c r="Q16" s="94" t="n"/>
      <c r="R16" s="94" t="n"/>
      <c r="S16" s="94" t="n"/>
      <c r="T16" s="94" t="n"/>
      <c r="U16" s="95" t="n"/>
      <c r="X16" s="64" t="n"/>
      <c r="Y16" s="167" t="inlineStr">
        <is>
          <t>Parade &amp; Dinner</t>
        </is>
      </c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D17" s="156" t="inlineStr">
        <is>
          <t>Zoom/AI翻訳準備</t>
        </is>
      </c>
      <c r="E17" s="94" t="n"/>
      <c r="F17" s="95" t="n"/>
      <c r="G17" s="156" t="inlineStr">
        <is>
          <t>Zoom・AI翻訳オペ/写真</t>
        </is>
      </c>
      <c r="H17" s="94" t="n"/>
      <c r="I17" s="94" t="n"/>
      <c r="J17" s="94" t="n"/>
      <c r="K17" s="95" t="n"/>
      <c r="N17" s="192" t="inlineStr">
        <is>
          <t>Field Trip写真 or 事務局撤収</t>
        </is>
      </c>
      <c r="O17" s="94" t="n"/>
      <c r="P17" s="94" t="n"/>
      <c r="Q17" s="94" t="n"/>
      <c r="R17" s="94" t="n"/>
      <c r="S17" s="94" t="n"/>
      <c r="T17" s="94" t="n"/>
      <c r="U17" s="95" t="n"/>
      <c r="X17" s="64" t="n"/>
      <c r="Y17" s="160" t="inlineStr">
        <is>
          <t>Parade(写真)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D18" s="178" t="inlineStr">
        <is>
          <t>Dorsett→EXPO誘導／RT(2)記録</t>
        </is>
      </c>
      <c r="E18" s="94" t="n"/>
      <c r="F18" s="95" t="n"/>
      <c r="G18" s="193" t="inlineStr">
        <is>
          <t>カメラ、フロア対応</t>
        </is>
      </c>
      <c r="H18" s="94" t="n"/>
      <c r="I18" s="94" t="n"/>
      <c r="J18" s="94" t="n"/>
      <c r="K18" s="95" t="n"/>
      <c r="N18" s="192" t="inlineStr">
        <is>
          <t>Field Trip</t>
        </is>
      </c>
      <c r="O18" s="94" t="n"/>
      <c r="P18" s="94" t="n"/>
      <c r="Q18" s="94" t="n"/>
      <c r="R18" s="94" t="n"/>
      <c r="S18" s="94" t="n"/>
      <c r="T18" s="94" t="n"/>
      <c r="U18" s="95" t="n"/>
      <c r="V18" s="189" t="inlineStr">
        <is>
          <t>ホテル→EXPO誘導(パレード)</t>
        </is>
      </c>
      <c r="W18" s="94" t="n"/>
      <c r="X18" s="95" t="n"/>
      <c r="Y18" s="160" t="inlineStr">
        <is>
          <t>Parade &amp; Dinner</t>
        </is>
      </c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
【9/29-30】Summary＝宮木所長（Executive Director）が発表、Gerry起草（28日夜〜29日朝）。Closing Remarks＝三浦センター長（Chairman）＋SCDF代表【TBC】。写真担当に荒木田を追加。TS登壇者: Google (Ms Sirada Boonkongchuen)、JAXA、BRIN (Dr Yenni Vetrita)、YI-Lab (Mr Pradip Khatiwada)、Uzbekistan（回答待ち）、内閣府枠（Spectee＋1社、15分）。RT(2) 09:00-09:30＝Uzbekistan・Viet Nam（各5分）→アドバイザー国→ADPC→ADB・AHA Centre・Google・オンライン（各3分）。進行シナリオ案0929参照。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62" t="inlineStr">
        <is>
          <t>Webinar起動・AI通訳・現地接続確認 (JST9-10:30)</t>
        </is>
      </c>
      <c r="E24" s="94" t="n"/>
      <c r="F24" s="95" t="n"/>
      <c r="G24" s="162" t="inlineStr">
        <is>
          <t>TS/Closing: Q&amp;A・コメント確認・AI通訳監視</t>
        </is>
      </c>
      <c r="H24" s="94" t="n"/>
      <c r="I24" s="94" t="n"/>
      <c r="J24" s="94" t="n"/>
      <c r="K24" s="95" t="n"/>
      <c r="N24" s="162" t="inlineStr">
        <is>
          <t>Webinar終了処理・ログ回収</t>
        </is>
      </c>
      <c r="O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G25" s="162" t="inlineStr">
        <is>
          <t>TS/Closing 録画・オンライン質疑取次</t>
        </is>
      </c>
      <c r="H25" s="94" t="n"/>
      <c r="I25" s="94" t="n"/>
      <c r="J25" s="94" t="n"/>
      <c r="K25" s="95" t="n"/>
      <c r="N25" s="161" t="inlineStr">
        <is>
          <t>録画データ整理・保存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G26" s="194" t="inlineStr">
        <is>
          <t>録画(日英)ローカル保存 ※仮置き</t>
        </is>
      </c>
      <c r="H26" s="94" t="n"/>
      <c r="I26" s="94" t="n"/>
      <c r="J26" s="94" t="n"/>
      <c r="K26" s="95" t="n"/>
    </row>
    <row r="27" ht="21.75" customHeight="1" s="107">
      <c r="A27" s="49">
        <f>人員一覧・判定!B20</f>
        <v/>
      </c>
      <c r="D27" s="166" t="inlineStr">
        <is>
          <t>Webinarホスト・録画確認 ※仮置き</t>
        </is>
      </c>
      <c r="E27" s="94" t="n"/>
      <c r="F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D27:F27"/>
    <mergeCell ref="M10:U10"/>
    <mergeCell ref="N4:U4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Y16:AD16"/>
    <mergeCell ref="V11:X11"/>
    <mergeCell ref="G17:K17"/>
    <mergeCell ref="Y7:AD7"/>
    <mergeCell ref="Y6:AD6"/>
    <mergeCell ref="N12:U12"/>
    <mergeCell ref="A21:AD21"/>
    <mergeCell ref="A23:L23"/>
    <mergeCell ref="D18:F18"/>
    <mergeCell ref="Y13:AD13"/>
    <mergeCell ref="Y18:AD18"/>
    <mergeCell ref="D13:K13"/>
    <mergeCell ref="D9:F9"/>
    <mergeCell ref="D25:F25"/>
    <mergeCell ref="Y12:AD12"/>
    <mergeCell ref="D15:F15"/>
    <mergeCell ref="N18:U18"/>
    <mergeCell ref="G18:K18"/>
    <mergeCell ref="N14:U14"/>
    <mergeCell ref="D24:F24"/>
    <mergeCell ref="N17:U17"/>
    <mergeCell ref="D14:F14"/>
    <mergeCell ref="N8:U8"/>
    <mergeCell ref="L4:M4"/>
    <mergeCell ref="G8:J8"/>
    <mergeCell ref="G24:K24"/>
    <mergeCell ref="V18:X18"/>
    <mergeCell ref="Y8:AD8"/>
    <mergeCell ref="D4:E4"/>
    <mergeCell ref="Y4:AA4"/>
    <mergeCell ref="G7:J7"/>
    <mergeCell ref="G10:J10"/>
    <mergeCell ref="D10:F10"/>
    <mergeCell ref="G26:K26"/>
    <mergeCell ref="D12:K12"/>
    <mergeCell ref="N9:U9"/>
    <mergeCell ref="G6:J6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30 OCT 2026 (FRI)  Day 3: SIDEX-ACDR Keynote / Panels / Exhibition Tour / Closing / 出発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F4" s="167" t="inlineStr">
        <is>
          <t>Keynote &amp; Panel 1 (Hall 3)</t>
        </is>
      </c>
      <c r="G4" s="94" t="n"/>
      <c r="H4" s="94" t="n"/>
      <c r="I4" s="94" t="n"/>
      <c r="J4" s="94" t="n"/>
      <c r="K4" s="95" t="n"/>
      <c r="L4" s="167" t="inlineStr">
        <is>
          <t>Lunch</t>
        </is>
      </c>
      <c r="M4" s="94" t="n"/>
      <c r="N4" s="95" t="n"/>
      <c r="O4" s="167" t="inlineStr">
        <is>
          <t>Exhibition Tour</t>
        </is>
      </c>
      <c r="P4" s="95" t="n"/>
      <c r="R4" s="167" t="inlineStr">
        <is>
          <t>Panel 2</t>
        </is>
      </c>
      <c r="S4" s="94" t="n"/>
      <c r="T4" s="95" t="n"/>
      <c r="U4" s="97" t="inlineStr">
        <is>
          <t>Closing Ceremony</t>
        </is>
      </c>
      <c r="V4" s="184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5" t="n"/>
    </row>
    <row r="5" ht="3" customHeight="1" s="107">
      <c r="A5" s="54" t="n"/>
      <c r="F5" s="97" t="n"/>
      <c r="G5" s="97" t="n"/>
      <c r="H5" s="97" t="n"/>
      <c r="I5" s="97" t="n"/>
      <c r="J5" s="97" t="n"/>
      <c r="K5" s="97" t="n"/>
      <c r="L5" s="62" t="n"/>
      <c r="M5" s="62" t="n"/>
      <c r="N5" s="62" t="n"/>
      <c r="O5" s="97" t="n"/>
      <c r="P5" s="97" t="n"/>
      <c r="R5" s="97" t="n"/>
      <c r="S5" s="97" t="n"/>
      <c r="T5" s="97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102" t="n"/>
      <c r="AE5" s="102" t="n"/>
      <c r="AF5" s="102" t="n"/>
    </row>
    <row r="6" ht="21.75" customHeight="1" s="107">
      <c r="A6" s="40">
        <f>人員一覧・判定!B5</f>
        <v/>
      </c>
      <c r="F6" s="169" t="inlineStr">
        <is>
          <t>Keynote/Panel1</t>
        </is>
      </c>
      <c r="G6" s="94" t="n"/>
      <c r="H6" s="94" t="n"/>
      <c r="I6" s="94" t="n"/>
      <c r="J6" s="94" t="n"/>
      <c r="K6" s="95" t="n"/>
      <c r="O6" s="169" t="inlineStr">
        <is>
          <t>Exhibition Tour/Panel2/Closing</t>
        </is>
      </c>
      <c r="P6" s="94" t="n"/>
      <c r="Q6" s="94" t="n"/>
      <c r="R6" s="94" t="n"/>
      <c r="S6" s="94" t="n"/>
      <c r="T6" s="95" t="n"/>
      <c r="AD6" s="195" t="inlineStr">
        <is>
          <t>空港へ(SQ656 01:20)</t>
        </is>
      </c>
      <c r="AE6" s="94" t="n"/>
      <c r="AF6" s="95" t="n"/>
    </row>
    <row r="7" ht="21.75" customHeight="1" s="107">
      <c r="A7" s="40">
        <f>人員一覧・判定!B6</f>
        <v/>
      </c>
      <c r="F7" s="169" t="inlineStr">
        <is>
          <t>Keynote/Panel1</t>
        </is>
      </c>
      <c r="G7" s="94" t="n"/>
      <c r="H7" s="94" t="n"/>
      <c r="I7" s="94" t="n"/>
      <c r="J7" s="94" t="n"/>
      <c r="K7" s="95" t="n"/>
      <c r="O7" s="169" t="inlineStr">
        <is>
          <t>Exhibition Tour/Panel2/Closing</t>
        </is>
      </c>
      <c r="P7" s="94" t="n"/>
      <c r="Q7" s="94" t="n"/>
      <c r="R7" s="94" t="n"/>
      <c r="S7" s="94" t="n"/>
      <c r="T7" s="95" t="n"/>
      <c r="AC7" s="196" t="inlineStr">
        <is>
          <t>空港へ(SQ638 23:55)</t>
        </is>
      </c>
      <c r="AD7" s="94" t="n"/>
      <c r="AE7" s="94" t="n"/>
      <c r="AF7" s="95" t="n"/>
    </row>
    <row r="8" ht="21.75" customHeight="1" s="107">
      <c r="A8" s="40">
        <f>人員一覧・判定!B7</f>
        <v/>
      </c>
      <c r="F8" s="169" t="inlineStr">
        <is>
          <t>Keynote/Panel1</t>
        </is>
      </c>
      <c r="G8" s="94" t="n"/>
      <c r="H8" s="94" t="n"/>
      <c r="I8" s="94" t="n"/>
      <c r="J8" s="94" t="n"/>
      <c r="K8" s="95" t="n"/>
      <c r="O8" s="169" t="inlineStr">
        <is>
          <t>Exhibition Tour/Panel2/Closing</t>
        </is>
      </c>
      <c r="P8" s="94" t="n"/>
      <c r="Q8" s="94" t="n"/>
      <c r="R8" s="94" t="n"/>
      <c r="S8" s="94" t="n"/>
      <c r="T8" s="95" t="n"/>
      <c r="V8" s="154" t="inlineStr">
        <is>
          <t>内閣府見送り/総括</t>
        </is>
      </c>
      <c r="W8" s="94" t="n"/>
      <c r="X8" s="94" t="n"/>
      <c r="Y8" s="95" t="n"/>
    </row>
    <row r="9" ht="21.75" customHeight="1" s="107">
      <c r="A9" s="40">
        <f>人員一覧・判定!B8</f>
        <v/>
      </c>
      <c r="F9" s="169" t="inlineStr">
        <is>
          <t>Keynote/Panel1</t>
        </is>
      </c>
      <c r="G9" s="94" t="n"/>
      <c r="H9" s="94" t="n"/>
      <c r="I9" s="94" t="n"/>
      <c r="J9" s="94" t="n"/>
      <c r="K9" s="95" t="n"/>
      <c r="O9" s="169" t="inlineStr">
        <is>
          <t>Exhibition Tour(誘導)/Panel2</t>
        </is>
      </c>
      <c r="P9" s="94" t="n"/>
      <c r="Q9" s="94" t="n"/>
      <c r="R9" s="94" t="n"/>
      <c r="S9" s="94" t="n"/>
      <c r="T9" s="95" t="n"/>
      <c r="V9" s="158" t="inlineStr">
        <is>
          <t>出発対応(Dorsett)・COSEM精算打合せ</t>
        </is>
      </c>
      <c r="W9" s="94" t="n"/>
      <c r="X9" s="94" t="n"/>
      <c r="Y9" s="94" t="n"/>
      <c r="Z9" s="94" t="n"/>
      <c r="AA9" s="95" t="n"/>
    </row>
    <row r="10" ht="21.75" customHeight="1" s="107">
      <c r="A10" s="40">
        <f>人員一覧・判定!B9</f>
        <v/>
      </c>
      <c r="F10" s="169" t="inlineStr">
        <is>
          <t>Keynote/Panel1(リソース対応)</t>
        </is>
      </c>
      <c r="G10" s="94" t="n"/>
      <c r="H10" s="94" t="n"/>
      <c r="I10" s="94" t="n"/>
      <c r="J10" s="94" t="n"/>
      <c r="K10" s="95" t="n"/>
      <c r="O10" s="169" t="inlineStr">
        <is>
          <t>Exhibition Tour/Panel2/Closing</t>
        </is>
      </c>
      <c r="P10" s="94" t="n"/>
      <c r="Q10" s="94" t="n"/>
      <c r="R10" s="94" t="n"/>
      <c r="S10" s="94" t="n"/>
      <c r="T10" s="95" t="n"/>
      <c r="V10" s="154" t="inlineStr">
        <is>
          <t>総括・引継ぎ</t>
        </is>
      </c>
      <c r="W10" s="94" t="n"/>
      <c r="X10" s="94" t="n"/>
      <c r="Y10" s="95" t="n"/>
      <c r="AA10" s="196" t="inlineStr">
        <is>
          <t>空港へ(NH844 22:20)</t>
        </is>
      </c>
      <c r="AB10" s="94" t="n"/>
      <c r="AC10" s="94" t="n"/>
      <c r="AD10" s="94" t="n"/>
      <c r="AE10" s="94" t="n"/>
      <c r="AF10" s="95" t="n"/>
    </row>
    <row r="11" ht="21.75" customHeight="1" s="107">
      <c r="A11" s="40">
        <f>人員一覧・判定!B10</f>
        <v/>
      </c>
      <c r="D11" s="197" t="inlineStr">
        <is>
          <t>Dorsett→EXPO誘導</t>
        </is>
      </c>
      <c r="E11" s="95" t="n"/>
      <c r="F11" s="169" t="inlineStr">
        <is>
          <t>Keynote/Panel1</t>
        </is>
      </c>
      <c r="G11" s="94" t="n"/>
      <c r="H11" s="94" t="n"/>
      <c r="I11" s="94" t="n"/>
      <c r="J11" s="94" t="n"/>
      <c r="K11" s="95" t="n"/>
      <c r="O11" s="169" t="inlineStr">
        <is>
          <t>Exhibition Tour/Panel2</t>
        </is>
      </c>
      <c r="P11" s="94" t="n"/>
      <c r="Q11" s="94" t="n"/>
      <c r="R11" s="94" t="n"/>
      <c r="S11" s="94" t="n"/>
      <c r="T11" s="95" t="n"/>
      <c r="V11" s="158" t="inlineStr">
        <is>
          <t>参加者出発案内</t>
        </is>
      </c>
      <c r="W11" s="94" t="n"/>
      <c r="X11" s="94" t="n"/>
      <c r="Y11" s="95" t="n"/>
      <c r="AB11" s="196" t="inlineStr">
        <is>
          <t>空港へ(AY132 22:05)</t>
        </is>
      </c>
      <c r="AC11" s="94" t="n"/>
      <c r="AD11" s="94" t="n"/>
      <c r="AE11" s="94" t="n"/>
      <c r="AF11" s="95" t="n"/>
    </row>
    <row r="12" ht="21.75" customHeight="1" s="107">
      <c r="A12" s="40">
        <f>人員一覧・判定!B11</f>
        <v/>
      </c>
      <c r="F12" s="158" t="inlineStr">
        <is>
          <t>受付/清算</t>
        </is>
      </c>
      <c r="G12" s="94" t="n"/>
      <c r="H12" s="94" t="n"/>
      <c r="I12" s="94" t="n"/>
      <c r="J12" s="94" t="n"/>
      <c r="K12" s="95" t="n"/>
      <c r="O12" s="158" t="inlineStr">
        <is>
          <t>会場(受付)</t>
        </is>
      </c>
      <c r="P12" s="94" t="n"/>
      <c r="Q12" s="94" t="n"/>
      <c r="R12" s="94" t="n"/>
      <c r="S12" s="94" t="n"/>
      <c r="T12" s="95" t="n"/>
      <c r="V12" s="159" t="inlineStr">
        <is>
          <t>Dorsett出発対応・支払</t>
        </is>
      </c>
      <c r="W12" s="94" t="n"/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D13" s="197" t="inlineStr">
        <is>
          <t>Dorsett→EXPO誘導</t>
        </is>
      </c>
      <c r="E13" s="95" t="n"/>
      <c r="F13" s="158" t="inlineStr">
        <is>
          <t>受付</t>
        </is>
      </c>
      <c r="G13" s="94" t="n"/>
      <c r="H13" s="94" t="n"/>
      <c r="I13" s="94" t="n"/>
      <c r="J13" s="94" t="n"/>
      <c r="K13" s="95" t="n"/>
      <c r="O13" s="158" t="inlineStr">
        <is>
          <t>会場(受付)</t>
        </is>
      </c>
      <c r="P13" s="94" t="n"/>
      <c r="Q13" s="94" t="n"/>
      <c r="R13" s="94" t="n"/>
      <c r="S13" s="94" t="n"/>
      <c r="T13" s="95" t="n"/>
      <c r="V13" s="159" t="inlineStr">
        <is>
          <t>Dorsett出発対応・送迎確認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F14" s="169" t="inlineStr">
        <is>
          <t>Keynote/Panel1</t>
        </is>
      </c>
      <c r="G14" s="94" t="n"/>
      <c r="H14" s="94" t="n"/>
      <c r="I14" s="94" t="n"/>
      <c r="J14" s="94" t="n"/>
      <c r="K14" s="95" t="n"/>
      <c r="O14" s="198" t="inlineStr">
        <is>
          <t>Exhibition Tour誘導(Japan Pavilion)</t>
        </is>
      </c>
      <c r="P14" s="94" t="n"/>
      <c r="Q14" s="95" t="n"/>
      <c r="R14" s="169" t="inlineStr">
        <is>
          <t>Panel2/Closing</t>
        </is>
      </c>
      <c r="S14" s="94" t="n"/>
      <c r="T14" s="95" t="n"/>
      <c r="V14" s="156" t="inlineStr">
        <is>
          <t>機材撤収</t>
        </is>
      </c>
      <c r="W14" s="94" t="n"/>
      <c r="X14" s="94" t="n"/>
      <c r="Y14" s="95" t="n"/>
      <c r="AE14" s="199" t="inlineStr">
        <is>
          <t>空港へ(01:30発)</t>
        </is>
      </c>
      <c r="AF14" s="95" t="n"/>
    </row>
    <row r="15" ht="21.75" customHeight="1" s="107">
      <c r="A15" s="58">
        <f>人員一覧・判定!C14</f>
        <v/>
      </c>
      <c r="F15" s="169" t="inlineStr">
        <is>
          <t>Keynote/Panel1/Summary最終化</t>
        </is>
      </c>
      <c r="G15" s="94" t="n"/>
      <c r="H15" s="94" t="n"/>
      <c r="I15" s="94" t="n"/>
      <c r="J15" s="94" t="n"/>
      <c r="K15" s="95" t="n"/>
      <c r="O15" s="169" t="inlineStr">
        <is>
          <t>Exhibition Tour/Panel2</t>
        </is>
      </c>
      <c r="P15" s="94" t="n"/>
      <c r="Q15" s="94" t="n"/>
      <c r="R15" s="94" t="n"/>
      <c r="S15" s="94" t="n"/>
      <c r="T15" s="95" t="n"/>
      <c r="AE15" s="199" t="inlineStr">
        <is>
          <t>空港へ(01:30発)</t>
        </is>
      </c>
      <c r="AF15" s="95" t="n"/>
    </row>
    <row r="16" ht="21.75" customHeight="1" s="107">
      <c r="A16" s="40">
        <f>人員一覧・判定!C15</f>
        <v/>
      </c>
      <c r="F16" s="169" t="inlineStr">
        <is>
          <t>Keynote/Panel1</t>
        </is>
      </c>
      <c r="G16" s="94" t="n"/>
      <c r="H16" s="94" t="n"/>
      <c r="I16" s="94" t="n"/>
      <c r="J16" s="94" t="n"/>
      <c r="K16" s="95" t="n"/>
      <c r="O16" s="169" t="inlineStr">
        <is>
          <t>Exhibition Tour/Panel2</t>
        </is>
      </c>
      <c r="P16" s="94" t="n"/>
      <c r="Q16" s="94" t="n"/>
      <c r="R16" s="94" t="n"/>
      <c r="S16" s="94" t="n"/>
      <c r="T16" s="95" t="n"/>
    </row>
    <row r="17" ht="21.75" customHeight="1" s="107">
      <c r="A17" s="40">
        <f>人員一覧・判定!B16</f>
        <v/>
      </c>
      <c r="F17" s="156" t="inlineStr">
        <is>
          <t>写真/誘導</t>
        </is>
      </c>
      <c r="G17" s="94" t="n"/>
      <c r="H17" s="94" t="n"/>
      <c r="I17" s="94" t="n"/>
      <c r="J17" s="94" t="n"/>
      <c r="K17" s="95" t="n"/>
      <c r="O17" s="156" t="inlineStr">
        <is>
          <t>Exhibition Tour誘導/写真</t>
        </is>
      </c>
      <c r="P17" s="94" t="n"/>
      <c r="Q17" s="94" t="n"/>
      <c r="R17" s="94" t="n"/>
      <c r="S17" s="94" t="n"/>
      <c r="T17" s="95" t="n"/>
      <c r="V17" s="158" t="inlineStr">
        <is>
          <t>帰国準備→深夜空港へ（TR818 11/1 03:05発、藤中・田中と同便）</t>
        </is>
      </c>
      <c r="W17" s="94" t="n"/>
      <c r="X17" s="94" t="n"/>
      <c r="Y17" s="94" t="n"/>
      <c r="Z17" s="94" t="n"/>
      <c r="AA17" s="95" t="n"/>
    </row>
    <row r="18" ht="21.75" customHeight="1" s="107">
      <c r="A18" s="40">
        <f>人員一覧・判定!B17</f>
        <v/>
      </c>
      <c r="F18" s="179" t="inlineStr">
        <is>
          <t>Keynote記録</t>
        </is>
      </c>
      <c r="G18" s="94" t="n"/>
      <c r="H18" s="94" t="n"/>
      <c r="I18" s="94" t="n"/>
      <c r="J18" s="94" t="n"/>
      <c r="K18" s="95" t="n"/>
      <c r="O18" s="158" t="inlineStr">
        <is>
          <t>参加者誘導</t>
        </is>
      </c>
      <c r="P18" s="94" t="n"/>
      <c r="Q18" s="94" t="n"/>
      <c r="R18" s="94" t="n"/>
      <c r="S18" s="94" t="n"/>
      <c r="T18" s="95" t="n"/>
      <c r="V18" s="158" t="inlineStr">
        <is>
          <t>帰国準備→空港へ（TG410 21:00発。閉会16:50後すぐ移動）</t>
        </is>
      </c>
      <c r="W18" s="94" t="n"/>
      <c r="X18" s="94" t="n"/>
      <c r="Y18" s="94" t="n"/>
      <c r="Z18" s="94" t="n"/>
      <c r="AA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200" t="inlineStr">
        <is>
          <t>（SIDEX配信はSCDF側）Webinar/Zoom終了処理・AI通訳ログ整理</t>
        </is>
      </c>
      <c r="G24" s="94" t="n"/>
      <c r="H24" s="94" t="n"/>
      <c r="I24" s="94" t="n"/>
      <c r="J24" s="94" t="n"/>
      <c r="K24" s="95" t="n"/>
    </row>
    <row r="25" ht="21.75" customHeight="1" s="107">
      <c r="A25" s="49">
        <f>人員一覧・判定!B19</f>
        <v/>
      </c>
      <c r="F25" s="161" t="inlineStr">
        <is>
          <t>録画データ整理・保存（報告書・Highlights用）</t>
        </is>
      </c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5" t="n"/>
    </row>
    <row r="26" ht="14.25" customHeight="1" s="107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8:T8"/>
    <mergeCell ref="O11:T11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107" min="1" max="2"/>
    <col width="10" customWidth="1" style="107" min="3" max="3"/>
    <col width="30" customWidth="1" style="107" min="4" max="4"/>
    <col width="8" customWidth="1" style="107" min="5" max="5"/>
    <col width="44" customWidth="1" style="107" min="6" max="7"/>
  </cols>
  <sheetData>
    <row r="1" ht="15" customHeight="1" s="107">
      <c r="A1" s="65" t="inlineStr">
        <is>
          <t>機能別 必要人数と充足状況（現時点の確定・見込メンバーでの判定）</t>
        </is>
      </c>
    </row>
    <row r="2" ht="31.5" customHeight="1" s="107">
      <c r="A2" s="121" t="n"/>
    </row>
    <row r="4" ht="26.25" customHeight="1" s="107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107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07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07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107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107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107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107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107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107">
      <c r="A13" s="68" t="inlineStr">
        <is>
          <t>今後のスケジュール（9/4打合せ）</t>
        </is>
      </c>
    </row>
    <row r="14" ht="30" customHeight="1" s="107">
      <c r="A14" s="151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107">
      <c r="A15" s="151" t="inlineStr">
        <is>
          <t>・9月下旬: 次回所内打合せ（会場レイアウト表、COSEMとの役割分担案、動態表更新版を提示）</t>
        </is>
      </c>
    </row>
    <row r="16" ht="30" customHeight="1" s="107">
      <c r="A16" s="151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107">
      <c r="A17" s="151" t="inlineStr">
        <is>
          <t>・10/13: Final Announcement（開催2週間前）</t>
        </is>
      </c>
    </row>
    <row r="18" ht="30" customHeight="1" s="107">
      <c r="A18" s="151" t="inlineStr">
        <is>
          <t>・10/26-27: 現地入り、日本側との接続・運用テスト、27日午前に全員で会場下見</t>
        </is>
      </c>
    </row>
    <row r="19" ht="30" customHeight="1" s="107">
      <c r="A19" s="151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107">
      <c r="A20" s="151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107">
      <c r="A21" s="151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26" customWidth="1" style="107" min="3" max="3"/>
    <col width="44" customWidth="1" style="107" min="4" max="4"/>
    <col width="48" customWidth="1" style="107" min="5" max="5"/>
    <col width="30" customWidth="1" style="107" min="6" max="6"/>
    <col width="14" customWidth="1" style="107" min="7" max="8"/>
    <col width="9" customWidth="1" style="107" min="9" max="9"/>
  </cols>
  <sheetData>
    <row r="1" ht="16.5" customHeight="1" s="107">
      <c r="A1" s="69" t="inlineStr">
        <is>
          <t>COSEM/SCDFとの協議事項（役割分担・ドレスコード・会場・導線・記録・事務・プログラム）　as of 2026/9/30 v2_93</t>
        </is>
      </c>
    </row>
    <row r="2" ht="39.75" customHeight="1" s="107">
      <c r="A2" s="121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07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107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107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107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107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107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107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107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107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107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107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107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107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107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107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107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107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107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107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107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107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107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107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107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107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107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107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107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107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107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107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107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107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107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107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107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107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107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107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107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107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107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107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107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1前倒し、バナー修正版、07:30入室、ビザ申請状況、レセプション名簿【9/29 JM6実施済み。要点は Day1/Day2 留意事項と J48〜J56】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合意</t>
        </is>
      </c>
    </row>
    <row r="48" ht="78" customHeight="1" s="107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107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107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107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78" customHeight="1" s="107">
      <c r="A52" s="201" t="inlineStr">
        <is>
          <t>J48</t>
        </is>
      </c>
      <c r="B52" s="202" t="inlineStr">
        <is>
          <t>会場・機材</t>
        </is>
      </c>
      <c r="C52" s="202" t="inlineStr">
        <is>
          <t>ステージ（riser）と前方登壇者卓</t>
        </is>
      </c>
      <c r="D52" s="202" t="inlineStr">
        <is>
          <t>Sylvia 9/29: 9パネルのステージに前方2卓を載せる提案（パネルが少ないと不安定）。ADRC: 無償なら可、有償なら床レベルで可（演台はTSのみ、視認性は問題なし）。28日は演台のみ。</t>
        </is>
      </c>
      <c r="E52" s="202" t="inlineStr">
        <is>
          <t>費用負担、パネル数、28日の前方構成</t>
        </is>
      </c>
      <c r="F52" s="201" t="inlineStr">
        <is>
          <t>WhatsApp 9/29、JM6</t>
        </is>
      </c>
      <c r="G52" s="201" t="inlineStr">
        <is>
          <t>10/8</t>
        </is>
      </c>
      <c r="H52" s="202" t="inlineStr">
        <is>
          <t>児玉・荒木田</t>
        </is>
      </c>
      <c r="I52" s="203" t="inlineStr">
        <is>
          <t>協議中</t>
        </is>
      </c>
    </row>
    <row r="53" ht="78" customHeight="1" s="107">
      <c r="A53" s="201" t="inlineStr">
        <is>
          <t>J49</t>
        </is>
      </c>
      <c r="B53" s="202" t="inlineStr">
        <is>
          <t>会場・機材</t>
        </is>
      </c>
      <c r="C53" s="202" t="inlineStr">
        <is>
          <t>バナーの設置方法</t>
        </is>
      </c>
      <c r="D53" s="202" t="inlineStr">
        <is>
          <t>スクリーン下への取付は不可。案: (a)登壇者卓前面の布バナー、(b)床置き2本ポール（MC席で隠れる）、(c)2025年型A型スタンド400×80cm（写真送付済み）。</t>
        </is>
      </c>
      <c r="E53" s="202" t="inlineStr">
        <is>
          <t>方式の選択、制作・費用の分担</t>
        </is>
      </c>
      <c r="F53" s="201" t="inlineStr">
        <is>
          <t>WhatsApp 9/29</t>
        </is>
      </c>
      <c r="G53" s="201" t="inlineStr">
        <is>
          <t>10/8</t>
        </is>
      </c>
      <c r="H53" s="202" t="inlineStr">
        <is>
          <t>児玉</t>
        </is>
      </c>
      <c r="I53" s="203" t="inlineStr">
        <is>
          <t>協議中</t>
        </is>
      </c>
    </row>
    <row r="54" ht="78" customHeight="1" s="107">
      <c r="A54" s="201" t="inlineStr">
        <is>
          <t>J50</t>
        </is>
      </c>
      <c r="B54" s="202" t="inlineStr">
        <is>
          <t>会場・機材</t>
        </is>
      </c>
      <c r="C54" s="202" t="inlineStr">
        <is>
          <t>会場拡張とティーブレイク区画</t>
        </is>
      </c>
      <c r="D54" s="202" t="inlineStr">
        <is>
          <t>教室型1列の撤去可（荒木田）。204-206側（NOT IN USE区画）へ拡張。ティーブレイクは青（204-206前）かピンク（201-203側廊下）、ADRCはどちらでも可。AV席・事務局席の位置を要確認。</t>
        </is>
      </c>
      <c r="E54" s="202" t="inlineStr">
        <is>
          <t>Expoの最終図面</t>
        </is>
      </c>
      <c r="F54" s="201" t="inlineStr">
        <is>
          <t>WhatsApp 9/29</t>
        </is>
      </c>
      <c r="G54" s="201" t="inlineStr">
        <is>
          <t>至急</t>
        </is>
      </c>
      <c r="H54" s="202" t="inlineStr">
        <is>
          <t>児玉</t>
        </is>
      </c>
      <c r="I54" s="203" t="inlineStr">
        <is>
          <t>協議中</t>
        </is>
      </c>
    </row>
    <row r="55" ht="78" customHeight="1" s="107">
      <c r="A55" s="201" t="inlineStr">
        <is>
          <t>J51</t>
        </is>
      </c>
      <c r="B55" s="202" t="inlineStr">
        <is>
          <t>会場・機材</t>
        </is>
      </c>
      <c r="C55" s="202" t="inlineStr">
        <is>
          <t>カメラ（Zoom用）の持込と2台運用の可否</t>
        </is>
      </c>
      <c r="D55" s="202" t="inlineStr">
        <is>
          <t>【決定】Zoom用ビデオカメラ1台はADRCが持込（仙台と同様にHDMI接続、AVオペレータへ渡す）。2台運用（演台固定＋U字パン、Sylvia 9/29案）にするかは未決。10月はカメラマン確保困難、業者機材を職員が操作する場合の損害責任をSylviaが懸念。教室型1列目のRT発言者（仙台市・Google）をどう撮るかも未決。</t>
        </is>
      </c>
      <c r="E55" s="202" t="inlineStr">
        <is>
          <t>2台目の要否と費用、HDMI入力、見積からの減額</t>
        </is>
      </c>
      <c r="F55" s="201" t="inlineStr">
        <is>
          <t>Sylvia 9/22、荒木田 9/24、JM6、WhatsApp 9/29</t>
        </is>
      </c>
      <c r="G55" s="201" t="inlineStr">
        <is>
          <t>10/8</t>
        </is>
      </c>
      <c r="H55" s="202" t="inlineStr">
        <is>
          <t>荒木田</t>
        </is>
      </c>
      <c r="I55" s="203" t="inlineStr">
        <is>
          <t>協議中</t>
        </is>
      </c>
    </row>
    <row r="56" ht="78" customHeight="1" s="107">
      <c r="A56" s="201" t="inlineStr">
        <is>
          <t>J52</t>
        </is>
      </c>
      <c r="B56" s="202" t="inlineStr">
        <is>
          <t>役割分担</t>
        </is>
      </c>
      <c r="C56" s="202" t="inlineStr">
        <is>
          <t>名札65枚の調達</t>
        </is>
      </c>
      <c r="D56" s="202" t="inlineStr">
        <is>
          <t>COSEMは提供せず。SylviaがSCDF各部署から借用（14〜15枚確保済）。ADRCは国旗ロゴ等の素材と名簿（10/13）を提供。</t>
        </is>
      </c>
      <c r="E56" s="202" t="inlineStr">
        <is>
          <t>テンプレート様式、素材の形式</t>
        </is>
      </c>
      <c r="F56" s="201" t="inlineStr">
        <is>
          <t>JM6 9/29</t>
        </is>
      </c>
      <c r="G56" s="201" t="inlineStr">
        <is>
          <t>10/13</t>
        </is>
      </c>
      <c r="H56" s="202" t="inlineStr">
        <is>
          <t>荒木田・田中</t>
        </is>
      </c>
      <c r="I56" s="203" t="inlineStr">
        <is>
          <t>協議中</t>
        </is>
      </c>
    </row>
    <row r="57" ht="78" customHeight="1" s="107">
      <c r="A57" s="201" t="inlineStr">
        <is>
          <t>J53</t>
        </is>
      </c>
      <c r="B57" s="202" t="inlineStr">
        <is>
          <t>会場・機材</t>
        </is>
      </c>
      <c r="C57" s="202" t="inlineStr">
        <is>
          <t>当日早朝設営（前日設営の追加課金回避）</t>
        </is>
      </c>
      <c r="D57" s="202" t="inlineStr">
        <is>
          <t>前日設営はExpoが1日分課金。JM6でSylvia「Expoに確認したところ設営開始は最早08:00」（録音83:28、要確認）。ADRCの07:30入室希望（9/24メール）は未承認。当日早朝設営の可否と開始時刻をSylviaがExpo/COSEMに確認中。【荒木田 9/30】机・椅子の配置を28・29日で共通にし（前方登壇者卓・演台・ステージは28日朝に設営してそのまま）、29日朝はAVと名札の準備のみとすれば08:00入室で足りる。9/24メールの「28日夜の前方組替」は不要。</t>
        </is>
      </c>
      <c r="E57" s="202" t="inlineStr">
        <is>
          <t>設営開始時刻（08:00）、28日の前方構成を29日と同じにする可否（RT・SCでも登壇者卓を置いたまま）</t>
        </is>
      </c>
      <c r="F57" s="201" t="inlineStr">
        <is>
          <t>JM6 9/29</t>
        </is>
      </c>
      <c r="G57" s="201" t="inlineStr">
        <is>
          <t>10/8</t>
        </is>
      </c>
      <c r="H57" s="202" t="inlineStr">
        <is>
          <t>荒木田・池田</t>
        </is>
      </c>
      <c r="I57" s="203" t="inlineStr">
        <is>
          <t>協議中</t>
        </is>
      </c>
    </row>
    <row r="58" ht="78" customHeight="1" s="107">
      <c r="A58" s="201" t="inlineStr">
        <is>
          <t>J54</t>
        </is>
      </c>
      <c r="B58" s="202" t="inlineStr">
        <is>
          <t>プログラム</t>
        </is>
      </c>
      <c r="C58" s="202" t="inlineStr">
        <is>
          <t>ACDR Opening/ClosingのSCDF登壇者</t>
        </is>
      </c>
      <c r="D58" s="202" t="inlineStr">
        <is>
          <t>Opening 12:45: Commissioner（tbc、不在時はAlan Chow氏）。Closing 11:54: SCDF代表【TBC】。</t>
        </is>
      </c>
      <c r="E58" s="202" t="inlineStr">
        <is>
          <t>登壇者の確定</t>
        </is>
      </c>
      <c r="F58" s="201" t="inlineStr">
        <is>
          <t>進行シナリオ案0929</t>
        </is>
      </c>
      <c r="G58" s="201" t="inlineStr">
        <is>
          <t>10/8</t>
        </is>
      </c>
      <c r="H58" s="202" t="inlineStr">
        <is>
          <t>荒木田</t>
        </is>
      </c>
      <c r="I58" s="203" t="inlineStr">
        <is>
          <t>未協議</t>
        </is>
      </c>
    </row>
    <row r="59" ht="78" customHeight="1" s="107">
      <c r="A59" s="201" t="inlineStr">
        <is>
          <t>J55</t>
        </is>
      </c>
      <c r="B59" s="202" t="inlineStr">
        <is>
          <t>プログラム</t>
        </is>
      </c>
      <c r="C59" s="202" t="inlineStr">
        <is>
          <t>ブリーフィング日程</t>
        </is>
      </c>
      <c r="D59" s="202" t="inlineStr">
        <is>
          <t>10/8（木）全体シナリオ、10/9（金）TS（Mizan）＋RT（吉田・Gerry）個別。SylviaがGoogle Meet招待。</t>
        </is>
      </c>
      <c r="E59" s="202" t="inlineStr">
        <is>
          <t>時刻の確定</t>
        </is>
      </c>
      <c r="F59" s="201" t="inlineStr">
        <is>
          <t>JM6 9/29</t>
        </is>
      </c>
      <c r="G59" s="201" t="inlineStr">
        <is>
          <t>10/3</t>
        </is>
      </c>
      <c r="H59" s="202" t="inlineStr">
        <is>
          <t>荒木田</t>
        </is>
      </c>
      <c r="I59" s="203" t="inlineStr">
        <is>
          <t>協議中</t>
        </is>
      </c>
    </row>
    <row r="60" ht="78" customHeight="1" s="107">
      <c r="A60" s="201" t="inlineStr">
        <is>
          <t>J56</t>
        </is>
      </c>
      <c r="B60" s="202" t="inlineStr">
        <is>
          <t>事務・契約</t>
        </is>
      </c>
      <c r="C60" s="202" t="inlineStr">
        <is>
          <t>3人目以降のスワップ（約5名）</t>
        </is>
      </c>
      <c r="D60" s="202" t="inlineStr">
        <is>
          <t>韓国2・インド1・ベトナム1・トルコ1（未確定）。Sylviaが「110枠内の入替」としてCOSEMに再交渉。</t>
        </is>
      </c>
      <c r="E60" s="202" t="inlineStr">
        <is>
          <t>結果</t>
        </is>
      </c>
      <c r="F60" s="201" t="inlineStr">
        <is>
          <t>JM6 9/29</t>
        </is>
      </c>
      <c r="G60" s="201" t="inlineStr">
        <is>
          <t>10/3</t>
        </is>
      </c>
      <c r="H60" s="202" t="inlineStr">
        <is>
          <t>藤中</t>
        </is>
      </c>
      <c r="I60" s="203" t="inlineStr">
        <is>
          <t>協議中</t>
        </is>
      </c>
    </row>
    <row r="61" ht="78" customHeight="1" s="107">
      <c r="A61" s="201" t="inlineStr">
        <is>
          <t>J57</t>
        </is>
      </c>
      <c r="B61" s="202" t="inlineStr">
        <is>
          <t>プログラム</t>
        </is>
      </c>
      <c r="C61" s="202" t="inlineStr">
        <is>
          <t>ACDR Opening の持ち時間と登壇順</t>
        </is>
      </c>
      <c r="D61" s="202" t="inlineStr">
        <is>
          <t>Sylvia 9/30（児玉経由）: Commissioner は5分、Chairman は短めに。→ 三浦 約3分・Commissioner 5分・林副大臣 4〜5分・MC 計2分（15分枠）。登壇順は暫定で三浦→Commissioner→林副大臣（後の登壇者ほど上位とするSG側プロトコルを尊重）。三浦開会挨拶は rev3（英語約340語、3分）。 【9/30 内閣府確認（児玉）】林副大臣は英語で挨拶（通訳なし）、肩書 Deputy Minister for Disaster Management, Cabinet Office of Japan。</t>
        </is>
      </c>
      <c r="E61" s="202" t="inlineStr">
        <is>
          <t>登壇順の確定、Commissioner 原稿の分量（Sylvia 起案）</t>
        </is>
      </c>
      <c r="F61" s="201" t="inlineStr">
        <is>
          <t>WhatsApp 9/30、進行シナリオ 0930 rev2</t>
        </is>
      </c>
      <c r="G61" s="201" t="inlineStr">
        <is>
          <t>10/8</t>
        </is>
      </c>
      <c r="H61" s="202" t="inlineStr">
        <is>
          <t>荒木田</t>
        </is>
      </c>
      <c r="I61" s="203" t="inlineStr">
        <is>
          <t>協議中</t>
        </is>
      </c>
    </row>
    <row r="62" ht="78" customHeight="1" s="107">
      <c r="A62" s="201" t="inlineStr">
        <is>
          <t>J58</t>
        </is>
      </c>
      <c r="B62" s="202" t="inlineStr">
        <is>
          <t>ホスピタリティ</t>
        </is>
      </c>
      <c r="C62" s="202" t="inlineStr">
        <is>
          <t>長官主催夕食会（10/26）</t>
        </is>
      </c>
      <c r="D62" s="202" t="inlineStr">
        <is>
          <t>Sylvia 9/30: Home Team NS Khatib（Orchid Live Seafood）18:30。出席者は三浦・北本・宮木ほか役員（大使館表敬は27日午前に変更済）。</t>
        </is>
      </c>
      <c r="E62" s="202" t="inlineStr">
        <is>
          <t>出席者名簿、Dorsett からの送迎</t>
        </is>
      </c>
      <c r="F62" s="201" t="inlineStr">
        <is>
          <t>WhatsApp 9/30</t>
        </is>
      </c>
      <c r="G62" s="201" t="inlineStr">
        <is>
          <t>10/9</t>
        </is>
      </c>
      <c r="H62" s="202" t="inlineStr">
        <is>
          <t>児玉</t>
        </is>
      </c>
      <c r="I62" s="203" t="inlineStr">
        <is>
          <t>協議中</t>
        </is>
      </c>
    </row>
    <row r="63" ht="78" customHeight="1" s="107">
      <c r="A63" s="201" t="inlineStr">
        <is>
          <t>J59</t>
        </is>
      </c>
      <c r="B63" s="202" t="inlineStr">
        <is>
          <t>事務・契約</t>
        </is>
      </c>
      <c r="C63" s="202" t="inlineStr">
        <is>
          <t>Dorsett 客室リリースと10%アトリション</t>
        </is>
      </c>
      <c r="D63" s="202" t="inlineStr">
        <is>
          <t>Jillian 9/30: 10%超のリリースはペナルティ（26日 30→24室: 3室分、30日 37→27室: 6室分）。契約（COSEM⇔Dorsett）: 保証ブロックは10/27〜30 各60室、S$250++/275++、2nd review 9/27「10% release of any unsold room」、「on each cut-off date」で日割り解釈の余地。26日はブロック外（追加室）。ADRC/藤中は総室泊の10%と理解、契約書は未見。</t>
        </is>
      </c>
      <c r="E63" s="202" t="inlineStr">
        <is>
          <t>(1) 26日分はブロック外で10%規定の適用外ではないか、(2) 30日分の10%の算定基準（日別か総室泊か）、(3) ペナルティ相当分は空室で払うより利用に充てる（Hotel Mi泊の職員等を移す）、(4) 負担者（COSEM⇔ADRC）</t>
        </is>
      </c>
      <c r="F63" s="201" t="inlineStr">
        <is>
          <t>Jillian メール 9/30、契約書画像、WhatsApp 9/30</t>
        </is>
      </c>
      <c r="G63" s="201" t="inlineStr">
        <is>
          <t>10/3</t>
        </is>
      </c>
      <c r="H63" s="202" t="inlineStr">
        <is>
          <t>藤中・児玉</t>
        </is>
      </c>
      <c r="I63" s="203" t="inlineStr">
        <is>
          <t>協議中</t>
        </is>
      </c>
    </row>
    <row r="64" ht="78" customHeight="1" s="107">
      <c r="A64" s="201" t="inlineStr">
        <is>
          <t>J60</t>
        </is>
      </c>
      <c r="B64" s="202" t="inlineStr">
        <is>
          <t>会場・機材</t>
        </is>
      </c>
      <c r="C64" s="202" t="inlineStr">
        <is>
          <t>会場バナーのデザイン案</t>
        </is>
      </c>
      <c r="D64" s="202" t="inlineStr">
        <is>
          <t>Sylvia 9/30 → 荒木田に確認依頼。案: 上段 SG国旗・SCDF・COSEM・ADRC ロゴ・日本国旗、下段「SIDEX-ACDR 2026 in conjunction with FiSAC」ロゴ＋「ASIAN CONFERENCE ON DISASTER REDUCTION 2026 / 27-30 October 2026 | Singapore Expo」。会期表記はアジェンダ（27-30 Oct）と一致。内閣府ロゴ・名称なし（記者発表では内閣府が主催）→ 児玉経由で内閣府に確認。ADRC ロゴは公式データを送付。 【9/30 児玉】内閣府ロゴは不要（打合せと大使館で確認済）。→ Sylvia に「デザイン了承、ADRC ロゴ高解像度データを送付」と返答。</t>
        </is>
      </c>
      <c r="E64" s="202" t="inlineStr">
        <is>
          <t>ADRC ロゴ公式データの送付、寸法（卓前面布バナー／A型スタンド）</t>
        </is>
      </c>
      <c r="F64" s="201" t="inlineStr">
        <is>
          <t>WhatsApp 9/30</t>
        </is>
      </c>
      <c r="G64" s="201" t="inlineStr">
        <is>
          <t>10/3</t>
        </is>
      </c>
      <c r="H64" s="202" t="inlineStr">
        <is>
          <t>荒木田・児玉</t>
        </is>
      </c>
      <c r="I64" s="203" t="inlineStr">
        <is>
          <t>合意</t>
        </is>
      </c>
    </row>
    <row r="66">
      <c r="B66" s="77" t="inlineStr">
        <is>
          <t>凡例</t>
        </is>
      </c>
    </row>
    <row r="67">
      <c r="B67" s="18" t="n"/>
      <c r="C67" s="78" t="inlineStr">
        <is>
          <t>未協議（COSEM/SCDFにまだ提示していない）</t>
        </is>
      </c>
    </row>
    <row r="68">
      <c r="B68" s="17" t="n"/>
      <c r="C68" s="78" t="inlineStr">
        <is>
          <t>協議中（提示済み・回答待ち）</t>
        </is>
      </c>
    </row>
    <row r="69">
      <c r="B69" s="15" t="n"/>
      <c r="C69" s="78" t="inlineStr">
        <is>
          <t>合意</t>
        </is>
      </c>
    </row>
    <row r="71">
      <c r="B71" s="77" t="inlineStr">
        <is>
          <t>集計</t>
        </is>
      </c>
    </row>
    <row r="72">
      <c r="B72" s="78" t="inlineStr">
        <is>
          <t>未協議</t>
        </is>
      </c>
      <c r="C72" s="79">
        <f>COUNTIF(I5:I64,"未協議")</f>
        <v/>
      </c>
    </row>
    <row r="73">
      <c r="B73" s="78" t="inlineStr">
        <is>
          <t>協議中</t>
        </is>
      </c>
      <c r="C73" s="79">
        <f>COUNTIF(I5:I64,"協議中")</f>
        <v/>
      </c>
    </row>
    <row r="74">
      <c r="B74" s="78" t="inlineStr">
        <is>
          <t>合意</t>
        </is>
      </c>
      <c r="C74" s="79">
        <f>COUNTIF(I5:I64,"合意")</f>
        <v/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107" min="1" max="1"/>
    <col width="30" customWidth="1" style="107" min="2" max="2"/>
    <col width="10" customWidth="1" style="107" min="3" max="6"/>
    <col width="18" customWidth="1" style="107" min="7" max="7"/>
    <col width="14" customWidth="1" style="107" min="8" max="8"/>
    <col width="10" customWidth="1" style="107" min="9" max="9"/>
    <col width="30" customWidth="1" style="107" min="10" max="10"/>
  </cols>
  <sheetData>
    <row r="1" ht="15" customHeight="1" s="107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107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107">
      <c r="A3" s="152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107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107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107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107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107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107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107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107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107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107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107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107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107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107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107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07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107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107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107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107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107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107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107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107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107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107">
      <c r="A29" s="80" t="inlineStr">
        <is>
          <t>内閣府（日本）</t>
        </is>
      </c>
      <c r="B29" s="80" t="inlineStr">
        <is>
          <t>林 正道 政策統括官 ＋随行2名</t>
        </is>
      </c>
      <c r="C29" s="81" t="inlineStr">
        <is>
          <t>10/26</t>
        </is>
      </c>
      <c r="D29" s="81" t="inlineStr">
        <is>
          <t>15:00</t>
        </is>
      </c>
      <c r="E29" s="81" t="inlineStr">
        <is>
          <t>10/31</t>
        </is>
      </c>
      <c r="F29" s="81" t="inlineStr">
        <is>
          <t>01:20</t>
        </is>
      </c>
      <c r="G29" s="81" t="inlineStr">
        <is>
          <t>―</t>
        </is>
      </c>
      <c r="H29" s="81" t="inlineStr">
        <is>
          <t>DS×2(+林氏)</t>
        </is>
      </c>
      <c r="I29" s="80" t="n"/>
      <c r="J29" s="81" t="inlineStr">
        <is>
          <t>CV準備中。英語サポート要</t>
        </is>
      </c>
    </row>
    <row r="30" ht="14.25" customHeight="1" s="107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107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107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107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07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107" min="1" max="1"/>
    <col width="5" customWidth="1" style="107" min="2" max="2"/>
    <col width="30" customWidth="1" style="107" min="3" max="3"/>
    <col width="18" customWidth="1" style="107" min="4" max="4"/>
    <col width="30" customWidth="1" style="107" min="5" max="6"/>
    <col width="34" customWidth="1" style="107" min="7" max="7"/>
    <col width="18" customWidth="1" style="107" min="8" max="8"/>
    <col width="36" customWidth="1" style="107" min="9" max="9"/>
  </cols>
  <sheetData>
    <row r="1" ht="15.6" customHeight="1" s="107">
      <c r="A1" s="90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91" t="inlineStr">
        <is>
          <t>区分</t>
        </is>
      </c>
      <c r="B4" s="91" t="inlineStr">
        <is>
          <t>No.</t>
        </is>
      </c>
      <c r="C4" s="91" t="inlineStr">
        <is>
          <t>氏名</t>
        </is>
      </c>
      <c r="D4" s="91" t="inlineStr">
        <is>
          <t>国</t>
        </is>
      </c>
      <c r="E4" s="91" t="inlineStr">
        <is>
          <t>役職</t>
        </is>
      </c>
      <c r="F4" s="91" t="inlineStr">
        <is>
          <t>部署</t>
        </is>
      </c>
      <c r="G4" s="91" t="inlineStr">
        <is>
          <t>組織</t>
        </is>
      </c>
      <c r="H4" s="91" t="inlineStr">
        <is>
          <t>参加形態</t>
        </is>
      </c>
      <c r="I4" s="91" t="inlineStr">
        <is>
          <t>備考（9/25所内打合せ）</t>
        </is>
      </c>
    </row>
    <row r="5" ht="28.8" customHeight="1" s="107">
      <c r="A5" s="92" t="inlineStr">
        <is>
          <t>メンバー国</t>
        </is>
      </c>
      <c r="B5" s="92" t="n">
        <v>1</v>
      </c>
      <c r="C5" s="92" t="inlineStr">
        <is>
          <t>Syuzanna Vardazari Kakoyan</t>
        </is>
      </c>
      <c r="D5" s="92" t="inlineStr">
        <is>
          <t>Armenia</t>
        </is>
      </c>
      <c r="E5" s="92" t="inlineStr">
        <is>
          <t>Head of the Department for Public Outreach</t>
        </is>
      </c>
      <c r="F5" s="92" t="inlineStr">
        <is>
          <t>Department for Public Outreach</t>
        </is>
      </c>
      <c r="G5" s="92" t="inlineStr">
        <is>
          <t xml:space="preserve">Regional Survey for Seismic Protection of MIA </t>
        </is>
      </c>
      <c r="H5" s="92" t="inlineStr">
        <is>
          <t>Onsite (face-to-face)</t>
        </is>
      </c>
      <c r="I5" s="92" t="n"/>
    </row>
    <row r="6">
      <c r="A6" s="92" t="inlineStr">
        <is>
          <t>メンバー国</t>
        </is>
      </c>
      <c r="B6" s="92" t="n">
        <v>2</v>
      </c>
      <c r="C6" s="92" t="inlineStr">
        <is>
          <t>Rustamzade Kamran</t>
        </is>
      </c>
      <c r="D6" s="92" t="inlineStr">
        <is>
          <t>Azerbaijan</t>
        </is>
      </c>
      <c r="E6" s="92" t="inlineStr">
        <is>
          <t>Head of Sector</t>
        </is>
      </c>
      <c r="F6" s="92" t="inlineStr">
        <is>
          <t>Protocol</t>
        </is>
      </c>
      <c r="G6" s="92" t="inlineStr">
        <is>
          <t>Ministry of Emergency Situations</t>
        </is>
      </c>
      <c r="H6" s="92" t="inlineStr">
        <is>
          <t>Onsite (face-to-face)</t>
        </is>
      </c>
      <c r="I6" s="92" t="n"/>
    </row>
    <row r="7" ht="43.2" customHeight="1" s="107">
      <c r="A7" s="92" t="inlineStr">
        <is>
          <t>メンバー国</t>
        </is>
      </c>
      <c r="B7" s="92" t="n">
        <v>3</v>
      </c>
      <c r="C7" s="92" t="inlineStr">
        <is>
          <t>Zamanov Niyazi</t>
        </is>
      </c>
      <c r="D7" s="92" t="inlineStr">
        <is>
          <t>Azerbaijan</t>
        </is>
      </c>
      <c r="E7" s="92" t="inlineStr">
        <is>
          <t>Chief of Main Department</t>
        </is>
      </c>
      <c r="F7" s="92" t="inlineStr">
        <is>
          <t>The Main Department for Organization of Activities on Civil Defense</t>
        </is>
      </c>
      <c r="G7" s="92" t="inlineStr">
        <is>
          <t>Ministry of Emergency Situations</t>
        </is>
      </c>
      <c r="H7" s="92" t="inlineStr">
        <is>
          <t>Onsite (face-to-face)</t>
        </is>
      </c>
      <c r="I7" s="92" t="n"/>
    </row>
    <row r="8" ht="28.8" customHeight="1" s="107">
      <c r="A8" s="92" t="inlineStr">
        <is>
          <t>メンバー国</t>
        </is>
      </c>
      <c r="B8" s="92" t="n">
        <v>4</v>
      </c>
      <c r="C8" s="92" t="inlineStr">
        <is>
          <t>A B M Shafiqul Haider</t>
        </is>
      </c>
      <c r="D8" s="92" t="inlineStr">
        <is>
          <t>Bangladesh</t>
        </is>
      </c>
      <c r="E8" s="92" t="inlineStr">
        <is>
          <t>Additional Secretary</t>
        </is>
      </c>
      <c r="F8" s="92" t="n"/>
      <c r="G8" s="92" t="inlineStr">
        <is>
          <t>Ministry of Disaster Management and Relief</t>
        </is>
      </c>
      <c r="H8" s="92" t="inlineStr">
        <is>
          <t>Onsite (face-to-face)</t>
        </is>
      </c>
      <c r="I8" s="92" t="n"/>
    </row>
    <row r="9" ht="28.8" customHeight="1" s="107">
      <c r="A9" s="92" t="inlineStr">
        <is>
          <t>メンバー国</t>
        </is>
      </c>
      <c r="B9" s="92" t="n">
        <v>5</v>
      </c>
      <c r="C9" s="92" t="inlineStr">
        <is>
          <t>Tshering Dorji</t>
        </is>
      </c>
      <c r="D9" s="92" t="inlineStr">
        <is>
          <t>Bhutan</t>
        </is>
      </c>
      <c r="E9" s="92" t="inlineStr">
        <is>
          <t>Senior Program Officer</t>
        </is>
      </c>
      <c r="F9" s="92" t="inlineStr">
        <is>
          <t xml:space="preserve">Department of Local Governance and Disaster Management </t>
        </is>
      </c>
      <c r="G9" s="92" t="inlineStr">
        <is>
          <t xml:space="preserve">Mininstry of Home Affairs </t>
        </is>
      </c>
      <c r="H9" s="92" t="inlineStr">
        <is>
          <t>Onsite (face-to-face)</t>
        </is>
      </c>
      <c r="I9" s="92" t="n"/>
    </row>
    <row r="10" ht="28.8" customHeight="1" s="107">
      <c r="A10" s="92" t="inlineStr">
        <is>
          <t>メンバー国</t>
        </is>
      </c>
      <c r="B10" s="92" t="n">
        <v>6</v>
      </c>
      <c r="C10" s="92" t="inlineStr">
        <is>
          <t>Rina Nurhafizah Binti Abdul Rani</t>
        </is>
      </c>
      <c r="D10" s="92" t="inlineStr">
        <is>
          <t>Brunei Darussalam</t>
        </is>
      </c>
      <c r="E10" s="92" t="inlineStr">
        <is>
          <t>Senior Disaster Management Officer</t>
        </is>
      </c>
      <c r="F10" s="92" t="inlineStr">
        <is>
          <t>Operations Division</t>
        </is>
      </c>
      <c r="G10" s="92" t="inlineStr">
        <is>
          <t>National Disaster Management Centre</t>
        </is>
      </c>
      <c r="H10" s="92" t="inlineStr">
        <is>
          <t>Onsite (face-to-face)</t>
        </is>
      </c>
      <c r="I10" s="92" t="inlineStr">
        <is>
          <t>もう1名増える可能性</t>
        </is>
      </c>
    </row>
    <row r="11" ht="28.8" customHeight="1" s="107">
      <c r="A11" s="92" t="inlineStr">
        <is>
          <t>メンバー国</t>
        </is>
      </c>
      <c r="B11" s="92" t="n">
        <v>7</v>
      </c>
      <c r="C11" s="92" t="inlineStr">
        <is>
          <t>Norith Ma</t>
        </is>
      </c>
      <c r="D11" s="92" t="inlineStr">
        <is>
          <t>Cambodia</t>
        </is>
      </c>
      <c r="E11" s="92" t="inlineStr">
        <is>
          <t>Deputy Secretary-General</t>
        </is>
      </c>
      <c r="F11" s="92" t="inlineStr">
        <is>
          <t>Secretariat-General of NCDM</t>
        </is>
      </c>
      <c r="G11" s="92" t="inlineStr">
        <is>
          <t>National Committee For Disaster Management (NCDM)</t>
        </is>
      </c>
      <c r="H11" s="92" t="inlineStr">
        <is>
          <t>Onsite (face-to-face)</t>
        </is>
      </c>
      <c r="I11" s="92" t="n"/>
    </row>
    <row r="12" ht="28.8" customHeight="1" s="107">
      <c r="A12" s="92" t="inlineStr">
        <is>
          <t>メンバー国</t>
        </is>
      </c>
      <c r="B12" s="92" t="n">
        <v>8</v>
      </c>
      <c r="C12" s="92" t="inlineStr">
        <is>
          <t>Naipolioni Dabea Boseiwaqa</t>
        </is>
      </c>
      <c r="D12" s="92" t="inlineStr">
        <is>
          <t>Fiji</t>
        </is>
      </c>
      <c r="E12" s="92" t="inlineStr">
        <is>
          <t>Director</t>
        </is>
      </c>
      <c r="F12" s="92" t="n"/>
      <c r="G12" s="92" t="inlineStr">
        <is>
          <t>National Disaster Risk Management Office</t>
        </is>
      </c>
      <c r="H12" s="92" t="inlineStr">
        <is>
          <t>Onsite (face-to-face)</t>
        </is>
      </c>
      <c r="I12" s="92" t="inlineStr">
        <is>
          <t>フライト手配が進まず参加不透明（櫻井氏に依頼）</t>
        </is>
      </c>
    </row>
    <row r="13">
      <c r="A13" s="92" t="inlineStr">
        <is>
          <t>メンバー国</t>
        </is>
      </c>
      <c r="B13" s="92" t="n">
        <v>9</v>
      </c>
      <c r="C13" s="92" t="inlineStr">
        <is>
          <t>Awasthi Ashutosh</t>
        </is>
      </c>
      <c r="D13" s="92" t="inlineStr">
        <is>
          <t>India</t>
        </is>
      </c>
      <c r="E13" s="92" t="inlineStr">
        <is>
          <t>Deputy Director</t>
        </is>
      </c>
      <c r="F13" s="92" t="inlineStr">
        <is>
          <t>Disaster Management Division</t>
        </is>
      </c>
      <c r="G13" s="92" t="inlineStr">
        <is>
          <t>Ministry of Home Affairs</t>
        </is>
      </c>
      <c r="H13" s="92" t="inlineStr">
        <is>
          <t>Onsite (face-to-face)</t>
        </is>
      </c>
      <c r="I13" s="92" t="n"/>
    </row>
    <row r="14" ht="28.8" customHeight="1" s="107">
      <c r="A14" s="92" t="inlineStr">
        <is>
          <t>メンバー国</t>
        </is>
      </c>
      <c r="B14" s="92" t="n">
        <v>10</v>
      </c>
      <c r="C14" s="92" t="inlineStr">
        <is>
          <t>Govind Prasad Uniyal</t>
        </is>
      </c>
      <c r="D14" s="92" t="inlineStr">
        <is>
          <t>India</t>
        </is>
      </c>
      <c r="E14" s="92" t="inlineStr">
        <is>
          <t>Deputy Inspector General</t>
        </is>
      </c>
      <c r="F14" s="92" t="inlineStr">
        <is>
          <t>Integrated Control Room for Emergency Response</t>
        </is>
      </c>
      <c r="G14" s="92" t="inlineStr">
        <is>
          <t>MHA (GoI)</t>
        </is>
      </c>
      <c r="H14" s="92" t="inlineStr">
        <is>
          <t>Onsite (face-to-face)</t>
        </is>
      </c>
      <c r="I14" s="92" t="n"/>
    </row>
    <row r="15" ht="28.8" customHeight="1" s="107">
      <c r="A15" s="92" t="inlineStr">
        <is>
          <t>メンバー国</t>
        </is>
      </c>
      <c r="B15" s="92" t="n">
        <v>11</v>
      </c>
      <c r="C15" s="92" t="inlineStr">
        <is>
          <t>Krishnan B Sandeep</t>
        </is>
      </c>
      <c r="D15" s="92" t="inlineStr">
        <is>
          <t>India</t>
        </is>
      </c>
      <c r="E15" s="92" t="inlineStr">
        <is>
          <t>Assistant Director General</t>
        </is>
      </c>
      <c r="F15" s="92" t="inlineStr">
        <is>
          <t>Directorate of Civil Defence, Disaster Management Division</t>
        </is>
      </c>
      <c r="G15" s="92" t="inlineStr">
        <is>
          <t>Ministry of Home Affairs</t>
        </is>
      </c>
      <c r="H15" s="92" t="inlineStr">
        <is>
          <t>Onsite (face-to-face)</t>
        </is>
      </c>
      <c r="I15" s="92" t="n"/>
    </row>
    <row r="16" ht="28.8" customHeight="1" s="107">
      <c r="A16" s="92" t="inlineStr">
        <is>
          <t>メンバー国</t>
        </is>
      </c>
      <c r="B16" s="92" t="n">
        <v>12</v>
      </c>
      <c r="C16" s="92" t="inlineStr">
        <is>
          <t>Syasompheng Phonesavanh</t>
        </is>
      </c>
      <c r="D16" s="92" t="inlineStr">
        <is>
          <t>Lao PDR</t>
        </is>
      </c>
      <c r="E16" s="92" t="inlineStr">
        <is>
          <t xml:space="preserve">Director </t>
        </is>
      </c>
      <c r="F16" s="92" t="inlineStr">
        <is>
          <t>Director of Disaster Prevention Division</t>
        </is>
      </c>
      <c r="G16" s="92" t="inlineStr">
        <is>
          <t>Social Welfare Departments</t>
        </is>
      </c>
      <c r="H16" s="92" t="inlineStr">
        <is>
          <t>Onsite (face-to-face)</t>
        </is>
      </c>
      <c r="I16" s="92" t="n"/>
    </row>
    <row r="17" ht="28.8" customHeight="1" s="107">
      <c r="A17" s="92" t="inlineStr">
        <is>
          <t>メンバー国</t>
        </is>
      </c>
      <c r="B17" s="92" t="n">
        <v>13</v>
      </c>
      <c r="C17" s="92" t="inlineStr">
        <is>
          <t>Ezrin Rozani Bin Rosli</t>
        </is>
      </c>
      <c r="D17" s="92" t="inlineStr">
        <is>
          <t>Malaysia</t>
        </is>
      </c>
      <c r="E17" s="92" t="inlineStr">
        <is>
          <t>Senior Assistant Director</t>
        </is>
      </c>
      <c r="F17" s="92" t="inlineStr">
        <is>
          <t>Logistics</t>
        </is>
      </c>
      <c r="G17" s="92" t="inlineStr">
        <is>
          <t>National Disaster Management Agency Malaysia</t>
        </is>
      </c>
      <c r="H17" s="92" t="inlineStr">
        <is>
          <t>Onsite (face-to-face)</t>
        </is>
      </c>
      <c r="I17" s="92" t="n"/>
    </row>
    <row r="18">
      <c r="A18" s="92" t="inlineStr">
        <is>
          <t>メンバー国</t>
        </is>
      </c>
      <c r="B18" s="92" t="n">
        <v>14</v>
      </c>
      <c r="C18" s="92" t="inlineStr">
        <is>
          <t>Hassan Hisan</t>
        </is>
      </c>
      <c r="D18" s="92" t="inlineStr">
        <is>
          <t>Maldives</t>
        </is>
      </c>
      <c r="E18" s="92" t="inlineStr">
        <is>
          <t>Chief Executive</t>
        </is>
      </c>
      <c r="F18" s="92" t="n"/>
      <c r="G18" s="92" t="inlineStr">
        <is>
          <t xml:space="preserve">National Disaster Management Authority </t>
        </is>
      </c>
      <c r="H18" s="92" t="inlineStr">
        <is>
          <t>Onsite (face-to-face)</t>
        </is>
      </c>
      <c r="I18" s="92" t="n"/>
    </row>
    <row r="19" ht="28.8" customHeight="1" s="107">
      <c r="A19" s="92" t="inlineStr">
        <is>
          <t>メンバー国</t>
        </is>
      </c>
      <c r="B19" s="92" t="n">
        <v>15</v>
      </c>
      <c r="C19" s="92" t="inlineStr">
        <is>
          <t>Nyambayar Tsedev</t>
        </is>
      </c>
      <c r="D19" s="92" t="inlineStr">
        <is>
          <t>Mongolia</t>
        </is>
      </c>
      <c r="E19" s="92" t="inlineStr">
        <is>
          <t>Director</t>
        </is>
      </c>
      <c r="F19" s="92" t="inlineStr">
        <is>
          <t>Fire Department</t>
        </is>
      </c>
      <c r="G19" s="92" t="inlineStr">
        <is>
          <t>National Emergency Management Agency of Mongolia</t>
        </is>
      </c>
      <c r="H19" s="92" t="inlineStr">
        <is>
          <t>Onsite (face-to-face)</t>
        </is>
      </c>
      <c r="I19" s="92" t="n"/>
    </row>
    <row r="20" ht="28.8" customHeight="1" s="107">
      <c r="A20" s="92" t="inlineStr">
        <is>
          <t>メンバー国</t>
        </is>
      </c>
      <c r="B20" s="92" t="n">
        <v>16</v>
      </c>
      <c r="C20" s="92" t="inlineStr">
        <is>
          <t>Mar Kay Thi Hla</t>
        </is>
      </c>
      <c r="D20" s="92" t="inlineStr">
        <is>
          <t>Myanmar</t>
        </is>
      </c>
      <c r="E20" s="92" t="inlineStr">
        <is>
          <t>Director</t>
        </is>
      </c>
      <c r="F20" s="92" t="inlineStr">
        <is>
          <t xml:space="preserve">Department of Disaster Management </t>
        </is>
      </c>
      <c r="G20" s="92" t="inlineStr">
        <is>
          <t>Ministry of Social Welfare, Relief and Resettlement</t>
        </is>
      </c>
      <c r="H20" s="92" t="inlineStr">
        <is>
          <t>Onsite (face-to-face)</t>
        </is>
      </c>
      <c r="I20" s="92" t="n"/>
    </row>
    <row r="21" ht="28.8" customHeight="1" s="107">
      <c r="A21" s="92" t="inlineStr">
        <is>
          <t>メンバー国</t>
        </is>
      </c>
      <c r="B21" s="92" t="n">
        <v>17</v>
      </c>
      <c r="C21" s="92" t="inlineStr">
        <is>
          <t>Muhammad Tahir Iqbal Malik</t>
        </is>
      </c>
      <c r="D21" s="92" t="inlineStr">
        <is>
          <t>Pakistan</t>
        </is>
      </c>
      <c r="E21" s="92" t="inlineStr">
        <is>
          <t>Executive Director</t>
        </is>
      </c>
      <c r="F21" s="92" t="inlineStr">
        <is>
          <t>Technology</t>
        </is>
      </c>
      <c r="G21" s="92" t="inlineStr">
        <is>
          <t>National Disaster Management Authority, Pakistan</t>
        </is>
      </c>
      <c r="H21" s="92" t="inlineStr">
        <is>
          <t>Onsite (face-to-face)</t>
        </is>
      </c>
      <c r="I21" s="92" t="n"/>
    </row>
    <row r="22">
      <c r="A22" s="92" t="inlineStr">
        <is>
          <t>メンバー国</t>
        </is>
      </c>
      <c r="B22" s="92" t="n">
        <v>18</v>
      </c>
      <c r="C22" s="92" t="inlineStr">
        <is>
          <t>Shahzad Malik Saleem</t>
        </is>
      </c>
      <c r="D22" s="92" t="inlineStr">
        <is>
          <t>Pakistan</t>
        </is>
      </c>
      <c r="E22" s="92" t="inlineStr">
        <is>
          <t xml:space="preserve">Senior Director </t>
        </is>
      </c>
      <c r="F22" s="92" t="inlineStr">
        <is>
          <t xml:space="preserve">Disaster Risk Reduction </t>
        </is>
      </c>
      <c r="G22" s="92" t="inlineStr">
        <is>
          <t xml:space="preserve">National Disaster Management Authority </t>
        </is>
      </c>
      <c r="H22" s="92" t="inlineStr">
        <is>
          <t>Onsite (face-to-face)</t>
        </is>
      </c>
      <c r="I22" s="92" t="n"/>
    </row>
    <row r="23" ht="28.8" customHeight="1" s="107">
      <c r="A23" s="92" t="inlineStr">
        <is>
          <t>メンバー国</t>
        </is>
      </c>
      <c r="B23" s="92" t="n">
        <v>19</v>
      </c>
      <c r="C23" s="92" t="inlineStr">
        <is>
          <t>Lusete Laso Mana</t>
        </is>
      </c>
      <c r="D23" s="92" t="inlineStr">
        <is>
          <t>Papua New Guinea</t>
        </is>
      </c>
      <c r="E23" s="92" t="inlineStr">
        <is>
          <t>Director General</t>
        </is>
      </c>
      <c r="F23" s="92" t="inlineStr">
        <is>
          <t>Executive Division/National Disaster Centre</t>
        </is>
      </c>
      <c r="G23" s="92" t="inlineStr">
        <is>
          <t>National Disaster Centre</t>
        </is>
      </c>
      <c r="H23" s="92" t="inlineStr">
        <is>
          <t>Onsite (face-to-face)</t>
        </is>
      </c>
      <c r="I23" s="92" t="n"/>
    </row>
    <row r="24">
      <c r="A24" s="92" t="inlineStr">
        <is>
          <t>メンバー国</t>
        </is>
      </c>
      <c r="B24" s="92" t="n">
        <v>20</v>
      </c>
      <c r="C24" s="92" t="inlineStr">
        <is>
          <t>Roland Kopeap</t>
        </is>
      </c>
      <c r="D24" s="92" t="inlineStr">
        <is>
          <t>Papua New Guinea</t>
        </is>
      </c>
      <c r="E24" s="92" t="inlineStr">
        <is>
          <t xml:space="preserve">Research Officer </t>
        </is>
      </c>
      <c r="F24" s="92" t="inlineStr">
        <is>
          <t xml:space="preserve">Office of the Minister </t>
        </is>
      </c>
      <c r="G24" s="92" t="inlineStr">
        <is>
          <t xml:space="preserve">National Disaster Centre </t>
        </is>
      </c>
      <c r="H24" s="92" t="inlineStr">
        <is>
          <t>Onsite (face-to-face)</t>
        </is>
      </c>
      <c r="I24" s="92" t="n"/>
    </row>
    <row r="25" ht="28.8" customHeight="1" s="107">
      <c r="A25" s="92" t="inlineStr">
        <is>
          <t>メンバー国</t>
        </is>
      </c>
      <c r="B25" s="92" t="n">
        <v>21</v>
      </c>
      <c r="C25" s="92" t="inlineStr">
        <is>
          <t>Byungim So</t>
        </is>
      </c>
      <c r="D25" s="92" t="inlineStr">
        <is>
          <t>Republic Of Korea</t>
        </is>
      </c>
      <c r="E25" s="92" t="inlineStr">
        <is>
          <t>Assistant Director</t>
        </is>
      </c>
      <c r="F25" s="92" t="inlineStr">
        <is>
          <t>Disaster Management Policy Division</t>
        </is>
      </c>
      <c r="G25" s="92" t="inlineStr">
        <is>
          <t>Ministry of the Interior and Safety</t>
        </is>
      </c>
      <c r="H25" s="92" t="inlineStr">
        <is>
          <t>Onsite (face-to-face)</t>
        </is>
      </c>
      <c r="I25" s="92" t="n"/>
    </row>
    <row r="26" ht="28.8" customHeight="1" s="107">
      <c r="A26" s="92" t="inlineStr">
        <is>
          <t>メンバー国</t>
        </is>
      </c>
      <c r="B26" s="92" t="n">
        <v>22</v>
      </c>
      <c r="C26" s="92" t="inlineStr">
        <is>
          <t>Hana Song</t>
        </is>
      </c>
      <c r="D26" s="92" t="inlineStr">
        <is>
          <t>Republic of Korea</t>
        </is>
      </c>
      <c r="E26" s="92" t="inlineStr">
        <is>
          <t>Deputy Director</t>
        </is>
      </c>
      <c r="F26" s="92" t="inlineStr">
        <is>
          <t>Climate Disaster Management Division</t>
        </is>
      </c>
      <c r="G26" s="92" t="inlineStr">
        <is>
          <t>Ministry of the Interior and Safety</t>
        </is>
      </c>
      <c r="H26" s="92" t="inlineStr">
        <is>
          <t>Onsite (face-to-face)</t>
        </is>
      </c>
      <c r="I26" s="92" t="n"/>
    </row>
    <row r="27">
      <c r="A27" s="92" t="inlineStr">
        <is>
          <t>メンバー国</t>
        </is>
      </c>
      <c r="B27" s="92" t="n">
        <v>23</v>
      </c>
      <c r="C27" s="92" t="inlineStr">
        <is>
          <t>Ingeon Kim</t>
        </is>
      </c>
      <c r="D27" s="92" t="inlineStr">
        <is>
          <t>Republic of Korea</t>
        </is>
      </c>
      <c r="E27" s="92" t="inlineStr">
        <is>
          <t>Deputy Director</t>
        </is>
      </c>
      <c r="F27" s="92" t="inlineStr">
        <is>
          <t>Disaster and Safety Data Division</t>
        </is>
      </c>
      <c r="G27" s="92" t="inlineStr">
        <is>
          <t>Ministry of the Interior and Safety</t>
        </is>
      </c>
      <c r="H27" s="92" t="inlineStr">
        <is>
          <t>Onsite (face-to-face)</t>
        </is>
      </c>
      <c r="I27" s="92" t="n"/>
    </row>
    <row r="28" ht="28.8" customHeight="1" s="107">
      <c r="A28" s="92" t="inlineStr">
        <is>
          <t>メンバー国</t>
        </is>
      </c>
      <c r="B28" s="92" t="n">
        <v>24</v>
      </c>
      <c r="C28" s="92" t="inlineStr">
        <is>
          <t>Taekgeon Lee</t>
        </is>
      </c>
      <c r="D28" s="92" t="inlineStr">
        <is>
          <t>Republic of Korea</t>
        </is>
      </c>
      <c r="E28" s="92" t="inlineStr">
        <is>
          <t>Assistant Director</t>
        </is>
      </c>
      <c r="F28" s="92" t="inlineStr">
        <is>
          <t>Agriculture, Livestock and Marine Disaster Response Division</t>
        </is>
      </c>
      <c r="G28" s="92" t="inlineStr">
        <is>
          <t>Ministry of the Interior and Safety</t>
        </is>
      </c>
      <c r="H28" s="92" t="inlineStr">
        <is>
          <t>Onsite (face-to-face)</t>
        </is>
      </c>
      <c r="I28" s="92" t="n"/>
    </row>
    <row r="29" ht="28.8" customHeight="1" s="107">
      <c r="A29" s="92" t="inlineStr">
        <is>
          <t>メンバー国</t>
        </is>
      </c>
      <c r="B29" s="92" t="n">
        <v>25</v>
      </c>
      <c r="C29" s="92" t="inlineStr">
        <is>
          <t>Alan Chow</t>
        </is>
      </c>
      <c r="D29" s="92" t="inlineStr">
        <is>
          <t>Singapore</t>
        </is>
      </c>
      <c r="E29" s="92" t="inlineStr">
        <is>
          <t>Director</t>
        </is>
      </c>
      <c r="F29" s="92" t="inlineStr">
        <is>
          <t>Planning &amp; Organisation Department</t>
        </is>
      </c>
      <c r="G29" s="92" t="inlineStr">
        <is>
          <t>Singapore Civil Defence Force</t>
        </is>
      </c>
      <c r="H29" s="92" t="inlineStr">
        <is>
          <t>Onsite (face-to-face)</t>
        </is>
      </c>
      <c r="I29" s="92" t="n"/>
    </row>
    <row r="30">
      <c r="A30" s="92" t="inlineStr">
        <is>
          <t>メンバー国</t>
        </is>
      </c>
      <c r="B30" s="92" t="n">
        <v>26</v>
      </c>
      <c r="C30" s="92" t="inlineStr">
        <is>
          <t>Fabian Hwi Min Tan</t>
        </is>
      </c>
      <c r="D30" s="92" t="inlineStr">
        <is>
          <t>Singapore</t>
        </is>
      </c>
      <c r="E30" s="92" t="inlineStr">
        <is>
          <t>Deputy Ceo</t>
        </is>
      </c>
      <c r="F30" s="92" t="inlineStr">
        <is>
          <t>Operations Group</t>
        </is>
      </c>
      <c r="G30" s="92" t="inlineStr">
        <is>
          <t>Cosem Safety &amp; Security Services Pte Ltd</t>
        </is>
      </c>
      <c r="H30" s="92" t="inlineStr">
        <is>
          <t>Onsite (face-to-face)</t>
        </is>
      </c>
      <c r="I30" s="92" t="n"/>
    </row>
    <row r="31" ht="28.8" customHeight="1" s="107">
      <c r="A31" s="92" t="inlineStr">
        <is>
          <t>メンバー国</t>
        </is>
      </c>
      <c r="B31" s="92" t="n">
        <v>27</v>
      </c>
      <c r="C31" s="92" t="inlineStr">
        <is>
          <t>Sirada Boonkongchuen</t>
        </is>
      </c>
      <c r="D31" s="92" t="inlineStr">
        <is>
          <t>Singapore</t>
        </is>
      </c>
      <c r="E31" s="92" t="inlineStr">
        <is>
          <t>Product Partnership, Google Search &amp; Gemini</t>
        </is>
      </c>
      <c r="F31" s="92" t="inlineStr">
        <is>
          <t>Product</t>
        </is>
      </c>
      <c r="G31" s="92" t="inlineStr">
        <is>
          <t>Google</t>
        </is>
      </c>
      <c r="H31" s="92" t="inlineStr">
        <is>
          <t>Onsite (face-to-face)</t>
        </is>
      </c>
      <c r="I31" s="92" t="n"/>
    </row>
    <row r="32">
      <c r="A32" s="92" t="inlineStr">
        <is>
          <t>メンバー国</t>
        </is>
      </c>
      <c r="B32" s="92" t="n">
        <v>28</v>
      </c>
      <c r="C32" s="92" t="inlineStr">
        <is>
          <t>Yap Eric</t>
        </is>
      </c>
      <c r="D32" s="92" t="inlineStr">
        <is>
          <t>Singapore</t>
        </is>
      </c>
      <c r="E32" s="92" t="inlineStr">
        <is>
          <t xml:space="preserve">Commissioner </t>
        </is>
      </c>
      <c r="F32" s="92" t="n"/>
      <c r="G32" s="92" t="inlineStr">
        <is>
          <t xml:space="preserve">Singapore Civil Defence Force </t>
        </is>
      </c>
      <c r="H32" s="92" t="inlineStr">
        <is>
          <t>Onsite (face-to-face)</t>
        </is>
      </c>
      <c r="I32" s="92" t="n"/>
    </row>
    <row r="33">
      <c r="A33" s="92" t="inlineStr">
        <is>
          <t>メンバー国</t>
        </is>
      </c>
      <c r="B33" s="92" t="n">
        <v>29</v>
      </c>
      <c r="C33" s="92" t="inlineStr">
        <is>
          <t>Yong Kai Chen</t>
        </is>
      </c>
      <c r="D33" s="92" t="inlineStr">
        <is>
          <t>Singapore</t>
        </is>
      </c>
      <c r="E33" s="92" t="inlineStr">
        <is>
          <t>Deputy Commander</t>
        </is>
      </c>
      <c r="F33" s="92" t="inlineStr">
        <is>
          <t>3Rd Scdf Division</t>
        </is>
      </c>
      <c r="G33" s="92" t="inlineStr">
        <is>
          <t>Singapore Civil Defence Force</t>
        </is>
      </c>
      <c r="H33" s="92" t="inlineStr">
        <is>
          <t>Onsite (face-to-face)</t>
        </is>
      </c>
      <c r="I33" s="92" t="n"/>
    </row>
    <row r="34" ht="28.8" customHeight="1" s="107">
      <c r="A34" s="92" t="inlineStr">
        <is>
          <t>メンバー国</t>
        </is>
      </c>
      <c r="B34" s="92" t="n">
        <v>30</v>
      </c>
      <c r="C34" s="92" t="inlineStr">
        <is>
          <t>Kachchakaduge Nipul Sampath Kotuwegoda</t>
        </is>
      </c>
      <c r="D34" s="92" t="inlineStr">
        <is>
          <t>Sri Lanka</t>
        </is>
      </c>
      <c r="E34" s="92" t="inlineStr">
        <is>
          <t>Director General</t>
        </is>
      </c>
      <c r="F34" s="92" t="n"/>
      <c r="G34" s="92" t="inlineStr">
        <is>
          <t>Disaster Management Centre</t>
        </is>
      </c>
      <c r="H34" s="92" t="inlineStr">
        <is>
          <t>Onsite (face-to-face)</t>
        </is>
      </c>
      <c r="I34" s="92" t="n"/>
    </row>
    <row r="35" ht="28.8" customHeight="1" s="107">
      <c r="A35" s="92" t="inlineStr">
        <is>
          <t>メンバー国</t>
        </is>
      </c>
      <c r="B35" s="92" t="n">
        <v>31</v>
      </c>
      <c r="C35" s="92" t="inlineStr">
        <is>
          <t>Orhan Tatar</t>
        </is>
      </c>
      <c r="D35" s="92" t="inlineStr">
        <is>
          <t>Turkiye</t>
        </is>
      </c>
      <c r="E35" s="92" t="inlineStr">
        <is>
          <t>Director General</t>
        </is>
      </c>
      <c r="F35" s="92" t="inlineStr">
        <is>
          <t>Earthquake and Risk Reduction</t>
        </is>
      </c>
      <c r="G35" s="92" t="inlineStr">
        <is>
          <t>Disaster and Emergency Management Presidency / AFAD</t>
        </is>
      </c>
      <c r="H35" s="92" t="inlineStr">
        <is>
          <t>Onsite (face-to-face)</t>
        </is>
      </c>
      <c r="I35" s="92" t="n"/>
    </row>
    <row r="36" ht="43.2" customHeight="1" s="107">
      <c r="A36" s="92" t="inlineStr">
        <is>
          <t>メンバー国</t>
        </is>
      </c>
      <c r="B36" s="92" t="n">
        <v>32</v>
      </c>
      <c r="C36" s="92" t="inlineStr">
        <is>
          <t>Pehlivan Ali Hamza</t>
        </is>
      </c>
      <c r="D36" s="92" t="inlineStr">
        <is>
          <t>Turkiye</t>
        </is>
      </c>
      <c r="E36" s="92" t="inlineStr">
        <is>
          <t>Governor / Head of AFAD</t>
        </is>
      </c>
      <c r="F36" s="92" t="n"/>
      <c r="G36" s="92" t="inlineStr">
        <is>
          <t>Republic of Turkiye - Ministry of Interior - Disaster and Emergency Management Authority (AFAD)</t>
        </is>
      </c>
      <c r="H36" s="92" t="inlineStr">
        <is>
          <t>Onsite (face-to-face)</t>
        </is>
      </c>
      <c r="I36" s="92" t="n"/>
    </row>
    <row r="37" ht="43.2" customHeight="1" s="107">
      <c r="A37" s="92" t="inlineStr">
        <is>
          <t>メンバー国</t>
        </is>
      </c>
      <c r="B37" s="92" t="n">
        <v>33</v>
      </c>
      <c r="C37" s="92" t="inlineStr">
        <is>
          <t>Yaman Muhammet Maruf</t>
        </is>
      </c>
      <c r="D37" s="92" t="inlineStr">
        <is>
          <t>Turkiye</t>
        </is>
      </c>
      <c r="E37" s="92" t="inlineStr">
        <is>
          <t>Head of Foreign Relations Department - AFAD</t>
        </is>
      </c>
      <c r="F37" s="92" t="n"/>
      <c r="G37" s="92" t="inlineStr">
        <is>
          <t>Republic of Turkiye - Ministry of Interior - Disaster and Emergency Management Authority (AFAD)</t>
        </is>
      </c>
      <c r="H37" s="92" t="inlineStr">
        <is>
          <t>Onsite (face-to-face)</t>
        </is>
      </c>
      <c r="I37" s="92" t="n"/>
    </row>
    <row r="38" ht="28.8" customHeight="1" s="107">
      <c r="A38" s="92" t="inlineStr">
        <is>
          <t>メンバー国</t>
        </is>
      </c>
      <c r="B38" s="92" t="n">
        <v>34</v>
      </c>
      <c r="C38" s="92" t="inlineStr">
        <is>
          <t>Ba Nam Nguyen</t>
        </is>
      </c>
      <c r="D38" s="92" t="inlineStr">
        <is>
          <t>Viet Nam</t>
        </is>
      </c>
      <c r="E38" s="92" t="inlineStr">
        <is>
          <t>Officer</t>
        </is>
      </c>
      <c r="F38" s="92" t="inlineStr">
        <is>
          <t>Department of Personnel and Organisation</t>
        </is>
      </c>
      <c r="G38" s="92" t="inlineStr">
        <is>
          <t>Ministry of Agriculture and Environment</t>
        </is>
      </c>
      <c r="H38" s="92" t="inlineStr">
        <is>
          <t>Onsite (face-to-face)</t>
        </is>
      </c>
      <c r="I38" s="92" t="n"/>
    </row>
    <row r="39" ht="28.8" customHeight="1" s="107">
      <c r="A39" s="92" t="inlineStr">
        <is>
          <t>メンバー国</t>
        </is>
      </c>
      <c r="B39" s="92" t="n">
        <v>35</v>
      </c>
      <c r="C39" s="92" t="inlineStr">
        <is>
          <t>Truong Son Nguyen</t>
        </is>
      </c>
      <c r="D39" s="92" t="inlineStr">
        <is>
          <t>Viet Nam</t>
        </is>
      </c>
      <c r="E39" s="92" t="inlineStr">
        <is>
          <t>Deputy Director General</t>
        </is>
      </c>
      <c r="F39" s="92" t="n"/>
      <c r="G39" s="92" t="inlineStr">
        <is>
          <t>Viet Nam Disaster and Dyke Management Authority</t>
        </is>
      </c>
      <c r="H39" s="92" t="inlineStr">
        <is>
          <t>Onsite (face-to-face)</t>
        </is>
      </c>
      <c r="I39" s="92" t="n"/>
    </row>
    <row r="40" ht="28.8" customHeight="1" s="107">
      <c r="A40" s="92" t="inlineStr">
        <is>
          <t>メンバー国</t>
        </is>
      </c>
      <c r="B40" s="92" t="n">
        <v>36</v>
      </c>
      <c r="C40" s="92" t="inlineStr">
        <is>
          <t>Vu Thuy Duong</t>
        </is>
      </c>
      <c r="D40" s="92" t="inlineStr">
        <is>
          <t>Viet Nam</t>
        </is>
      </c>
      <c r="E40" s="92" t="inlineStr">
        <is>
          <t>Official</t>
        </is>
      </c>
      <c r="F40" s="92" t="inlineStr">
        <is>
          <t xml:space="preserve">Department of International Cooperation </t>
        </is>
      </c>
      <c r="G40" s="92" t="inlineStr">
        <is>
          <t>Viet Nam Disaster and Dyke Management Authority (VDDMA)</t>
        </is>
      </c>
      <c r="H40" s="92" t="inlineStr">
        <is>
          <t>Onsite (face-to-face)</t>
        </is>
      </c>
      <c r="I40" s="92" t="n"/>
    </row>
    <row r="41" ht="28.8" customHeight="1" s="107">
      <c r="A41" s="92" t="inlineStr">
        <is>
          <t>アドバイザー国</t>
        </is>
      </c>
      <c r="B41" s="92" t="n">
        <v>1</v>
      </c>
      <c r="C41" s="92" t="inlineStr">
        <is>
          <t>Arthur David Gawn</t>
        </is>
      </c>
      <c r="D41" s="92" t="inlineStr">
        <is>
          <t>New Zealand</t>
        </is>
      </c>
      <c r="E41" s="92" t="inlineStr">
        <is>
          <t>Cheif Executive And Director General</t>
        </is>
      </c>
      <c r="F41" s="92" t="n"/>
      <c r="G41" s="92" t="inlineStr">
        <is>
          <t>National Emergency Management Agency - New Zealand</t>
        </is>
      </c>
      <c r="H41" s="92" t="inlineStr">
        <is>
          <t>Onsite (face-to-face)</t>
        </is>
      </c>
      <c r="I41" s="92" t="n"/>
    </row>
    <row r="42" ht="28.8" customHeight="1" s="107">
      <c r="A42" s="92" t="inlineStr">
        <is>
          <t>アドバイザー国</t>
        </is>
      </c>
      <c r="B42" s="92" t="n">
        <v>2</v>
      </c>
      <c r="C42" s="92" t="inlineStr">
        <is>
          <t>Stefan John Michie</t>
        </is>
      </c>
      <c r="D42" s="92" t="inlineStr">
        <is>
          <t>New Zealand</t>
        </is>
      </c>
      <c r="E42" s="92" t="inlineStr">
        <is>
          <t>Deputy Chief Executive, Assurance</t>
        </is>
      </c>
      <c r="F42" s="92" t="inlineStr">
        <is>
          <t>Assurance</t>
        </is>
      </c>
      <c r="G42" s="92" t="inlineStr">
        <is>
          <t>National Emergency Management Agency - New Zealand</t>
        </is>
      </c>
      <c r="H42" s="92" t="inlineStr">
        <is>
          <t>Onsite (face-to-face)</t>
        </is>
      </c>
      <c r="I42" s="92" t="n"/>
    </row>
    <row r="43" ht="28.8" customHeight="1" s="107">
      <c r="A43" s="92" t="inlineStr">
        <is>
          <t>アドバイザー国</t>
        </is>
      </c>
      <c r="B43" s="92" t="n">
        <v>3</v>
      </c>
      <c r="C43" s="92" t="inlineStr">
        <is>
          <t>Stuart Ian Meiklejohn</t>
        </is>
      </c>
      <c r="D43" s="92" t="inlineStr">
        <is>
          <t>New Zealand</t>
        </is>
      </c>
      <c r="E43" s="92" t="inlineStr">
        <is>
          <t>Senior Advisor International Engagement</t>
        </is>
      </c>
      <c r="F43" s="92" t="inlineStr">
        <is>
          <t>International Engagement Team</t>
        </is>
      </c>
      <c r="G43" s="92" t="inlineStr">
        <is>
          <t>National Emergency Management Agency - New Zealand</t>
        </is>
      </c>
      <c r="H43" s="92" t="inlineStr">
        <is>
          <t>Onsite (face-to-face)</t>
        </is>
      </c>
      <c r="I43" s="92" t="n"/>
    </row>
    <row r="44" ht="28.8" customHeight="1" s="107">
      <c r="A44" s="92" t="inlineStr">
        <is>
          <t>一般</t>
        </is>
      </c>
      <c r="B44" s="92" t="n">
        <v>1</v>
      </c>
      <c r="C44" s="92" t="inlineStr">
        <is>
          <t>Aslam Perwaiz</t>
        </is>
      </c>
      <c r="D44" s="92" t="inlineStr">
        <is>
          <t>Thailand</t>
        </is>
      </c>
      <c r="E44" s="92" t="inlineStr">
        <is>
          <t>Executive Director</t>
        </is>
      </c>
      <c r="F44" s="92" t="n"/>
      <c r="G44" s="92" t="inlineStr">
        <is>
          <t>Asian Disaster Preparedness Center</t>
        </is>
      </c>
      <c r="H44" s="92" t="inlineStr">
        <is>
          <t>Onsite (face-to-face)</t>
        </is>
      </c>
      <c r="I44" s="92" t="inlineStr">
        <is>
          <t>ADPC オブザーバー（4名予定、追加2名はADRC負担なし）</t>
        </is>
      </c>
    </row>
    <row r="45" ht="28.8" customHeight="1" s="107">
      <c r="A45" s="92" t="inlineStr">
        <is>
          <t>一般</t>
        </is>
      </c>
      <c r="B45" s="92" t="n">
        <v>2</v>
      </c>
      <c r="C45" s="92" t="inlineStr">
        <is>
          <t>Weerapon Sripongchai</t>
        </is>
      </c>
      <c r="D45" s="92" t="inlineStr">
        <is>
          <t>Thailand</t>
        </is>
      </c>
      <c r="E45" s="92" t="inlineStr">
        <is>
          <t>Executive Management Officer</t>
        </is>
      </c>
      <c r="F45" s="92" t="inlineStr">
        <is>
          <t>Office of the Executive Director</t>
        </is>
      </c>
      <c r="G45" s="92" t="inlineStr">
        <is>
          <t>Asian Disaster Preparedness Center</t>
        </is>
      </c>
      <c r="H45" s="92" t="inlineStr">
        <is>
          <t>Onsite (face-to-face)</t>
        </is>
      </c>
      <c r="I45" s="92" t="inlineStr">
        <is>
          <t>ADPC オブザーバー（4名予定、追加2名はADRC負担なし）</t>
        </is>
      </c>
    </row>
    <row r="46" ht="28.8" customHeight="1" s="107">
      <c r="A46" s="92" t="inlineStr">
        <is>
          <t>一般</t>
        </is>
      </c>
      <c r="B46" s="92" t="n">
        <v>3</v>
      </c>
      <c r="C46" s="92" t="inlineStr">
        <is>
          <t>SAKURAI Noriko</t>
        </is>
      </c>
      <c r="D46" s="92" t="inlineStr">
        <is>
          <t>Fiji</t>
        </is>
      </c>
      <c r="E46" s="92" t="inlineStr">
        <is>
          <t>JICA DRR Policy Advisor to Fiji</t>
        </is>
      </c>
      <c r="F46" s="92" t="n"/>
      <c r="G46" s="92" t="inlineStr">
        <is>
          <t>NDRMO</t>
        </is>
      </c>
      <c r="H46" s="92" t="inlineStr">
        <is>
          <t>Onsite (face-to-face)</t>
        </is>
      </c>
      <c r="I46" s="92" t="inlineStr">
        <is>
          <t>フライト手配が進まず参加不透明（櫻井氏に依頼）</t>
        </is>
      </c>
    </row>
    <row r="47" ht="28.8" customHeight="1" s="107">
      <c r="A47" s="92" t="inlineStr">
        <is>
          <t>一般</t>
        </is>
      </c>
      <c r="B47" s="92" t="n">
        <v>4</v>
      </c>
      <c r="C47" s="92" t="inlineStr">
        <is>
          <t>Hilda Tabar Cleofe</t>
        </is>
      </c>
      <c r="D47" s="92" t="inlineStr">
        <is>
          <t>Philippines</t>
        </is>
      </c>
      <c r="E47" s="92" t="inlineStr">
        <is>
          <t xml:space="preserve">Principal Security And Emergency Services Officer </t>
        </is>
      </c>
      <c r="F47" s="92" t="inlineStr">
        <is>
          <t xml:space="preserve">Corporate Services Department </t>
        </is>
      </c>
      <c r="G47" s="92" t="inlineStr">
        <is>
          <t>Asian Development Bank</t>
        </is>
      </c>
      <c r="H47" s="92" t="inlineStr">
        <is>
          <t>Onsite (face-to-face)</t>
        </is>
      </c>
      <c r="I47" s="92" t="n"/>
    </row>
    <row r="48">
      <c r="A48" s="92" t="inlineStr">
        <is>
          <t>一般</t>
        </is>
      </c>
      <c r="B48" s="92" t="n">
        <v>5</v>
      </c>
      <c r="C48" s="92" t="inlineStr">
        <is>
          <t>KATO Ai</t>
        </is>
      </c>
      <c r="D48" s="92" t="inlineStr">
        <is>
          <t>Japan</t>
        </is>
      </c>
      <c r="E48" s="92" t="inlineStr">
        <is>
          <t>Manager</t>
        </is>
      </c>
      <c r="F48" s="92" t="n"/>
      <c r="G48" s="92" t="inlineStr">
        <is>
          <t>City of Sendai</t>
        </is>
      </c>
      <c r="H48" s="92" t="inlineStr">
        <is>
          <t>Onsite (face-to-face)</t>
        </is>
      </c>
      <c r="I48" s="92" t="n"/>
    </row>
    <row r="49" ht="43.2" customHeight="1" s="107">
      <c r="A49" s="92" t="inlineStr">
        <is>
          <t>一般</t>
        </is>
      </c>
      <c r="B49" s="92" t="n">
        <v>6</v>
      </c>
      <c r="C49" s="92" t="inlineStr">
        <is>
          <t>SAKURAI Shinya</t>
        </is>
      </c>
      <c r="D49" s="92" t="inlineStr">
        <is>
          <t>Japan</t>
        </is>
      </c>
      <c r="E49" s="92" t="inlineStr">
        <is>
          <t>Officer</t>
        </is>
      </c>
      <c r="F49" s="92" t="inlineStr">
        <is>
          <t>Asia-Pacific Ministerial Conference on Disaster Risk Reduction Preparation Office</t>
        </is>
      </c>
      <c r="G49" s="92" t="inlineStr">
        <is>
          <t>City of Sendai</t>
        </is>
      </c>
      <c r="H49" s="92" t="inlineStr">
        <is>
          <t>Onsite (face-to-face)</t>
        </is>
      </c>
      <c r="I49" s="92" t="n"/>
    </row>
    <row r="50">
      <c r="A50" s="92" t="inlineStr">
        <is>
          <t>一般</t>
        </is>
      </c>
      <c r="B50" s="92" t="n">
        <v>7</v>
      </c>
      <c r="C50" s="92" t="inlineStr">
        <is>
          <t>SASAKI Sachiko</t>
        </is>
      </c>
      <c r="D50" s="92" t="inlineStr">
        <is>
          <t>Japan</t>
        </is>
      </c>
      <c r="E50" s="92" t="inlineStr">
        <is>
          <t>Senior Director</t>
        </is>
      </c>
      <c r="F50" s="92" t="n"/>
      <c r="G50" s="92" t="inlineStr">
        <is>
          <t>City of Sendai</t>
        </is>
      </c>
      <c r="H50" s="92" t="inlineStr">
        <is>
          <t>Onsite (face-to-face)</t>
        </is>
      </c>
      <c r="I50" s="92" t="n"/>
    </row>
    <row r="51">
      <c r="A51" s="92" t="inlineStr">
        <is>
          <t>一般</t>
        </is>
      </c>
      <c r="B51" s="92" t="n">
        <v>8</v>
      </c>
      <c r="C51" s="92" t="inlineStr">
        <is>
          <t>TAKAHASHI Shinichi</t>
        </is>
      </c>
      <c r="D51" s="92" t="inlineStr">
        <is>
          <t>Japan</t>
        </is>
      </c>
      <c r="E51" s="92" t="inlineStr">
        <is>
          <t>Vice Mayor</t>
        </is>
      </c>
      <c r="F51" s="92" t="n"/>
      <c r="G51" s="92" t="inlineStr">
        <is>
          <t>City of Sendai</t>
        </is>
      </c>
      <c r="H51" s="92" t="inlineStr">
        <is>
          <t>Onsite (face-to-face)</t>
        </is>
      </c>
      <c r="I51" s="92" t="n"/>
    </row>
    <row r="52">
      <c r="A52" s="92" t="inlineStr">
        <is>
          <t>一般</t>
        </is>
      </c>
      <c r="B52" s="92" t="n">
        <v>9</v>
      </c>
      <c r="C52" s="92" t="inlineStr">
        <is>
          <t>OGIWARA Jiro</t>
        </is>
      </c>
      <c r="D52" s="92" t="inlineStr">
        <is>
          <t>Japan</t>
        </is>
      </c>
      <c r="E52" s="92" t="inlineStr">
        <is>
          <t>Acting Secretary General</t>
        </is>
      </c>
      <c r="F52" s="92" t="inlineStr">
        <is>
          <t>Secretariat</t>
        </is>
      </c>
      <c r="G52" s="92" t="inlineStr">
        <is>
          <t>Japan Bosai Platform</t>
        </is>
      </c>
      <c r="H52" s="92" t="inlineStr">
        <is>
          <t>Onsite (face-to-face)</t>
        </is>
      </c>
      <c r="I52" s="92" t="n"/>
    </row>
    <row r="53">
      <c r="A53" s="92" t="inlineStr">
        <is>
          <t>一般</t>
        </is>
      </c>
      <c r="B53" s="92" t="n">
        <v>10</v>
      </c>
      <c r="C53" s="92" t="inlineStr">
        <is>
          <t>UEDA Natsumi</t>
        </is>
      </c>
      <c r="D53" s="92" t="inlineStr">
        <is>
          <t>Japan</t>
        </is>
      </c>
      <c r="E53" s="92" t="inlineStr">
        <is>
          <t>Associate Administrator</t>
        </is>
      </c>
      <c r="F53" s="92" t="n"/>
      <c r="G53" s="92" t="inlineStr">
        <is>
          <t>JAXA</t>
        </is>
      </c>
      <c r="H53" s="92" t="inlineStr">
        <is>
          <t>Onsite (face-to-face)</t>
        </is>
      </c>
      <c r="I53" s="92" t="inlineStr">
        <is>
          <t>TS登壇候補（人選中）</t>
        </is>
      </c>
    </row>
    <row r="54" ht="28.8" customHeight="1" s="107">
      <c r="A54" s="92" t="inlineStr">
        <is>
          <t>一般</t>
        </is>
      </c>
      <c r="B54" s="92" t="n">
        <v>11</v>
      </c>
      <c r="C54" s="92" t="inlineStr">
        <is>
          <t>Satoru Nishikawa</t>
        </is>
      </c>
      <c r="D54" s="92" t="n"/>
      <c r="E54" s="92" t="inlineStr">
        <is>
          <t>Senior Advisor</t>
        </is>
      </c>
      <c r="F54" s="92" t="inlineStr">
        <is>
          <t>Drr Group</t>
        </is>
      </c>
      <c r="G54" s="92" t="inlineStr">
        <is>
          <t>Jica</t>
        </is>
      </c>
      <c r="H54" s="92" t="inlineStr">
        <is>
          <t>Onsite (face-to-face)</t>
        </is>
      </c>
      <c r="I54" s="92" t="inlineStr">
        <is>
          <t>SIDEX 3日目登壇者。COSEM負担のリソース登録</t>
        </is>
      </c>
    </row>
    <row r="55">
      <c r="A55" s="92" t="inlineStr">
        <is>
          <t>一般</t>
        </is>
      </c>
      <c r="B55" s="92" t="n">
        <v>12</v>
      </c>
      <c r="C55" s="92" t="inlineStr">
        <is>
          <t>TAKABATAKE Tomoyuki</t>
        </is>
      </c>
      <c r="D55" s="92" t="inlineStr">
        <is>
          <t>Japan</t>
        </is>
      </c>
      <c r="E55" s="92" t="inlineStr">
        <is>
          <t>Associate Professor</t>
        </is>
      </c>
      <c r="F55" s="92" t="n"/>
      <c r="G55" s="92" t="inlineStr">
        <is>
          <t>Kindai University</t>
        </is>
      </c>
      <c r="H55" s="92" t="inlineStr">
        <is>
          <t>Onsite (face-to-face)</t>
        </is>
      </c>
      <c r="I55" s="92" t="n"/>
    </row>
    <row r="56">
      <c r="A56" s="92" t="inlineStr">
        <is>
          <t>一般</t>
        </is>
      </c>
      <c r="B56" s="92" t="n">
        <v>13</v>
      </c>
      <c r="C56" s="92" t="inlineStr">
        <is>
          <t>Al Azizi Quthbi Syazwi</t>
        </is>
      </c>
      <c r="D56" s="92" t="inlineStr">
        <is>
          <t>Indonesia</t>
        </is>
      </c>
      <c r="E56" s="92" t="inlineStr">
        <is>
          <t>Research Assistant</t>
        </is>
      </c>
      <c r="F56" s="92" t="inlineStr">
        <is>
          <t>Research Department</t>
        </is>
      </c>
      <c r="G56" s="92" t="inlineStr">
        <is>
          <t>LPPM UNHAS</t>
        </is>
      </c>
      <c r="H56" s="92" t="inlineStr">
        <is>
          <t>Onsite (face-to-face)</t>
        </is>
      </c>
      <c r="I56" s="92" t="n"/>
    </row>
    <row r="57">
      <c r="A57" s="92" t="inlineStr">
        <is>
          <t>一般</t>
        </is>
      </c>
      <c r="B57" s="92" t="n">
        <v>14</v>
      </c>
      <c r="C57" s="92" t="inlineStr">
        <is>
          <t>Azam Ab Samah Norazam</t>
        </is>
      </c>
      <c r="D57" s="92" t="inlineStr">
        <is>
          <t>Malaysia</t>
        </is>
      </c>
      <c r="E57" s="92" t="inlineStr">
        <is>
          <t>Senior Advisory Council</t>
        </is>
      </c>
      <c r="F57" s="92" t="inlineStr">
        <is>
          <t>Programme Operation</t>
        </is>
      </c>
      <c r="G57" s="92" t="inlineStr">
        <is>
          <t>Mercy Malaysia</t>
        </is>
      </c>
      <c r="H57" s="92" t="inlineStr">
        <is>
          <t>Onsite (face-to-face)</t>
        </is>
      </c>
      <c r="I57" s="92" t="n"/>
    </row>
    <row r="58">
      <c r="A58" s="92" t="inlineStr">
        <is>
          <t>一般</t>
        </is>
      </c>
      <c r="B58" s="92" t="n">
        <v>15</v>
      </c>
      <c r="C58" s="92" t="inlineStr">
        <is>
          <t>Yegane Ghezelloo</t>
        </is>
      </c>
      <c r="D58" s="92" t="inlineStr">
        <is>
          <t>Japan</t>
        </is>
      </c>
      <c r="E58" s="92" t="inlineStr">
        <is>
          <t>Associate Professor</t>
        </is>
      </c>
      <c r="F58" s="92" t="inlineStr">
        <is>
          <t>Department of Architecture</t>
        </is>
      </c>
      <c r="G58" s="92" t="inlineStr">
        <is>
          <t>Mie University</t>
        </is>
      </c>
      <c r="H58" s="92" t="inlineStr">
        <is>
          <t>Onsite (face-to-face)</t>
        </is>
      </c>
      <c r="I58" s="92" t="n"/>
    </row>
    <row r="59" ht="28.8" customHeight="1" s="107">
      <c r="A59" s="92" t="inlineStr">
        <is>
          <t>一般</t>
        </is>
      </c>
      <c r="B59" s="92" t="n">
        <v>16</v>
      </c>
      <c r="C59" s="92" t="inlineStr">
        <is>
          <t>Alfarizi Zaky M.</t>
        </is>
      </c>
      <c r="D59" s="92" t="inlineStr">
        <is>
          <t>Indonesia</t>
        </is>
      </c>
      <c r="E59" s="92" t="inlineStr">
        <is>
          <t>Geograpic Information System Specialist</t>
        </is>
      </c>
      <c r="F59" s="92" t="inlineStr">
        <is>
          <t>Directorate of Sustainable Management of Natural Resources</t>
        </is>
      </c>
      <c r="G59" s="92" t="inlineStr">
        <is>
          <t>Ministry of Environtment of Indonesia</t>
        </is>
      </c>
      <c r="H59" s="92" t="inlineStr">
        <is>
          <t>Onsite (face-to-face)</t>
        </is>
      </c>
      <c r="I59" s="92" t="inlineStr">
        <is>
          <t>一般扱い（メンバー国対応なし）9/25</t>
        </is>
      </c>
    </row>
    <row r="60">
      <c r="A60" s="92" t="inlineStr">
        <is>
          <t>一般</t>
        </is>
      </c>
      <c r="B60" s="92" t="n">
        <v>17</v>
      </c>
      <c r="C60" s="92" t="inlineStr">
        <is>
          <t>Kaneka Keo</t>
        </is>
      </c>
      <c r="D60" s="92" t="inlineStr">
        <is>
          <t>Cambodia</t>
        </is>
      </c>
      <c r="E60" s="92" t="inlineStr">
        <is>
          <t xml:space="preserve">Climate Resilience Lead </t>
        </is>
      </c>
      <c r="F60" s="92" t="n"/>
      <c r="G60" s="92" t="inlineStr">
        <is>
          <t>Oxfam</t>
        </is>
      </c>
      <c r="H60" s="92" t="inlineStr">
        <is>
          <t>Onsite (face-to-face)</t>
        </is>
      </c>
      <c r="I60" s="92" t="n"/>
    </row>
    <row r="61">
      <c r="A61" s="92" t="inlineStr">
        <is>
          <t>一般</t>
        </is>
      </c>
      <c r="B61" s="92" t="n">
        <v>18</v>
      </c>
      <c r="C61" s="92" t="inlineStr">
        <is>
          <t>Justin Jr. Baylosis Giergos</t>
        </is>
      </c>
      <c r="D61" s="92" t="inlineStr">
        <is>
          <t>Philippines</t>
        </is>
      </c>
      <c r="E61" s="92" t="inlineStr">
        <is>
          <t>Bs Nursing Student</t>
        </is>
      </c>
      <c r="F61" s="92" t="inlineStr">
        <is>
          <t>Undergraduate Nursing Student</t>
        </is>
      </c>
      <c r="G61" s="92" t="inlineStr">
        <is>
          <t>St. Paul University Iloilo</t>
        </is>
      </c>
      <c r="H61" s="92" t="inlineStr">
        <is>
          <t>Onsite (face-to-face)</t>
        </is>
      </c>
      <c r="I61" s="92" t="n"/>
    </row>
    <row r="62">
      <c r="A62" s="92" t="inlineStr">
        <is>
          <t>一般</t>
        </is>
      </c>
      <c r="B62" s="92" t="n">
        <v>19</v>
      </c>
      <c r="C62" s="92" t="inlineStr">
        <is>
          <t>Krishna Putra Tanaja</t>
        </is>
      </c>
      <c r="D62" s="92" t="inlineStr">
        <is>
          <t>Indonesia</t>
        </is>
      </c>
      <c r="E62" s="92" t="inlineStr">
        <is>
          <t>Deputy Director</t>
        </is>
      </c>
      <c r="F62" s="92" t="inlineStr">
        <is>
          <t>Deputy Director</t>
        </is>
      </c>
      <c r="G62" s="92" t="inlineStr">
        <is>
          <t>The AHA Centre</t>
        </is>
      </c>
      <c r="H62" s="92" t="inlineStr">
        <is>
          <t>Onsite (face-to-face)</t>
        </is>
      </c>
      <c r="I62" s="92" t="n"/>
    </row>
    <row r="63" ht="28.8" customHeight="1" s="107">
      <c r="A63" s="92" t="inlineStr">
        <is>
          <t>一般</t>
        </is>
      </c>
      <c r="B63" s="92" t="n">
        <v>20</v>
      </c>
      <c r="C63" s="92" t="inlineStr">
        <is>
          <t>ONO Yuichi</t>
        </is>
      </c>
      <c r="D63" s="92" t="inlineStr">
        <is>
          <t>Japan</t>
        </is>
      </c>
      <c r="E63" s="92" t="inlineStr">
        <is>
          <t>Deputy Director</t>
        </is>
      </c>
      <c r="F63" s="92" t="inlineStr">
        <is>
          <t>International Research Institute of Disaster Science</t>
        </is>
      </c>
      <c r="G63" s="92" t="inlineStr">
        <is>
          <t>Tohoku University</t>
        </is>
      </c>
      <c r="H63" s="92" t="inlineStr">
        <is>
          <t>Onsite (face-to-face)</t>
        </is>
      </c>
      <c r="I63" s="92" t="n"/>
    </row>
    <row r="64">
      <c r="A64" s="92" t="inlineStr">
        <is>
          <t>一般</t>
        </is>
      </c>
      <c r="B64" s="92" t="n">
        <v>21</v>
      </c>
      <c r="C64" s="92" t="inlineStr">
        <is>
          <t>Salmanova Rafiga</t>
        </is>
      </c>
      <c r="D64" s="92" t="inlineStr">
        <is>
          <t>Azerbaijan</t>
        </is>
      </c>
      <c r="E64" s="92" t="inlineStr">
        <is>
          <t>Teacher</t>
        </is>
      </c>
      <c r="F64" s="92" t="n"/>
      <c r="G64" s="92" t="inlineStr">
        <is>
          <t>Baku State University</t>
        </is>
      </c>
      <c r="H64" s="92" t="inlineStr">
        <is>
          <t>Onsite (face-to-face)</t>
        </is>
      </c>
      <c r="I64" s="92" t="n"/>
    </row>
    <row r="65">
      <c r="A65" s="92" t="inlineStr">
        <is>
          <t>一般</t>
        </is>
      </c>
      <c r="B65" s="92" t="n">
        <v>22</v>
      </c>
      <c r="C65" s="92" t="inlineStr">
        <is>
          <t>Vusala Zamanova</t>
        </is>
      </c>
      <c r="D65" s="92" t="inlineStr">
        <is>
          <t>Azerbaijan</t>
        </is>
      </c>
      <c r="E65" s="92" t="inlineStr">
        <is>
          <t>Teacher</t>
        </is>
      </c>
      <c r="F65" s="92" t="inlineStr">
        <is>
          <t>Baku State University</t>
        </is>
      </c>
      <c r="G65" s="92" t="inlineStr">
        <is>
          <t>Baku State University</t>
        </is>
      </c>
      <c r="H65" s="92" t="inlineStr">
        <is>
          <t>Onsite (face-to-face)</t>
        </is>
      </c>
      <c r="I65" s="92" t="n"/>
    </row>
    <row r="66">
      <c r="A66" s="92" t="inlineStr">
        <is>
          <t>ADRC</t>
        </is>
      </c>
      <c r="B66" s="92" t="n">
        <v>1</v>
      </c>
      <c r="C66" s="92" t="inlineStr">
        <is>
          <t>MIURA Fusanori</t>
        </is>
      </c>
      <c r="D66" s="92" t="n"/>
      <c r="E66" s="92" t="inlineStr">
        <is>
          <t>Chairman</t>
        </is>
      </c>
      <c r="F66" s="92" t="n"/>
      <c r="G66" s="92" t="inlineStr">
        <is>
          <t>Asian Disaster Reduction Center</t>
        </is>
      </c>
      <c r="H66" s="92" t="inlineStr">
        <is>
          <t>Onsite (face-to-face)</t>
        </is>
      </c>
      <c r="I66" s="92" t="n"/>
    </row>
    <row r="67">
      <c r="A67" s="92" t="inlineStr">
        <is>
          <t>ADRC</t>
        </is>
      </c>
      <c r="B67" s="92" t="n">
        <v>2</v>
      </c>
      <c r="C67" s="92" t="inlineStr">
        <is>
          <t>KITAMOTO Masayuki</t>
        </is>
      </c>
      <c r="D67" s="92" t="inlineStr">
        <is>
          <t>Japan</t>
        </is>
      </c>
      <c r="E67" s="92" t="inlineStr">
        <is>
          <t>Executive Director</t>
        </is>
      </c>
      <c r="F67" s="92" t="n"/>
      <c r="G67" s="92" t="inlineStr">
        <is>
          <t>Asian Disaster Reduction Center</t>
        </is>
      </c>
      <c r="H67" s="92" t="inlineStr">
        <is>
          <t>Onsite (face-to-face)</t>
        </is>
      </c>
      <c r="I67" s="92" t="n"/>
    </row>
    <row r="68">
      <c r="A68" s="92" t="inlineStr">
        <is>
          <t>ADRC</t>
        </is>
      </c>
      <c r="B68" s="92" t="n">
        <v>3</v>
      </c>
      <c r="C68" s="92" t="inlineStr">
        <is>
          <t>MIYAKI Kazuhiro</t>
        </is>
      </c>
      <c r="D68" s="92" t="inlineStr">
        <is>
          <t>Japan</t>
        </is>
      </c>
      <c r="E68" s="92" t="inlineStr">
        <is>
          <t>Director General</t>
        </is>
      </c>
      <c r="F68" s="92" t="n"/>
      <c r="G68" s="92" t="inlineStr">
        <is>
          <t>Asian Disaster Reduction Center</t>
        </is>
      </c>
      <c r="H68" s="92" t="inlineStr">
        <is>
          <t>Onsite (face-to-face)</t>
        </is>
      </c>
      <c r="I68" s="92" t="n"/>
    </row>
    <row r="69">
      <c r="A69" s="92" t="inlineStr">
        <is>
          <t>ADRC</t>
        </is>
      </c>
      <c r="B69" s="92" t="n">
        <v>4</v>
      </c>
      <c r="C69" s="92" t="inlineStr">
        <is>
          <t>KODAMA Miki</t>
        </is>
      </c>
      <c r="D69" s="92" t="inlineStr">
        <is>
          <t>Japan</t>
        </is>
      </c>
      <c r="E69" s="92" t="inlineStr">
        <is>
          <t>Director</t>
        </is>
      </c>
      <c r="F69" s="92" t="inlineStr">
        <is>
          <t>Research Department</t>
        </is>
      </c>
      <c r="G69" s="92" t="inlineStr">
        <is>
          <t>Asian Disaster Reduction Center</t>
        </is>
      </c>
      <c r="H69" s="92" t="inlineStr">
        <is>
          <t>Onsite (face-to-face)</t>
        </is>
      </c>
      <c r="I69" s="92" t="n"/>
    </row>
    <row r="70">
      <c r="A70" s="92" t="inlineStr">
        <is>
          <t>ADRC</t>
        </is>
      </c>
      <c r="B70" s="92" t="n">
        <v>5</v>
      </c>
      <c r="C70" s="92" t="inlineStr">
        <is>
          <t>ARAKIDA Masaru</t>
        </is>
      </c>
      <c r="D70" s="92" t="inlineStr">
        <is>
          <t>Japan</t>
        </is>
      </c>
      <c r="E70" s="92" t="inlineStr">
        <is>
          <t>Research Fellow</t>
        </is>
      </c>
      <c r="F70" s="92" t="inlineStr">
        <is>
          <t>Research Department</t>
        </is>
      </c>
      <c r="G70" s="92" t="inlineStr">
        <is>
          <t>Asian Disaster Reduction Center</t>
        </is>
      </c>
      <c r="H70" s="92" t="inlineStr">
        <is>
          <t>Onsite (face-to-face)</t>
        </is>
      </c>
      <c r="I70" s="92" t="n"/>
    </row>
    <row r="71">
      <c r="A71" s="92" t="inlineStr">
        <is>
          <t>ADRC</t>
        </is>
      </c>
      <c r="B71" s="92" t="n">
        <v>6</v>
      </c>
      <c r="C71" s="92" t="inlineStr">
        <is>
          <t>Gerald Potutan</t>
        </is>
      </c>
      <c r="D71" s="92" t="inlineStr">
        <is>
          <t>Japan</t>
        </is>
      </c>
      <c r="E71" s="92" t="inlineStr">
        <is>
          <t xml:space="preserve">Deputy Director For Research </t>
        </is>
      </c>
      <c r="F71" s="92" t="inlineStr">
        <is>
          <t xml:space="preserve">Research Department </t>
        </is>
      </c>
      <c r="G71" s="92" t="inlineStr">
        <is>
          <t>Asian Disaster Reduction Center</t>
        </is>
      </c>
      <c r="H71" s="92" t="inlineStr">
        <is>
          <t>Onsite (face-to-face)</t>
        </is>
      </c>
      <c r="I71" s="92" t="n"/>
    </row>
    <row r="72">
      <c r="A72" s="92" t="inlineStr">
        <is>
          <t>ADRC</t>
        </is>
      </c>
      <c r="B72" s="92" t="n">
        <v>7</v>
      </c>
      <c r="C72" s="92" t="inlineStr">
        <is>
          <t>IKEDA Makoto</t>
        </is>
      </c>
      <c r="D72" s="92" t="inlineStr">
        <is>
          <t>Japan</t>
        </is>
      </c>
      <c r="E72" s="92" t="inlineStr">
        <is>
          <t>Senior Researcher</t>
        </is>
      </c>
      <c r="F72" s="92" t="inlineStr">
        <is>
          <t>Research Department</t>
        </is>
      </c>
      <c r="G72" s="92" t="inlineStr">
        <is>
          <t>Asian Disaster Reduction Center</t>
        </is>
      </c>
      <c r="H72" s="92" t="inlineStr">
        <is>
          <t>Onsite (face-to-face)</t>
        </is>
      </c>
      <c r="I72" s="92" t="n"/>
    </row>
    <row r="73">
      <c r="A73" s="92" t="inlineStr">
        <is>
          <t>ADRC</t>
        </is>
      </c>
      <c r="B73" s="92" t="n">
        <v>8</v>
      </c>
      <c r="C73" s="92" t="inlineStr">
        <is>
          <t>SHIOMI Yumi</t>
        </is>
      </c>
      <c r="D73" s="92" t="inlineStr">
        <is>
          <t>Japan</t>
        </is>
      </c>
      <c r="E73" s="92" t="inlineStr">
        <is>
          <t>Senior Researcher</t>
        </is>
      </c>
      <c r="F73" s="92" t="inlineStr">
        <is>
          <t>Research Department</t>
        </is>
      </c>
      <c r="G73" s="92" t="inlineStr">
        <is>
          <t>Asian Disaster Reduction Center</t>
        </is>
      </c>
      <c r="H73" s="92" t="inlineStr">
        <is>
          <t>Onsite (face-to-face)</t>
        </is>
      </c>
      <c r="I73" s="92" t="n"/>
    </row>
    <row r="74">
      <c r="A74" s="92" t="inlineStr">
        <is>
          <t>ADRC</t>
        </is>
      </c>
      <c r="B74" s="92" t="n">
        <v>9</v>
      </c>
      <c r="C74" s="92" t="inlineStr">
        <is>
          <t>FUJIMOTO Ayako</t>
        </is>
      </c>
      <c r="D74" s="92" t="inlineStr">
        <is>
          <t>Japan</t>
        </is>
      </c>
      <c r="E74" s="92" t="inlineStr">
        <is>
          <t>Senior Assistant Researcher</t>
        </is>
      </c>
      <c r="F74" s="92" t="inlineStr">
        <is>
          <t>Research Department</t>
        </is>
      </c>
      <c r="G74" s="92" t="inlineStr">
        <is>
          <t>Asian Disaster Reduction Center</t>
        </is>
      </c>
      <c r="H74" s="92" t="inlineStr">
        <is>
          <t>Onsite (face-to-face)</t>
        </is>
      </c>
      <c r="I74" s="92" t="n"/>
    </row>
    <row r="75">
      <c r="A75" s="92" t="inlineStr">
        <is>
          <t>ADRC</t>
        </is>
      </c>
      <c r="B75" s="92" t="n">
        <v>10</v>
      </c>
      <c r="C75" s="92" t="inlineStr">
        <is>
          <t>FUJINAKA Junko</t>
        </is>
      </c>
      <c r="D75" s="92" t="inlineStr">
        <is>
          <t>Japan</t>
        </is>
      </c>
      <c r="E75" s="92" t="inlineStr">
        <is>
          <t>Administrative Manager</t>
        </is>
      </c>
      <c r="F75" s="92" t="inlineStr">
        <is>
          <t>Administrative Department</t>
        </is>
      </c>
      <c r="G75" s="92" t="inlineStr">
        <is>
          <t>Asian Disaster Reduction Center</t>
        </is>
      </c>
      <c r="H75" s="92" t="inlineStr">
        <is>
          <t>Onsite (face-to-face)</t>
        </is>
      </c>
      <c r="I75" s="92" t="n"/>
    </row>
    <row r="76">
      <c r="A76" s="92" t="inlineStr">
        <is>
          <t>ADRC</t>
        </is>
      </c>
      <c r="B76" s="92" t="n">
        <v>11</v>
      </c>
      <c r="C76" s="92" t="inlineStr">
        <is>
          <t>TANAKA Tomomi</t>
        </is>
      </c>
      <c r="D76" s="92" t="inlineStr">
        <is>
          <t>Japan</t>
        </is>
      </c>
      <c r="E76" s="92" t="inlineStr">
        <is>
          <t>Project Officer</t>
        </is>
      </c>
      <c r="F76" s="92" t="inlineStr">
        <is>
          <t>Research Department</t>
        </is>
      </c>
      <c r="G76" s="92" t="inlineStr">
        <is>
          <t>Asian Disasater Reduction Center</t>
        </is>
      </c>
      <c r="H76" s="92" t="inlineStr">
        <is>
          <t>Onsite (face-to-face)</t>
        </is>
      </c>
      <c r="I76" s="92" t="n"/>
    </row>
    <row r="77">
      <c r="A77" s="92" t="inlineStr">
        <is>
          <t>ADRC</t>
        </is>
      </c>
      <c r="B77" s="92" t="n">
        <v>12</v>
      </c>
      <c r="C77" s="92" t="inlineStr">
        <is>
          <t>YOSHIDA Maki</t>
        </is>
      </c>
      <c r="D77" s="92" t="inlineStr">
        <is>
          <t>Japan</t>
        </is>
      </c>
      <c r="E77" s="92" t="inlineStr">
        <is>
          <t>Project Researcher</t>
        </is>
      </c>
      <c r="F77" s="92" t="inlineStr">
        <is>
          <t>Research Department</t>
        </is>
      </c>
      <c r="G77" s="92" t="inlineStr">
        <is>
          <t>Asian Disaster Reduction Center</t>
        </is>
      </c>
      <c r="H77" s="92" t="inlineStr">
        <is>
          <t>Onsite (face-to-face)</t>
        </is>
      </c>
      <c r="I77" s="92" t="n"/>
    </row>
    <row r="78" ht="28.8" customHeight="1" s="107">
      <c r="A78" s="92" t="inlineStr">
        <is>
          <t>オンライン（一般）</t>
        </is>
      </c>
      <c r="B78" s="92" t="n">
        <v>1</v>
      </c>
      <c r="C78" s="92" t="inlineStr">
        <is>
          <t>Quang Manh Nguyen</t>
        </is>
      </c>
      <c r="D78" s="92" t="inlineStr">
        <is>
          <t>Viet Nam</t>
        </is>
      </c>
      <c r="E78" s="92" t="inlineStr">
        <is>
          <t>Researchers</t>
        </is>
      </c>
      <c r="F78" s="92" t="inlineStr">
        <is>
          <t>Department of Hydro Power and Renewable Energy</t>
        </is>
      </c>
      <c r="G78" s="92" t="inlineStr">
        <is>
          <t>Institute for Hydro Power and Renewable Energy</t>
        </is>
      </c>
      <c r="H78" s="92" t="inlineStr">
        <is>
          <t>Online</t>
        </is>
      </c>
      <c r="I78" s="92" t="n"/>
    </row>
    <row r="79" ht="28.8" customHeight="1" s="107">
      <c r="A79" s="92" t="inlineStr">
        <is>
          <t>オンライン（一般）</t>
        </is>
      </c>
      <c r="B79" s="92" t="n">
        <v>2</v>
      </c>
      <c r="C79" s="92" t="inlineStr">
        <is>
          <t>Md Wasim Akram</t>
        </is>
      </c>
      <c r="D79" s="92" t="inlineStr">
        <is>
          <t>India</t>
        </is>
      </c>
      <c r="E79" s="92" t="inlineStr">
        <is>
          <t xml:space="preserve">Medical Student </t>
        </is>
      </c>
      <c r="F79" s="92" t="n"/>
      <c r="G79" s="92" t="inlineStr">
        <is>
          <t xml:space="preserve">Academic </t>
        </is>
      </c>
      <c r="H79" s="92" t="inlineStr">
        <is>
          <t>Online</t>
        </is>
      </c>
      <c r="I79" s="92" t="n"/>
    </row>
    <row r="80" ht="43.2" customHeight="1" s="107">
      <c r="A80" s="92" t="inlineStr">
        <is>
          <t>オンライン（一般）</t>
        </is>
      </c>
      <c r="B80" s="92" t="n">
        <v>3</v>
      </c>
      <c r="C80" s="92" t="inlineStr">
        <is>
          <t>Jeffrey Tenorio Reyes</t>
        </is>
      </c>
      <c r="D80" s="92" t="inlineStr">
        <is>
          <t>Philippines</t>
        </is>
      </c>
      <c r="E80" s="92" t="inlineStr">
        <is>
          <t>Project Technical Assistant VI</t>
        </is>
      </c>
      <c r="F80" s="92" t="inlineStr">
        <is>
          <t xml:space="preserve">Research and Development and Training Division </t>
        </is>
      </c>
      <c r="G80" s="92" t="inlineStr">
        <is>
          <t>Department of Science and Techology - Philippine Atmospheric Geophysical andAstronomical Services Administration</t>
        </is>
      </c>
      <c r="H80" s="92" t="inlineStr">
        <is>
          <t>Online</t>
        </is>
      </c>
      <c r="I80" s="92" t="n"/>
    </row>
    <row r="81" ht="28.8" customHeight="1" s="107">
      <c r="A81" s="92" t="inlineStr">
        <is>
          <t>オンライン（一般）</t>
        </is>
      </c>
      <c r="B81" s="92" t="n">
        <v>4</v>
      </c>
      <c r="C81" s="92" t="inlineStr">
        <is>
          <t>Tomohiro Inoko</t>
        </is>
      </c>
      <c r="D81" s="92" t="inlineStr">
        <is>
          <t>Japan</t>
        </is>
      </c>
      <c r="E81" s="92" t="inlineStr">
        <is>
          <t>Assistant To Director</t>
        </is>
      </c>
      <c r="F81" s="92" t="inlineStr">
        <is>
          <t>Tokyo Outer Ring Construction Office</t>
        </is>
      </c>
      <c r="G81" s="92" t="inlineStr">
        <is>
          <t>East Nippon Expressway Company Limited</t>
        </is>
      </c>
      <c r="H81" s="92" t="inlineStr">
        <is>
          <t>Online</t>
        </is>
      </c>
      <c r="I81" s="92" t="n"/>
    </row>
    <row r="82" ht="28.8" customHeight="1" s="107">
      <c r="A82" s="92" t="inlineStr">
        <is>
          <t>オンライン（一般）</t>
        </is>
      </c>
      <c r="B82" s="92" t="n">
        <v>5</v>
      </c>
      <c r="C82" s="92" t="inlineStr">
        <is>
          <t>ISHIKAWA Mikiko</t>
        </is>
      </c>
      <c r="D82" s="92" t="inlineStr">
        <is>
          <t>Japan</t>
        </is>
      </c>
      <c r="E82" s="92" t="inlineStr">
        <is>
          <t>Secretariat</t>
        </is>
      </c>
      <c r="F82" s="92" t="n"/>
      <c r="G82" s="92" t="inlineStr">
        <is>
          <t>Japan Bosai Platform</t>
        </is>
      </c>
      <c r="H82" s="92" t="inlineStr">
        <is>
          <t>Online</t>
        </is>
      </c>
      <c r="I82" s="92" t="n"/>
    </row>
    <row r="83" ht="28.8" customHeight="1" s="107">
      <c r="A83" s="92" t="inlineStr">
        <is>
          <t>オンライン（一般）</t>
        </is>
      </c>
      <c r="B83" s="92" t="n">
        <v>6</v>
      </c>
      <c r="C83" s="92" t="inlineStr">
        <is>
          <t>Rafizah Zahri</t>
        </is>
      </c>
      <c r="D83" s="92" t="inlineStr">
        <is>
          <t>Malaysia</t>
        </is>
      </c>
      <c r="E83" s="92" t="inlineStr">
        <is>
          <t>Researcher</t>
        </is>
      </c>
      <c r="F83" s="92" t="n"/>
      <c r="G83" s="92" t="inlineStr">
        <is>
          <t>Universiti Teknologi Malaysia</t>
        </is>
      </c>
      <c r="H83" s="92" t="inlineStr">
        <is>
          <t>Online</t>
        </is>
      </c>
      <c r="I83" s="92" t="n"/>
    </row>
    <row r="84" ht="28.8" customHeight="1" s="107">
      <c r="A84" s="92" t="inlineStr">
        <is>
          <t>オンライン（一般）</t>
        </is>
      </c>
      <c r="B84" s="92" t="n">
        <v>7</v>
      </c>
      <c r="C84" s="92" t="inlineStr">
        <is>
          <t>Alvie Simonette Quetulio Alip</t>
        </is>
      </c>
      <c r="D84" s="92" t="inlineStr">
        <is>
          <t>Philippines</t>
        </is>
      </c>
      <c r="E84" s="92" t="inlineStr">
        <is>
          <t>University Researcher IV</t>
        </is>
      </c>
      <c r="F84" s="92" t="inlineStr">
        <is>
          <t>Office of the Vice Chancellor for Academic Affairs</t>
        </is>
      </c>
      <c r="G84" s="92" t="inlineStr">
        <is>
          <t>University of the Philippines Open University</t>
        </is>
      </c>
      <c r="H84" s="92" t="inlineStr">
        <is>
          <t>Online</t>
        </is>
      </c>
      <c r="I84" s="92" t="n"/>
    </row>
    <row r="85" ht="28.8" customHeight="1" s="107">
      <c r="A85" s="92" t="inlineStr">
        <is>
          <t>オンライン（ADRC）</t>
        </is>
      </c>
      <c r="B85" s="92" t="n">
        <v>4</v>
      </c>
      <c r="C85" s="92" t="inlineStr">
        <is>
          <t>NAKAMURA Akiko</t>
        </is>
      </c>
      <c r="D85" s="92" t="inlineStr">
        <is>
          <t>Japan</t>
        </is>
      </c>
      <c r="E85" s="92" t="inlineStr">
        <is>
          <t>Senior Researcher</t>
        </is>
      </c>
      <c r="F85" s="92" t="inlineStr">
        <is>
          <t>Research Department</t>
        </is>
      </c>
      <c r="G85" s="92" t="inlineStr">
        <is>
          <t>Asian Disaster Reduction Center</t>
        </is>
      </c>
      <c r="H85" s="92" t="inlineStr">
        <is>
          <t>Online</t>
        </is>
      </c>
      <c r="I85" s="92" t="n"/>
    </row>
    <row r="86" ht="28.8" customHeight="1" s="107">
      <c r="A86" s="92" t="inlineStr">
        <is>
          <t>オンライン（ADRC）</t>
        </is>
      </c>
      <c r="B86" s="92" t="n">
        <v>3</v>
      </c>
      <c r="C86" s="92" t="inlineStr">
        <is>
          <t>TATEBE Chihori</t>
        </is>
      </c>
      <c r="D86" s="92" t="inlineStr">
        <is>
          <t>Japan</t>
        </is>
      </c>
      <c r="E86" s="92" t="inlineStr">
        <is>
          <t>Researcher</t>
        </is>
      </c>
      <c r="F86" s="92" t="inlineStr">
        <is>
          <t>Research Department</t>
        </is>
      </c>
      <c r="G86" s="92" t="inlineStr">
        <is>
          <t>Asian Disaster Reduction Center</t>
        </is>
      </c>
      <c r="H86" s="92" t="inlineStr">
        <is>
          <t>Online</t>
        </is>
      </c>
      <c r="I86" s="92" t="n"/>
    </row>
    <row r="87" ht="28.8" customHeight="1" s="107">
      <c r="A87" s="92" t="inlineStr">
        <is>
          <t>オンライン（ADRC）</t>
        </is>
      </c>
      <c r="B87" s="92" t="n">
        <v>2</v>
      </c>
      <c r="C87" s="92" t="inlineStr">
        <is>
          <t>TERASAKA Kazuko</t>
        </is>
      </c>
      <c r="D87" s="92" t="inlineStr">
        <is>
          <t>Japan</t>
        </is>
      </c>
      <c r="E87" s="92" t="inlineStr">
        <is>
          <t>Assistant</t>
        </is>
      </c>
      <c r="F87" s="92" t="inlineStr">
        <is>
          <t>Research Department</t>
        </is>
      </c>
      <c r="G87" s="92" t="inlineStr">
        <is>
          <t>Asian Disaster Reduction Center</t>
        </is>
      </c>
      <c r="H87" s="92" t="inlineStr">
        <is>
          <t>Online</t>
        </is>
      </c>
      <c r="I87" s="92" t="n"/>
    </row>
    <row r="88" ht="28.8" customHeight="1" s="107">
      <c r="A88" s="92" t="inlineStr">
        <is>
          <t>オンライン（ADRC）</t>
        </is>
      </c>
      <c r="B88" s="92" t="n">
        <v>1</v>
      </c>
      <c r="C88" s="92" t="inlineStr">
        <is>
          <t>TAHARA Mai</t>
        </is>
      </c>
      <c r="D88" s="92" t="inlineStr">
        <is>
          <t>Japan</t>
        </is>
      </c>
      <c r="E88" s="92" t="inlineStr">
        <is>
          <t>Administrative Assistant</t>
        </is>
      </c>
      <c r="F88" s="92" t="inlineStr">
        <is>
          <t>Administrative Department</t>
        </is>
      </c>
      <c r="G88" s="92" t="inlineStr">
        <is>
          <t>Asian Disaster Reduction Center</t>
        </is>
      </c>
      <c r="H88" s="92" t="inlineStr">
        <is>
          <t>Online</t>
        </is>
      </c>
      <c r="I88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2026-09-30T08:38:57Z</dcterms:modified>
  <cp:lastModifiedBy>ARAKIDA 荒木田</cp:lastModifiedBy>
  <cp:revision>0</cp:revision>
</cp:coreProperties>
</file>